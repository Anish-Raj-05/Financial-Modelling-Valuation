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ocuments\Anish\Financial Modelling &amp; Valuation\"/>
    </mc:Choice>
  </mc:AlternateContent>
  <xr:revisionPtr revIDLastSave="0" documentId="13_ncr:1_{B35AD808-CE9E-41E9-AEF7-6FFB9F7E07D7}" xr6:coauthVersionLast="36" xr6:coauthVersionMax="36" xr10:uidLastSave="{00000000-0000-0000-0000-000000000000}"/>
  <bookViews>
    <workbookView xWindow="0" yWindow="0" windowWidth="20490" windowHeight="7545" tabRatio="773" xr2:uid="{00000000-000D-0000-FFFF-FFFF00000000}"/>
  </bookViews>
  <sheets>
    <sheet name="Historical_FS" sheetId="7" r:id="rId1"/>
    <sheet name="Ratios" sheetId="8" r:id="rId2"/>
    <sheet name="Vertical" sheetId="9" r:id="rId3"/>
    <sheet name="Horizontal" sheetId="10" r:id="rId4"/>
    <sheet name="DuPont" sheetId="11" r:id="rId5"/>
    <sheet name="Forecasting" sheetId="28" state="hidden" r:id="rId6"/>
    <sheet name="WACC" sheetId="12" r:id="rId7"/>
    <sheet name="Intrinsic_Growth" sheetId="24" r:id="rId8"/>
    <sheet name="DCF" sheetId="26" r:id="rId9"/>
    <sheet name="Relative_Val." sheetId="27" r:id="rId10"/>
    <sheet name="Football_Field" sheetId="30" state="hidden" r:id="rId11"/>
    <sheet name="Data Sheet" sheetId="6" r:id="rId12"/>
    <sheet name="JKC_Beta" sheetId="21" state="hidden" r:id="rId13"/>
    <sheet name="ShreeC_Beta" sheetId="20" state="hidden" r:id="rId14"/>
    <sheet name="Ambuja_Beta" sheetId="19" state="hidden" r:id="rId15"/>
    <sheet name="Grasim_Beta" sheetId="18" state="hidden" r:id="rId16"/>
    <sheet name="Comps Rel." sheetId="29" r:id="rId17"/>
    <sheet name="Raw FS" sheetId="25" r:id="rId18"/>
    <sheet name="RM" sheetId="22" r:id="rId19"/>
    <sheet name="UltraTech_Beta" sheetId="14" r:id="rId20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30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2" i="26" l="1"/>
  <c r="E20" i="26"/>
  <c r="I11" i="26"/>
  <c r="I12" i="12" l="1"/>
  <c r="I13" i="12"/>
  <c r="I14" i="12"/>
  <c r="I15" i="12"/>
  <c r="I16" i="12"/>
  <c r="I10" i="26"/>
  <c r="O31" i="27" l="1"/>
  <c r="P31" i="27"/>
  <c r="N31" i="27"/>
  <c r="L14" i="27"/>
  <c r="L15" i="27"/>
  <c r="L16" i="27"/>
  <c r="L17" i="27"/>
  <c r="L18" i="27"/>
  <c r="L19" i="27"/>
  <c r="L20" i="27"/>
  <c r="L21" i="27"/>
  <c r="L22" i="27"/>
  <c r="L13" i="27"/>
  <c r="K14" i="27"/>
  <c r="K15" i="27"/>
  <c r="K16" i="27"/>
  <c r="K17" i="27"/>
  <c r="K18" i="27"/>
  <c r="K19" i="27"/>
  <c r="K20" i="27"/>
  <c r="K21" i="27"/>
  <c r="K22" i="27"/>
  <c r="K13" i="27"/>
  <c r="J14" i="27"/>
  <c r="J15" i="27"/>
  <c r="J16" i="27"/>
  <c r="J17" i="27"/>
  <c r="J18" i="27"/>
  <c r="J19" i="27"/>
  <c r="J20" i="27"/>
  <c r="J21" i="27"/>
  <c r="J22" i="27"/>
  <c r="J13" i="27"/>
  <c r="H14" i="27"/>
  <c r="N14" i="27" s="1"/>
  <c r="H15" i="27"/>
  <c r="N15" i="27" s="1"/>
  <c r="H16" i="27"/>
  <c r="N16" i="27" s="1"/>
  <c r="H17" i="27"/>
  <c r="N17" i="27" s="1"/>
  <c r="H18" i="27"/>
  <c r="N18" i="27" s="1"/>
  <c r="H19" i="27"/>
  <c r="N19" i="27" s="1"/>
  <c r="H20" i="27"/>
  <c r="N20" i="27" s="1"/>
  <c r="H21" i="27"/>
  <c r="N21" i="27" s="1"/>
  <c r="H22" i="27"/>
  <c r="N22" i="27" s="1"/>
  <c r="H13" i="27"/>
  <c r="O13" i="27" s="1"/>
  <c r="G14" i="27"/>
  <c r="G15" i="27"/>
  <c r="G16" i="27"/>
  <c r="G17" i="27"/>
  <c r="G18" i="27"/>
  <c r="G19" i="27"/>
  <c r="G20" i="27"/>
  <c r="G21" i="27"/>
  <c r="G22" i="27"/>
  <c r="G13" i="27"/>
  <c r="P34" i="27" s="1"/>
  <c r="D14" i="27"/>
  <c r="F14" i="27" s="1"/>
  <c r="P14" i="27" s="1"/>
  <c r="E14" i="27"/>
  <c r="D15" i="27"/>
  <c r="E15" i="27"/>
  <c r="D16" i="27"/>
  <c r="F16" i="27" s="1"/>
  <c r="P16" i="27" s="1"/>
  <c r="E16" i="27"/>
  <c r="D17" i="27"/>
  <c r="E17" i="27"/>
  <c r="D18" i="27"/>
  <c r="F18" i="27" s="1"/>
  <c r="P18" i="27" s="1"/>
  <c r="E18" i="27"/>
  <c r="D19" i="27"/>
  <c r="E19" i="27"/>
  <c r="D20" i="27"/>
  <c r="F20" i="27" s="1"/>
  <c r="P20" i="27" s="1"/>
  <c r="E20" i="27"/>
  <c r="D21" i="27"/>
  <c r="E21" i="27"/>
  <c r="D22" i="27"/>
  <c r="F22" i="27" s="1"/>
  <c r="P22" i="27" s="1"/>
  <c r="E22" i="27"/>
  <c r="E13" i="27"/>
  <c r="O36" i="27" s="1"/>
  <c r="D13" i="27"/>
  <c r="B14" i="27"/>
  <c r="B15" i="27"/>
  <c r="B16" i="27"/>
  <c r="B17" i="27"/>
  <c r="B18" i="27"/>
  <c r="B19" i="27"/>
  <c r="B20" i="27"/>
  <c r="B21" i="27"/>
  <c r="B22" i="27"/>
  <c r="B13" i="27"/>
  <c r="N4" i="29"/>
  <c r="N5" i="29"/>
  <c r="N6" i="29"/>
  <c r="N7" i="29"/>
  <c r="N8" i="29"/>
  <c r="N9" i="29"/>
  <c r="N10" i="29"/>
  <c r="N11" i="29"/>
  <c r="N12" i="29"/>
  <c r="N13" i="29"/>
  <c r="N14" i="29"/>
  <c r="N15" i="29"/>
  <c r="N16" i="29"/>
  <c r="N17" i="29"/>
  <c r="N18" i="29"/>
  <c r="N19" i="29"/>
  <c r="N20" i="29"/>
  <c r="N21" i="29"/>
  <c r="N22" i="29"/>
  <c r="N23" i="29"/>
  <c r="N24" i="29"/>
  <c r="N25" i="29"/>
  <c r="N26" i="29"/>
  <c r="N27" i="29"/>
  <c r="N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3" i="29"/>
  <c r="F4" i="29"/>
  <c r="F5" i="29"/>
  <c r="F6" i="29"/>
  <c r="F7" i="29"/>
  <c r="F8" i="29"/>
  <c r="F9" i="29"/>
  <c r="F10" i="29"/>
  <c r="F11" i="29"/>
  <c r="F12" i="29"/>
  <c r="F13" i="29"/>
  <c r="F14" i="29"/>
  <c r="F15" i="29"/>
  <c r="F16" i="29"/>
  <c r="F17" i="29"/>
  <c r="F18" i="29"/>
  <c r="F19" i="29"/>
  <c r="F20" i="29"/>
  <c r="F21" i="29"/>
  <c r="F22" i="29"/>
  <c r="F23" i="29"/>
  <c r="F24" i="29"/>
  <c r="F25" i="29"/>
  <c r="F26" i="29"/>
  <c r="F27" i="29"/>
  <c r="F3" i="29"/>
  <c r="N34" i="27" l="1"/>
  <c r="O34" i="27"/>
  <c r="O20" i="27"/>
  <c r="O16" i="27"/>
  <c r="P36" i="27"/>
  <c r="F13" i="27"/>
  <c r="P13" i="27" s="1"/>
  <c r="F21" i="27"/>
  <c r="P21" i="27" s="1"/>
  <c r="F19" i="27"/>
  <c r="P19" i="27" s="1"/>
  <c r="F17" i="27"/>
  <c r="P17" i="27" s="1"/>
  <c r="F15" i="27"/>
  <c r="P15" i="27" s="1"/>
  <c r="O22" i="27"/>
  <c r="O18" i="27"/>
  <c r="O14" i="27"/>
  <c r="N36" i="27"/>
  <c r="P29" i="27"/>
  <c r="P24" i="27"/>
  <c r="N13" i="27"/>
  <c r="N26" i="27" s="1"/>
  <c r="O21" i="27"/>
  <c r="O19" i="27"/>
  <c r="O17" i="27"/>
  <c r="O15" i="27"/>
  <c r="O29" i="27" s="1"/>
  <c r="E24" i="12"/>
  <c r="P26" i="27" l="1"/>
  <c r="P25" i="27"/>
  <c r="P27" i="27"/>
  <c r="P35" i="27" s="1"/>
  <c r="P28" i="27"/>
  <c r="O26" i="27"/>
  <c r="N29" i="27"/>
  <c r="N28" i="27"/>
  <c r="N25" i="27"/>
  <c r="N27" i="27"/>
  <c r="N33" i="27" s="1"/>
  <c r="N35" i="27" s="1"/>
  <c r="N38" i="27" s="1"/>
  <c r="N41" i="27" s="1"/>
  <c r="N24" i="27"/>
  <c r="O27" i="27"/>
  <c r="O33" i="27" s="1"/>
  <c r="O35" i="27" s="1"/>
  <c r="O38" i="27" s="1"/>
  <c r="O41" i="27" s="1"/>
  <c r="O28" i="27"/>
  <c r="O24" i="27"/>
  <c r="O25" i="27"/>
  <c r="L49" i="24"/>
  <c r="M49" i="24"/>
  <c r="P38" i="27" l="1"/>
  <c r="P41" i="27" s="1"/>
  <c r="P33" i="27"/>
  <c r="E41" i="26"/>
  <c r="E39" i="26"/>
  <c r="E38" i="26"/>
  <c r="E28" i="26"/>
  <c r="K15" i="26"/>
  <c r="L15" i="26" s="1"/>
  <c r="M15" i="26" s="1"/>
  <c r="N15" i="26" l="1"/>
  <c r="F14" i="12" l="1"/>
  <c r="F15" i="12"/>
  <c r="F16" i="12"/>
  <c r="F13" i="12"/>
  <c r="H42" i="24"/>
  <c r="I42" i="24"/>
  <c r="J42" i="24"/>
  <c r="K42" i="24"/>
  <c r="L42" i="24"/>
  <c r="M42" i="24"/>
  <c r="G42" i="24"/>
  <c r="G53" i="24"/>
  <c r="H53" i="24"/>
  <c r="I53" i="24"/>
  <c r="J53" i="24"/>
  <c r="K53" i="24"/>
  <c r="L53" i="24"/>
  <c r="M53" i="24"/>
  <c r="H49" i="24"/>
  <c r="I49" i="24"/>
  <c r="J49" i="24"/>
  <c r="K49" i="24"/>
  <c r="G49" i="24"/>
  <c r="H37" i="24" l="1"/>
  <c r="I37" i="24"/>
  <c r="J37" i="24"/>
  <c r="K37" i="24"/>
  <c r="L37" i="24"/>
  <c r="M37" i="24"/>
  <c r="G37" i="24"/>
  <c r="H26" i="24"/>
  <c r="I26" i="24"/>
  <c r="J26" i="24"/>
  <c r="K26" i="24"/>
  <c r="L26" i="24"/>
  <c r="M26" i="24"/>
  <c r="H27" i="24"/>
  <c r="I27" i="24"/>
  <c r="J27" i="24"/>
  <c r="K27" i="24"/>
  <c r="L27" i="24"/>
  <c r="M27" i="24"/>
  <c r="H28" i="24"/>
  <c r="I28" i="24"/>
  <c r="J28" i="24"/>
  <c r="K28" i="24"/>
  <c r="L28" i="24"/>
  <c r="M28" i="24"/>
  <c r="H29" i="24"/>
  <c r="I29" i="24"/>
  <c r="J29" i="24"/>
  <c r="K29" i="24"/>
  <c r="L29" i="24"/>
  <c r="M29" i="24"/>
  <c r="H30" i="24"/>
  <c r="I30" i="24"/>
  <c r="J30" i="24"/>
  <c r="K30" i="24"/>
  <c r="L30" i="24"/>
  <c r="M30" i="24"/>
  <c r="H31" i="24"/>
  <c r="I31" i="24"/>
  <c r="J31" i="24"/>
  <c r="K31" i="24"/>
  <c r="L31" i="24"/>
  <c r="M31" i="24"/>
  <c r="H32" i="24"/>
  <c r="I32" i="24"/>
  <c r="J32" i="24"/>
  <c r="K32" i="24"/>
  <c r="L32" i="24"/>
  <c r="M32" i="24"/>
  <c r="H33" i="24"/>
  <c r="I33" i="24"/>
  <c r="J33" i="24"/>
  <c r="K33" i="24"/>
  <c r="L33" i="24"/>
  <c r="M33" i="24"/>
  <c r="H34" i="24"/>
  <c r="I34" i="24"/>
  <c r="J34" i="24"/>
  <c r="K34" i="24"/>
  <c r="L34" i="24"/>
  <c r="M34" i="24"/>
  <c r="H35" i="24"/>
  <c r="I35" i="24"/>
  <c r="J35" i="24"/>
  <c r="K35" i="24"/>
  <c r="L35" i="24"/>
  <c r="M35" i="24"/>
  <c r="G26" i="24"/>
  <c r="G27" i="24"/>
  <c r="G28" i="24"/>
  <c r="G29" i="24"/>
  <c r="G30" i="24"/>
  <c r="G31" i="24"/>
  <c r="G32" i="24"/>
  <c r="G33" i="24"/>
  <c r="G34" i="24"/>
  <c r="G35" i="24"/>
  <c r="M36" i="24" l="1"/>
  <c r="M38" i="24" s="1"/>
  <c r="K36" i="24"/>
  <c r="K38" i="24" s="1"/>
  <c r="I36" i="24"/>
  <c r="I38" i="24" s="1"/>
  <c r="G36" i="24"/>
  <c r="G38" i="24" s="1"/>
  <c r="L36" i="24"/>
  <c r="L38" i="24" s="1"/>
  <c r="J36" i="24"/>
  <c r="J38" i="24" s="1"/>
  <c r="H36" i="24"/>
  <c r="H38" i="24" s="1"/>
  <c r="M20" i="24"/>
  <c r="L20" i="24"/>
  <c r="K20" i="24"/>
  <c r="J20" i="24"/>
  <c r="I20" i="24"/>
  <c r="H20" i="24"/>
  <c r="G20" i="24"/>
  <c r="M19" i="24"/>
  <c r="L19" i="24"/>
  <c r="K19" i="24"/>
  <c r="J19" i="24"/>
  <c r="I19" i="24"/>
  <c r="H19" i="24"/>
  <c r="G19" i="24"/>
  <c r="M18" i="24"/>
  <c r="L18" i="24"/>
  <c r="K18" i="24"/>
  <c r="K21" i="24" s="1"/>
  <c r="J18" i="24"/>
  <c r="I18" i="24"/>
  <c r="I21" i="24" s="1"/>
  <c r="H18" i="24"/>
  <c r="G18" i="24"/>
  <c r="G21" i="24" s="1"/>
  <c r="B19" i="24"/>
  <c r="B20" i="24"/>
  <c r="B18" i="24"/>
  <c r="G13" i="24"/>
  <c r="H13" i="24"/>
  <c r="I13" i="24"/>
  <c r="J13" i="24"/>
  <c r="K13" i="24"/>
  <c r="L13" i="24"/>
  <c r="M13" i="24"/>
  <c r="G14" i="24"/>
  <c r="H14" i="24"/>
  <c r="I14" i="24"/>
  <c r="J14" i="24"/>
  <c r="K14" i="24"/>
  <c r="L14" i="24"/>
  <c r="M14" i="24"/>
  <c r="G12" i="24"/>
  <c r="H12" i="24"/>
  <c r="I12" i="24"/>
  <c r="J12" i="24"/>
  <c r="K12" i="24"/>
  <c r="L12" i="24"/>
  <c r="M12" i="24"/>
  <c r="H11" i="24"/>
  <c r="I11" i="24"/>
  <c r="J11" i="24"/>
  <c r="K11" i="24"/>
  <c r="L11" i="24"/>
  <c r="M11" i="24"/>
  <c r="G11" i="24"/>
  <c r="H8" i="24"/>
  <c r="H47" i="24" s="1"/>
  <c r="H63" i="24" s="1"/>
  <c r="I8" i="24"/>
  <c r="I47" i="24" s="1"/>
  <c r="I63" i="24" s="1"/>
  <c r="J8" i="24"/>
  <c r="J47" i="24" s="1"/>
  <c r="J63" i="24" s="1"/>
  <c r="K8" i="24"/>
  <c r="K47" i="24" s="1"/>
  <c r="K63" i="24" s="1"/>
  <c r="L8" i="24"/>
  <c r="L47" i="24" s="1"/>
  <c r="L63" i="24" s="1"/>
  <c r="M8" i="24"/>
  <c r="G8" i="24"/>
  <c r="G47" i="24" s="1"/>
  <c r="G63" i="24" s="1"/>
  <c r="B13" i="24"/>
  <c r="B14" i="24"/>
  <c r="B12" i="24"/>
  <c r="B11" i="24"/>
  <c r="L78" i="25"/>
  <c r="K78" i="25"/>
  <c r="J78" i="25"/>
  <c r="I78" i="25"/>
  <c r="H78" i="25"/>
  <c r="G78" i="25"/>
  <c r="F78" i="25"/>
  <c r="E78" i="25"/>
  <c r="D78" i="25"/>
  <c r="C78" i="25"/>
  <c r="L66" i="25"/>
  <c r="K66" i="25"/>
  <c r="J66" i="25"/>
  <c r="I66" i="25"/>
  <c r="H66" i="25"/>
  <c r="G66" i="25"/>
  <c r="F66" i="25"/>
  <c r="E66" i="25"/>
  <c r="D66" i="25"/>
  <c r="C66" i="25"/>
  <c r="L56" i="25"/>
  <c r="K56" i="25"/>
  <c r="J56" i="25"/>
  <c r="I56" i="25"/>
  <c r="H56" i="25"/>
  <c r="G56" i="25"/>
  <c r="F56" i="25"/>
  <c r="E56" i="25"/>
  <c r="D56" i="25"/>
  <c r="C56" i="25"/>
  <c r="E25" i="12"/>
  <c r="E26" i="12" s="1"/>
  <c r="J39" i="12" s="1"/>
  <c r="J25" i="12"/>
  <c r="G11" i="22"/>
  <c r="G9" i="22"/>
  <c r="E33" i="12"/>
  <c r="M47" i="24" l="1"/>
  <c r="M63" i="24" s="1"/>
  <c r="I8" i="26"/>
  <c r="J8" i="26" s="1"/>
  <c r="K8" i="26" s="1"/>
  <c r="L8" i="26" s="1"/>
  <c r="M8" i="26" s="1"/>
  <c r="N8" i="26" s="1"/>
  <c r="M15" i="24"/>
  <c r="K15" i="24"/>
  <c r="K23" i="24" s="1"/>
  <c r="I15" i="24"/>
  <c r="I23" i="24" s="1"/>
  <c r="G15" i="24"/>
  <c r="G23" i="24" s="1"/>
  <c r="G40" i="24" s="1"/>
  <c r="L15" i="24"/>
  <c r="J15" i="24"/>
  <c r="H15" i="24"/>
  <c r="H21" i="24"/>
  <c r="J21" i="24"/>
  <c r="L21" i="24"/>
  <c r="M21" i="24"/>
  <c r="M23" i="24" s="1"/>
  <c r="K40" i="24"/>
  <c r="I40" i="24"/>
  <c r="C86" i="25"/>
  <c r="E86" i="25"/>
  <c r="G86" i="25"/>
  <c r="I86" i="25"/>
  <c r="K86" i="25"/>
  <c r="D86" i="25"/>
  <c r="F86" i="25"/>
  <c r="H86" i="25"/>
  <c r="J86" i="25"/>
  <c r="L86" i="25"/>
  <c r="J34" i="12"/>
  <c r="J40" i="12"/>
  <c r="H23" i="24" l="1"/>
  <c r="H40" i="24" s="1"/>
  <c r="L23" i="24"/>
  <c r="I50" i="24"/>
  <c r="I56" i="24" s="1"/>
  <c r="H50" i="24"/>
  <c r="H56" i="24" s="1"/>
  <c r="J23" i="24"/>
  <c r="M50" i="24"/>
  <c r="M56" i="24" s="1"/>
  <c r="M40" i="24"/>
  <c r="J9" i="21"/>
  <c r="G113" i="21"/>
  <c r="D113" i="21"/>
  <c r="G112" i="21"/>
  <c r="D112" i="21"/>
  <c r="G111" i="21"/>
  <c r="D111" i="21"/>
  <c r="G110" i="21"/>
  <c r="D110" i="21"/>
  <c r="G109" i="21"/>
  <c r="D109" i="21"/>
  <c r="G108" i="21"/>
  <c r="D108" i="21"/>
  <c r="G107" i="21"/>
  <c r="D107" i="21"/>
  <c r="G106" i="21"/>
  <c r="D106" i="21"/>
  <c r="G105" i="21"/>
  <c r="D105" i="21"/>
  <c r="G104" i="21"/>
  <c r="D104" i="21"/>
  <c r="G103" i="21"/>
  <c r="D103" i="21"/>
  <c r="G102" i="21"/>
  <c r="D102" i="21"/>
  <c r="G101" i="21"/>
  <c r="D101" i="21"/>
  <c r="G100" i="21"/>
  <c r="D100" i="21"/>
  <c r="G99" i="21"/>
  <c r="D99" i="21"/>
  <c r="G98" i="21"/>
  <c r="D98" i="21"/>
  <c r="G97" i="21"/>
  <c r="D97" i="21"/>
  <c r="G96" i="21"/>
  <c r="D96" i="21"/>
  <c r="G95" i="21"/>
  <c r="D95" i="21"/>
  <c r="G94" i="21"/>
  <c r="D94" i="21"/>
  <c r="G93" i="21"/>
  <c r="D93" i="21"/>
  <c r="G92" i="21"/>
  <c r="D92" i="21"/>
  <c r="G91" i="21"/>
  <c r="D91" i="21"/>
  <c r="G90" i="21"/>
  <c r="D90" i="21"/>
  <c r="G89" i="21"/>
  <c r="D89" i="21"/>
  <c r="G88" i="21"/>
  <c r="D88" i="21"/>
  <c r="G87" i="21"/>
  <c r="D87" i="21"/>
  <c r="G86" i="21"/>
  <c r="D86" i="21"/>
  <c r="G85" i="21"/>
  <c r="D85" i="21"/>
  <c r="G84" i="21"/>
  <c r="D84" i="21"/>
  <c r="G83" i="21"/>
  <c r="D83" i="21"/>
  <c r="G82" i="21"/>
  <c r="D82" i="21"/>
  <c r="G81" i="21"/>
  <c r="D81" i="21"/>
  <c r="G80" i="21"/>
  <c r="D80" i="21"/>
  <c r="G79" i="21"/>
  <c r="D79" i="21"/>
  <c r="G78" i="21"/>
  <c r="D78" i="21"/>
  <c r="G77" i="21"/>
  <c r="D77" i="21"/>
  <c r="G76" i="21"/>
  <c r="D76" i="21"/>
  <c r="G75" i="21"/>
  <c r="D75" i="21"/>
  <c r="G74" i="21"/>
  <c r="D74" i="21"/>
  <c r="G73" i="21"/>
  <c r="D73" i="21"/>
  <c r="G72" i="21"/>
  <c r="D72" i="21"/>
  <c r="G71" i="21"/>
  <c r="D71" i="21"/>
  <c r="G70" i="21"/>
  <c r="D70" i="21"/>
  <c r="G69" i="21"/>
  <c r="D69" i="21"/>
  <c r="G68" i="21"/>
  <c r="D68" i="21"/>
  <c r="G67" i="21"/>
  <c r="D67" i="21"/>
  <c r="G66" i="21"/>
  <c r="D66" i="21"/>
  <c r="G65" i="21"/>
  <c r="D65" i="21"/>
  <c r="G64" i="21"/>
  <c r="D64" i="21"/>
  <c r="G63" i="21"/>
  <c r="D63" i="21"/>
  <c r="G62" i="21"/>
  <c r="D62" i="21"/>
  <c r="G61" i="21"/>
  <c r="D61" i="21"/>
  <c r="G60" i="21"/>
  <c r="D60" i="21"/>
  <c r="G59" i="21"/>
  <c r="D59" i="21"/>
  <c r="G58" i="21"/>
  <c r="D58" i="21"/>
  <c r="G57" i="21"/>
  <c r="D57" i="21"/>
  <c r="G56" i="21"/>
  <c r="D56" i="21"/>
  <c r="G55" i="21"/>
  <c r="D55" i="21"/>
  <c r="G54" i="21"/>
  <c r="D54" i="21"/>
  <c r="G53" i="21"/>
  <c r="D53" i="21"/>
  <c r="G52" i="21"/>
  <c r="D52" i="21"/>
  <c r="G51" i="21"/>
  <c r="D51" i="21"/>
  <c r="G50" i="21"/>
  <c r="D50" i="21"/>
  <c r="G49" i="21"/>
  <c r="D49" i="21"/>
  <c r="G48" i="21"/>
  <c r="D48" i="21"/>
  <c r="G47" i="21"/>
  <c r="D47" i="21"/>
  <c r="G46" i="21"/>
  <c r="D46" i="21"/>
  <c r="G45" i="21"/>
  <c r="D45" i="21"/>
  <c r="G44" i="21"/>
  <c r="D44" i="21"/>
  <c r="G43" i="21"/>
  <c r="D43" i="21"/>
  <c r="G42" i="21"/>
  <c r="D42" i="21"/>
  <c r="G41" i="21"/>
  <c r="D41" i="21"/>
  <c r="G40" i="21"/>
  <c r="D40" i="21"/>
  <c r="G39" i="21"/>
  <c r="D39" i="21"/>
  <c r="G38" i="21"/>
  <c r="D38" i="21"/>
  <c r="G37" i="21"/>
  <c r="D37" i="21"/>
  <c r="G36" i="21"/>
  <c r="D36" i="21"/>
  <c r="G35" i="21"/>
  <c r="D35" i="21"/>
  <c r="G34" i="21"/>
  <c r="D34" i="21"/>
  <c r="G33" i="21"/>
  <c r="D33" i="21"/>
  <c r="G32" i="21"/>
  <c r="D32" i="21"/>
  <c r="G31" i="21"/>
  <c r="D31" i="21"/>
  <c r="G30" i="21"/>
  <c r="D30" i="21"/>
  <c r="G29" i="21"/>
  <c r="D29" i="21"/>
  <c r="G28" i="21"/>
  <c r="D28" i="21"/>
  <c r="G27" i="21"/>
  <c r="D27" i="21"/>
  <c r="G26" i="21"/>
  <c r="D26" i="21"/>
  <c r="G25" i="21"/>
  <c r="D25" i="21"/>
  <c r="G24" i="21"/>
  <c r="D24" i="21"/>
  <c r="G23" i="21"/>
  <c r="D23" i="21"/>
  <c r="G22" i="21"/>
  <c r="D22" i="21"/>
  <c r="G21" i="21"/>
  <c r="D21" i="21"/>
  <c r="G20" i="21"/>
  <c r="D20" i="21"/>
  <c r="G19" i="21"/>
  <c r="D19" i="21"/>
  <c r="G18" i="21"/>
  <c r="D18" i="21"/>
  <c r="G17" i="21"/>
  <c r="D17" i="21"/>
  <c r="G16" i="21"/>
  <c r="D16" i="21"/>
  <c r="G15" i="21"/>
  <c r="D15" i="21"/>
  <c r="G14" i="21"/>
  <c r="D14" i="21"/>
  <c r="G13" i="21"/>
  <c r="D13" i="21"/>
  <c r="G12" i="21"/>
  <c r="D12" i="21"/>
  <c r="G11" i="21"/>
  <c r="D11" i="21"/>
  <c r="J15" i="21"/>
  <c r="B7" i="21"/>
  <c r="B7" i="18"/>
  <c r="B7" i="19"/>
  <c r="B7" i="20"/>
  <c r="J9" i="20"/>
  <c r="G113" i="20"/>
  <c r="D113" i="20"/>
  <c r="G112" i="20"/>
  <c r="D112" i="20"/>
  <c r="G111" i="20"/>
  <c r="D111" i="20"/>
  <c r="G110" i="20"/>
  <c r="D110" i="20"/>
  <c r="G109" i="20"/>
  <c r="D109" i="20"/>
  <c r="G108" i="20"/>
  <c r="D108" i="20"/>
  <c r="G107" i="20"/>
  <c r="D107" i="20"/>
  <c r="G106" i="20"/>
  <c r="D106" i="20"/>
  <c r="G105" i="20"/>
  <c r="D105" i="20"/>
  <c r="G104" i="20"/>
  <c r="D104" i="20"/>
  <c r="G103" i="20"/>
  <c r="D103" i="20"/>
  <c r="G102" i="20"/>
  <c r="D102" i="20"/>
  <c r="G101" i="20"/>
  <c r="D101" i="20"/>
  <c r="G100" i="20"/>
  <c r="D100" i="20"/>
  <c r="G99" i="20"/>
  <c r="D99" i="20"/>
  <c r="G98" i="20"/>
  <c r="D98" i="20"/>
  <c r="G97" i="20"/>
  <c r="D97" i="20"/>
  <c r="G96" i="20"/>
  <c r="D96" i="20"/>
  <c r="G95" i="20"/>
  <c r="D95" i="20"/>
  <c r="G94" i="20"/>
  <c r="D94" i="20"/>
  <c r="G93" i="20"/>
  <c r="D93" i="20"/>
  <c r="G92" i="20"/>
  <c r="D92" i="20"/>
  <c r="G91" i="20"/>
  <c r="D91" i="20"/>
  <c r="G90" i="20"/>
  <c r="D90" i="20"/>
  <c r="G89" i="20"/>
  <c r="D89" i="20"/>
  <c r="G88" i="20"/>
  <c r="D88" i="20"/>
  <c r="G87" i="20"/>
  <c r="D87" i="20"/>
  <c r="G86" i="20"/>
  <c r="D86" i="20"/>
  <c r="G85" i="20"/>
  <c r="D85" i="20"/>
  <c r="G84" i="20"/>
  <c r="D84" i="20"/>
  <c r="G83" i="20"/>
  <c r="D83" i="20"/>
  <c r="G82" i="20"/>
  <c r="D82" i="20"/>
  <c r="G81" i="20"/>
  <c r="D81" i="20"/>
  <c r="G80" i="20"/>
  <c r="D80" i="20"/>
  <c r="G79" i="20"/>
  <c r="D79" i="20"/>
  <c r="G78" i="20"/>
  <c r="D78" i="20"/>
  <c r="G77" i="20"/>
  <c r="D77" i="20"/>
  <c r="G76" i="20"/>
  <c r="D76" i="20"/>
  <c r="G75" i="20"/>
  <c r="D75" i="20"/>
  <c r="G74" i="20"/>
  <c r="D74" i="20"/>
  <c r="G73" i="20"/>
  <c r="D73" i="20"/>
  <c r="G72" i="20"/>
  <c r="D72" i="20"/>
  <c r="G71" i="20"/>
  <c r="D71" i="20"/>
  <c r="G70" i="20"/>
  <c r="D70" i="20"/>
  <c r="G69" i="20"/>
  <c r="D69" i="20"/>
  <c r="G68" i="20"/>
  <c r="D68" i="20"/>
  <c r="G67" i="20"/>
  <c r="D67" i="20"/>
  <c r="G66" i="20"/>
  <c r="D66" i="20"/>
  <c r="G65" i="20"/>
  <c r="D65" i="20"/>
  <c r="G64" i="20"/>
  <c r="D64" i="20"/>
  <c r="G63" i="20"/>
  <c r="D63" i="20"/>
  <c r="G62" i="20"/>
  <c r="D62" i="20"/>
  <c r="G61" i="20"/>
  <c r="D61" i="20"/>
  <c r="G60" i="20"/>
  <c r="D60" i="20"/>
  <c r="G59" i="20"/>
  <c r="D59" i="20"/>
  <c r="G58" i="20"/>
  <c r="D58" i="20"/>
  <c r="G57" i="20"/>
  <c r="D57" i="20"/>
  <c r="G56" i="20"/>
  <c r="D56" i="20"/>
  <c r="G55" i="20"/>
  <c r="D55" i="20"/>
  <c r="G54" i="20"/>
  <c r="D54" i="20"/>
  <c r="G53" i="20"/>
  <c r="D53" i="20"/>
  <c r="G52" i="20"/>
  <c r="D52" i="20"/>
  <c r="G51" i="20"/>
  <c r="D51" i="20"/>
  <c r="G50" i="20"/>
  <c r="D50" i="20"/>
  <c r="G49" i="20"/>
  <c r="D49" i="20"/>
  <c r="G48" i="20"/>
  <c r="D48" i="20"/>
  <c r="G47" i="20"/>
  <c r="D47" i="20"/>
  <c r="G46" i="20"/>
  <c r="D46" i="20"/>
  <c r="G45" i="20"/>
  <c r="D45" i="20"/>
  <c r="G44" i="20"/>
  <c r="D44" i="20"/>
  <c r="G43" i="20"/>
  <c r="D43" i="20"/>
  <c r="G42" i="20"/>
  <c r="D42" i="20"/>
  <c r="G41" i="20"/>
  <c r="D41" i="20"/>
  <c r="G40" i="20"/>
  <c r="D40" i="20"/>
  <c r="G39" i="20"/>
  <c r="D39" i="20"/>
  <c r="G38" i="20"/>
  <c r="D38" i="20"/>
  <c r="G37" i="20"/>
  <c r="D37" i="20"/>
  <c r="G36" i="20"/>
  <c r="D36" i="20"/>
  <c r="G35" i="20"/>
  <c r="D35" i="20"/>
  <c r="G34" i="20"/>
  <c r="D34" i="20"/>
  <c r="G33" i="20"/>
  <c r="D33" i="20"/>
  <c r="G32" i="20"/>
  <c r="D32" i="20"/>
  <c r="G31" i="20"/>
  <c r="D31" i="20"/>
  <c r="G30" i="20"/>
  <c r="D30" i="20"/>
  <c r="G29" i="20"/>
  <c r="D29" i="20"/>
  <c r="G28" i="20"/>
  <c r="D28" i="20"/>
  <c r="G27" i="20"/>
  <c r="D27" i="20"/>
  <c r="G26" i="20"/>
  <c r="D26" i="20"/>
  <c r="G25" i="20"/>
  <c r="D25" i="20"/>
  <c r="G24" i="20"/>
  <c r="D24" i="20"/>
  <c r="G23" i="20"/>
  <c r="D23" i="20"/>
  <c r="G22" i="20"/>
  <c r="D22" i="20"/>
  <c r="G21" i="20"/>
  <c r="D21" i="20"/>
  <c r="G20" i="20"/>
  <c r="D20" i="20"/>
  <c r="G19" i="20"/>
  <c r="D19" i="20"/>
  <c r="G18" i="20"/>
  <c r="D18" i="20"/>
  <c r="G17" i="20"/>
  <c r="D17" i="20"/>
  <c r="G16" i="20"/>
  <c r="D16" i="20"/>
  <c r="G15" i="20"/>
  <c r="D15" i="20"/>
  <c r="G14" i="20"/>
  <c r="D14" i="20"/>
  <c r="G13" i="20"/>
  <c r="D13" i="20"/>
  <c r="G12" i="20"/>
  <c r="D12" i="20"/>
  <c r="G11" i="20"/>
  <c r="D11" i="20"/>
  <c r="J15" i="20"/>
  <c r="J9" i="19"/>
  <c r="G113" i="19"/>
  <c r="D113" i="19"/>
  <c r="G112" i="19"/>
  <c r="D112" i="19"/>
  <c r="G111" i="19"/>
  <c r="D111" i="19"/>
  <c r="G110" i="19"/>
  <c r="D110" i="19"/>
  <c r="G109" i="19"/>
  <c r="D109" i="19"/>
  <c r="G108" i="19"/>
  <c r="D108" i="19"/>
  <c r="G107" i="19"/>
  <c r="D107" i="19"/>
  <c r="G106" i="19"/>
  <c r="D106" i="19"/>
  <c r="G105" i="19"/>
  <c r="D105" i="19"/>
  <c r="G104" i="19"/>
  <c r="D104" i="19"/>
  <c r="G103" i="19"/>
  <c r="D103" i="19"/>
  <c r="G102" i="19"/>
  <c r="D102" i="19"/>
  <c r="G101" i="19"/>
  <c r="D101" i="19"/>
  <c r="G100" i="19"/>
  <c r="D100" i="19"/>
  <c r="G99" i="19"/>
  <c r="D99" i="19"/>
  <c r="G98" i="19"/>
  <c r="D98" i="19"/>
  <c r="G97" i="19"/>
  <c r="D97" i="19"/>
  <c r="G96" i="19"/>
  <c r="D96" i="19"/>
  <c r="G95" i="19"/>
  <c r="D95" i="19"/>
  <c r="G94" i="19"/>
  <c r="D94" i="19"/>
  <c r="G93" i="19"/>
  <c r="D93" i="19"/>
  <c r="G92" i="19"/>
  <c r="D92" i="19"/>
  <c r="G91" i="19"/>
  <c r="D91" i="19"/>
  <c r="G90" i="19"/>
  <c r="D90" i="19"/>
  <c r="G89" i="19"/>
  <c r="D89" i="19"/>
  <c r="G88" i="19"/>
  <c r="D88" i="19"/>
  <c r="G87" i="19"/>
  <c r="D87" i="19"/>
  <c r="G86" i="19"/>
  <c r="D86" i="19"/>
  <c r="G85" i="19"/>
  <c r="D85" i="19"/>
  <c r="G84" i="19"/>
  <c r="D84" i="19"/>
  <c r="G83" i="19"/>
  <c r="D83" i="19"/>
  <c r="G82" i="19"/>
  <c r="D82" i="19"/>
  <c r="G81" i="19"/>
  <c r="D81" i="19"/>
  <c r="G80" i="19"/>
  <c r="D80" i="19"/>
  <c r="G79" i="19"/>
  <c r="D79" i="19"/>
  <c r="G78" i="19"/>
  <c r="D78" i="19"/>
  <c r="G77" i="19"/>
  <c r="D77" i="19"/>
  <c r="G76" i="19"/>
  <c r="D76" i="19"/>
  <c r="G75" i="19"/>
  <c r="D75" i="19"/>
  <c r="G74" i="19"/>
  <c r="D74" i="19"/>
  <c r="G73" i="19"/>
  <c r="D73" i="19"/>
  <c r="G72" i="19"/>
  <c r="D72" i="19"/>
  <c r="G71" i="19"/>
  <c r="D71" i="19"/>
  <c r="G70" i="19"/>
  <c r="D70" i="19"/>
  <c r="G69" i="19"/>
  <c r="D69" i="19"/>
  <c r="G68" i="19"/>
  <c r="D68" i="19"/>
  <c r="G67" i="19"/>
  <c r="D67" i="19"/>
  <c r="G66" i="19"/>
  <c r="D66" i="19"/>
  <c r="G65" i="19"/>
  <c r="D65" i="19"/>
  <c r="G64" i="19"/>
  <c r="D64" i="19"/>
  <c r="G63" i="19"/>
  <c r="D63" i="19"/>
  <c r="G62" i="19"/>
  <c r="D62" i="19"/>
  <c r="G61" i="19"/>
  <c r="D61" i="19"/>
  <c r="G60" i="19"/>
  <c r="D60" i="19"/>
  <c r="G59" i="19"/>
  <c r="D59" i="19"/>
  <c r="G58" i="19"/>
  <c r="D58" i="19"/>
  <c r="G57" i="19"/>
  <c r="D57" i="19"/>
  <c r="G56" i="19"/>
  <c r="D56" i="19"/>
  <c r="G55" i="19"/>
  <c r="D55" i="19"/>
  <c r="G54" i="19"/>
  <c r="D54" i="19"/>
  <c r="G53" i="19"/>
  <c r="D53" i="19"/>
  <c r="G52" i="19"/>
  <c r="D52" i="19"/>
  <c r="G51" i="19"/>
  <c r="D51" i="19"/>
  <c r="G50" i="19"/>
  <c r="D50" i="19"/>
  <c r="G49" i="19"/>
  <c r="D49" i="19"/>
  <c r="G48" i="19"/>
  <c r="D48" i="19"/>
  <c r="G47" i="19"/>
  <c r="D47" i="19"/>
  <c r="G46" i="19"/>
  <c r="D46" i="19"/>
  <c r="G45" i="19"/>
  <c r="D45" i="19"/>
  <c r="G44" i="19"/>
  <c r="D44" i="19"/>
  <c r="G43" i="19"/>
  <c r="D43" i="19"/>
  <c r="G42" i="19"/>
  <c r="D42" i="19"/>
  <c r="G41" i="19"/>
  <c r="D41" i="19"/>
  <c r="G40" i="19"/>
  <c r="D40" i="19"/>
  <c r="G39" i="19"/>
  <c r="D39" i="19"/>
  <c r="G38" i="19"/>
  <c r="D38" i="19"/>
  <c r="G37" i="19"/>
  <c r="D37" i="19"/>
  <c r="G36" i="19"/>
  <c r="D36" i="19"/>
  <c r="G35" i="19"/>
  <c r="D35" i="19"/>
  <c r="G34" i="19"/>
  <c r="D34" i="19"/>
  <c r="G33" i="19"/>
  <c r="D33" i="19"/>
  <c r="G32" i="19"/>
  <c r="D32" i="19"/>
  <c r="G31" i="19"/>
  <c r="D31" i="19"/>
  <c r="G30" i="19"/>
  <c r="D30" i="19"/>
  <c r="G29" i="19"/>
  <c r="D29" i="19"/>
  <c r="G28" i="19"/>
  <c r="D28" i="19"/>
  <c r="G27" i="19"/>
  <c r="D27" i="19"/>
  <c r="G26" i="19"/>
  <c r="D26" i="19"/>
  <c r="G25" i="19"/>
  <c r="D25" i="19"/>
  <c r="G24" i="19"/>
  <c r="D24" i="19"/>
  <c r="G23" i="19"/>
  <c r="D23" i="19"/>
  <c r="G22" i="19"/>
  <c r="D22" i="19"/>
  <c r="G21" i="19"/>
  <c r="D21" i="19"/>
  <c r="G20" i="19"/>
  <c r="D20" i="19"/>
  <c r="G19" i="19"/>
  <c r="D19" i="19"/>
  <c r="G18" i="19"/>
  <c r="D18" i="19"/>
  <c r="G17" i="19"/>
  <c r="D17" i="19"/>
  <c r="G16" i="19"/>
  <c r="D16" i="19"/>
  <c r="G15" i="19"/>
  <c r="D15" i="19"/>
  <c r="G14" i="19"/>
  <c r="D14" i="19"/>
  <c r="G13" i="19"/>
  <c r="D13" i="19"/>
  <c r="G12" i="19"/>
  <c r="D12" i="19"/>
  <c r="G11" i="19"/>
  <c r="D11" i="19"/>
  <c r="J15" i="19"/>
  <c r="J9" i="18"/>
  <c r="G113" i="18"/>
  <c r="D113" i="18"/>
  <c r="G112" i="18"/>
  <c r="D112" i="18"/>
  <c r="G111" i="18"/>
  <c r="D111" i="18"/>
  <c r="G110" i="18"/>
  <c r="D110" i="18"/>
  <c r="G109" i="18"/>
  <c r="D109" i="18"/>
  <c r="G108" i="18"/>
  <c r="D108" i="18"/>
  <c r="G107" i="18"/>
  <c r="D107" i="18"/>
  <c r="G106" i="18"/>
  <c r="D106" i="18"/>
  <c r="G105" i="18"/>
  <c r="D105" i="18"/>
  <c r="G104" i="18"/>
  <c r="D104" i="18"/>
  <c r="G103" i="18"/>
  <c r="D103" i="18"/>
  <c r="G102" i="18"/>
  <c r="D102" i="18"/>
  <c r="G101" i="18"/>
  <c r="D101" i="18"/>
  <c r="G100" i="18"/>
  <c r="D100" i="18"/>
  <c r="G99" i="18"/>
  <c r="D99" i="18"/>
  <c r="G98" i="18"/>
  <c r="D98" i="18"/>
  <c r="G97" i="18"/>
  <c r="D97" i="18"/>
  <c r="G96" i="18"/>
  <c r="D96" i="18"/>
  <c r="G95" i="18"/>
  <c r="D95" i="18"/>
  <c r="G94" i="18"/>
  <c r="D94" i="18"/>
  <c r="G93" i="18"/>
  <c r="D93" i="18"/>
  <c r="G92" i="18"/>
  <c r="D92" i="18"/>
  <c r="G91" i="18"/>
  <c r="D91" i="18"/>
  <c r="G90" i="18"/>
  <c r="D90" i="18"/>
  <c r="G89" i="18"/>
  <c r="D89" i="18"/>
  <c r="G88" i="18"/>
  <c r="D88" i="18"/>
  <c r="G87" i="18"/>
  <c r="D87" i="18"/>
  <c r="G86" i="18"/>
  <c r="D86" i="18"/>
  <c r="G85" i="18"/>
  <c r="D85" i="18"/>
  <c r="G84" i="18"/>
  <c r="D84" i="18"/>
  <c r="G83" i="18"/>
  <c r="D83" i="18"/>
  <c r="G82" i="18"/>
  <c r="D82" i="18"/>
  <c r="G81" i="18"/>
  <c r="D81" i="18"/>
  <c r="G80" i="18"/>
  <c r="D80" i="18"/>
  <c r="G79" i="18"/>
  <c r="D79" i="18"/>
  <c r="G78" i="18"/>
  <c r="D78" i="18"/>
  <c r="G77" i="18"/>
  <c r="D77" i="18"/>
  <c r="G76" i="18"/>
  <c r="D76" i="18"/>
  <c r="G75" i="18"/>
  <c r="D75" i="18"/>
  <c r="G74" i="18"/>
  <c r="D74" i="18"/>
  <c r="G73" i="18"/>
  <c r="D73" i="18"/>
  <c r="G72" i="18"/>
  <c r="D72" i="18"/>
  <c r="G71" i="18"/>
  <c r="D71" i="18"/>
  <c r="G70" i="18"/>
  <c r="D70" i="18"/>
  <c r="G69" i="18"/>
  <c r="D69" i="18"/>
  <c r="G68" i="18"/>
  <c r="D68" i="18"/>
  <c r="G67" i="18"/>
  <c r="D67" i="18"/>
  <c r="G66" i="18"/>
  <c r="D66" i="18"/>
  <c r="G65" i="18"/>
  <c r="D65" i="18"/>
  <c r="G64" i="18"/>
  <c r="D64" i="18"/>
  <c r="G63" i="18"/>
  <c r="D63" i="18"/>
  <c r="G62" i="18"/>
  <c r="D62" i="18"/>
  <c r="G61" i="18"/>
  <c r="D61" i="18"/>
  <c r="G60" i="18"/>
  <c r="D60" i="18"/>
  <c r="G59" i="18"/>
  <c r="D59" i="18"/>
  <c r="G58" i="18"/>
  <c r="D58" i="18"/>
  <c r="G57" i="18"/>
  <c r="D57" i="18"/>
  <c r="G56" i="18"/>
  <c r="D56" i="18"/>
  <c r="G55" i="18"/>
  <c r="D55" i="18"/>
  <c r="G54" i="18"/>
  <c r="D54" i="18"/>
  <c r="G53" i="18"/>
  <c r="D53" i="18"/>
  <c r="G52" i="18"/>
  <c r="D52" i="18"/>
  <c r="G51" i="18"/>
  <c r="D51" i="18"/>
  <c r="G50" i="18"/>
  <c r="D50" i="18"/>
  <c r="G49" i="18"/>
  <c r="D49" i="18"/>
  <c r="G48" i="18"/>
  <c r="D48" i="18"/>
  <c r="G47" i="18"/>
  <c r="D47" i="18"/>
  <c r="G46" i="18"/>
  <c r="D46" i="18"/>
  <c r="G45" i="18"/>
  <c r="D45" i="18"/>
  <c r="G44" i="18"/>
  <c r="D44" i="18"/>
  <c r="G43" i="18"/>
  <c r="D43" i="18"/>
  <c r="G42" i="18"/>
  <c r="D42" i="18"/>
  <c r="G41" i="18"/>
  <c r="D41" i="18"/>
  <c r="G40" i="18"/>
  <c r="D40" i="18"/>
  <c r="G39" i="18"/>
  <c r="D39" i="18"/>
  <c r="G38" i="18"/>
  <c r="D38" i="18"/>
  <c r="G37" i="18"/>
  <c r="D37" i="18"/>
  <c r="G36" i="18"/>
  <c r="D36" i="18"/>
  <c r="G35" i="18"/>
  <c r="D35" i="18"/>
  <c r="G34" i="18"/>
  <c r="D34" i="18"/>
  <c r="G33" i="18"/>
  <c r="D33" i="18"/>
  <c r="G32" i="18"/>
  <c r="D32" i="18"/>
  <c r="G31" i="18"/>
  <c r="D31" i="18"/>
  <c r="G30" i="18"/>
  <c r="D30" i="18"/>
  <c r="G29" i="18"/>
  <c r="D29" i="18"/>
  <c r="G28" i="18"/>
  <c r="D28" i="18"/>
  <c r="G27" i="18"/>
  <c r="D27" i="18"/>
  <c r="G26" i="18"/>
  <c r="D26" i="18"/>
  <c r="G25" i="18"/>
  <c r="D25" i="18"/>
  <c r="G24" i="18"/>
  <c r="D24" i="18"/>
  <c r="G23" i="18"/>
  <c r="D23" i="18"/>
  <c r="G22" i="18"/>
  <c r="D22" i="18"/>
  <c r="G21" i="18"/>
  <c r="D21" i="18"/>
  <c r="G20" i="18"/>
  <c r="D20" i="18"/>
  <c r="G19" i="18"/>
  <c r="D19" i="18"/>
  <c r="G18" i="18"/>
  <c r="D18" i="18"/>
  <c r="G17" i="18"/>
  <c r="D17" i="18"/>
  <c r="G16" i="18"/>
  <c r="D16" i="18"/>
  <c r="G15" i="18"/>
  <c r="D15" i="18"/>
  <c r="G14" i="18"/>
  <c r="D14" i="18"/>
  <c r="G13" i="18"/>
  <c r="D13" i="18"/>
  <c r="G12" i="18"/>
  <c r="D12" i="18"/>
  <c r="G11" i="18"/>
  <c r="D11" i="18"/>
  <c r="J15" i="18"/>
  <c r="H13" i="12"/>
  <c r="H12" i="12"/>
  <c r="G16" i="12"/>
  <c r="J16" i="12" s="1"/>
  <c r="G15" i="12"/>
  <c r="J15" i="12" s="1"/>
  <c r="G14" i="12"/>
  <c r="J14" i="12" s="1"/>
  <c r="G13" i="12"/>
  <c r="J13" i="12" s="1"/>
  <c r="G12" i="12"/>
  <c r="D92" i="7"/>
  <c r="E92" i="7"/>
  <c r="F92" i="7"/>
  <c r="G92" i="7"/>
  <c r="H92" i="7"/>
  <c r="I92" i="7"/>
  <c r="J92" i="7"/>
  <c r="K92" i="7"/>
  <c r="L92" i="7"/>
  <c r="C92" i="7"/>
  <c r="J10" i="14"/>
  <c r="J12" i="12" s="1"/>
  <c r="I19" i="12" l="1"/>
  <c r="L40" i="24"/>
  <c r="L50" i="24"/>
  <c r="L56" i="24" s="1"/>
  <c r="J40" i="24"/>
  <c r="J50" i="24"/>
  <c r="J56" i="24" s="1"/>
  <c r="K50" i="24"/>
  <c r="K56" i="24" s="1"/>
  <c r="I18" i="12"/>
  <c r="J19" i="12"/>
  <c r="J32" i="12" s="1"/>
  <c r="J35" i="12" s="1"/>
  <c r="J26" i="12" s="1"/>
  <c r="J18" i="12"/>
  <c r="J27" i="12" l="1"/>
  <c r="J42" i="12" s="1"/>
  <c r="J45" i="12" s="1"/>
  <c r="C82" i="7"/>
  <c r="D82" i="7"/>
  <c r="E82" i="7"/>
  <c r="F82" i="7"/>
  <c r="G82" i="7"/>
  <c r="H82" i="7"/>
  <c r="I82" i="7"/>
  <c r="J82" i="7"/>
  <c r="K82" i="7"/>
  <c r="L82" i="7"/>
  <c r="C104" i="7"/>
  <c r="D104" i="7"/>
  <c r="E104" i="7"/>
  <c r="F104" i="7"/>
  <c r="G104" i="7"/>
  <c r="H104" i="7"/>
  <c r="I104" i="7"/>
  <c r="J104" i="7"/>
  <c r="K104" i="7"/>
  <c r="L104" i="7"/>
  <c r="C112" i="7"/>
  <c r="D112" i="7"/>
  <c r="E112" i="7"/>
  <c r="F112" i="7"/>
  <c r="G112" i="7"/>
  <c r="H112" i="7"/>
  <c r="I112" i="7"/>
  <c r="J112" i="7"/>
  <c r="K112" i="7"/>
  <c r="L112" i="7"/>
  <c r="I25" i="26" l="1"/>
  <c r="N16" i="26"/>
  <c r="M16" i="26"/>
  <c r="K16" i="26"/>
  <c r="C34" i="12"/>
  <c r="C33" i="12"/>
  <c r="H15" i="12"/>
  <c r="H14" i="12"/>
  <c r="H16" i="12"/>
  <c r="L16" i="26" l="1"/>
  <c r="E27" i="26"/>
  <c r="J16" i="26"/>
  <c r="C35" i="12"/>
  <c r="D33" i="12" s="1"/>
  <c r="G19" i="12"/>
  <c r="G18" i="12"/>
  <c r="H18" i="12"/>
  <c r="H19" i="12"/>
  <c r="F19" i="12"/>
  <c r="F18" i="12"/>
  <c r="D34" i="12" l="1"/>
  <c r="D35" i="12" s="1"/>
  <c r="E35" i="12" s="1"/>
  <c r="E34" i="12" s="1"/>
  <c r="D37" i="12"/>
  <c r="E37" i="12" l="1"/>
  <c r="J33" i="12" s="1"/>
  <c r="J43" i="12"/>
  <c r="J16" i="14"/>
  <c r="G12" i="14"/>
  <c r="D12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B8" i="14"/>
  <c r="B77" i="10" l="1"/>
  <c r="B6" i="11" l="1"/>
  <c r="B6" i="10"/>
  <c r="B66" i="11"/>
  <c r="B62" i="11"/>
  <c r="B56" i="11"/>
  <c r="B41" i="11"/>
  <c r="B65" i="11" s="1"/>
  <c r="B46" i="11"/>
  <c r="B45" i="11"/>
  <c r="B48" i="7"/>
  <c r="B43" i="7"/>
  <c r="B37" i="7"/>
  <c r="B34" i="7"/>
  <c r="B31" i="7"/>
  <c r="B28" i="7"/>
  <c r="B25" i="7"/>
  <c r="B22" i="7"/>
  <c r="B19" i="7"/>
  <c r="B16" i="7"/>
  <c r="B13" i="7"/>
  <c r="B10" i="7"/>
  <c r="D33" i="7"/>
  <c r="E33" i="7"/>
  <c r="F33" i="7"/>
  <c r="G33" i="7"/>
  <c r="H33" i="7"/>
  <c r="I33" i="7"/>
  <c r="J33" i="7"/>
  <c r="K33" i="7"/>
  <c r="L33" i="7"/>
  <c r="C33" i="7"/>
  <c r="C32" i="11"/>
  <c r="C46" i="11" s="1"/>
  <c r="D32" i="11"/>
  <c r="D46" i="11" s="1"/>
  <c r="E32" i="11"/>
  <c r="E46" i="11" s="1"/>
  <c r="F32" i="11"/>
  <c r="F46" i="11" s="1"/>
  <c r="G32" i="11"/>
  <c r="G46" i="11" s="1"/>
  <c r="H32" i="11"/>
  <c r="H46" i="11" s="1"/>
  <c r="I32" i="11"/>
  <c r="I46" i="11" s="1"/>
  <c r="J32" i="11"/>
  <c r="K32" i="11"/>
  <c r="K46" i="11" s="1"/>
  <c r="B31" i="11"/>
  <c r="B37" i="11" s="1"/>
  <c r="B55" i="11" l="1"/>
  <c r="B61" i="11"/>
  <c r="J46" i="11"/>
  <c r="K30" i="11"/>
  <c r="J30" i="11"/>
  <c r="I30" i="11"/>
  <c r="H30" i="11"/>
  <c r="G30" i="11"/>
  <c r="F30" i="11"/>
  <c r="E30" i="11"/>
  <c r="D30" i="11"/>
  <c r="C30" i="11"/>
  <c r="B79" i="10"/>
  <c r="B80" i="10" s="1"/>
  <c r="B81" i="10"/>
  <c r="B82" i="10" s="1"/>
  <c r="B83" i="10"/>
  <c r="B84" i="10" s="1"/>
  <c r="B78" i="10"/>
  <c r="B72" i="10"/>
  <c r="B73" i="10" s="1"/>
  <c r="B69" i="10"/>
  <c r="B70" i="10" s="1"/>
  <c r="B65" i="10"/>
  <c r="B66" i="10" s="1"/>
  <c r="B67" i="10"/>
  <c r="B68" i="10" s="1"/>
  <c r="B63" i="10"/>
  <c r="B64" i="10" s="1"/>
  <c r="B61" i="10"/>
  <c r="B62" i="10" s="1"/>
  <c r="B59" i="10"/>
  <c r="B60" i="10" s="1"/>
  <c r="B57" i="10"/>
  <c r="B58" i="10" s="1"/>
  <c r="B55" i="10"/>
  <c r="B56" i="10" s="1"/>
  <c r="B53" i="10"/>
  <c r="B54" i="10" s="1"/>
  <c r="B52" i="10"/>
  <c r="B46" i="10"/>
  <c r="B43" i="10"/>
  <c r="B44" i="10" s="1"/>
  <c r="B47" i="10"/>
  <c r="B49" i="10"/>
  <c r="B50" i="10" s="1"/>
  <c r="B41" i="10"/>
  <c r="B42" i="10" s="1"/>
  <c r="B36" i="10"/>
  <c r="B37" i="10" s="1"/>
  <c r="B33" i="10"/>
  <c r="B34" i="10" s="1"/>
  <c r="B30" i="10"/>
  <c r="B31" i="10" s="1"/>
  <c r="B28" i="10"/>
  <c r="B29" i="10" s="1"/>
  <c r="B26" i="10"/>
  <c r="B27" i="10" s="1"/>
  <c r="B24" i="10"/>
  <c r="B25" i="10" s="1"/>
  <c r="B22" i="10"/>
  <c r="B23" i="10" s="1"/>
  <c r="B20" i="10"/>
  <c r="B21" i="10" s="1"/>
  <c r="B18" i="10"/>
  <c r="B19" i="10" s="1"/>
  <c r="B16" i="10"/>
  <c r="B17" i="10" s="1"/>
  <c r="B10" i="10"/>
  <c r="B11" i="10" s="1"/>
  <c r="B14" i="10"/>
  <c r="B15" i="10" s="1"/>
  <c r="B12" i="10"/>
  <c r="L7" i="10"/>
  <c r="K7" i="10"/>
  <c r="J7" i="10"/>
  <c r="I7" i="10"/>
  <c r="H7" i="10"/>
  <c r="G7" i="10"/>
  <c r="F7" i="10"/>
  <c r="E7" i="10"/>
  <c r="D7" i="10"/>
  <c r="C7" i="10"/>
  <c r="D36" i="11" l="1"/>
  <c r="D60" i="11" s="1"/>
  <c r="D54" i="11"/>
  <c r="E36" i="11"/>
  <c r="E60" i="11" s="1"/>
  <c r="E54" i="11"/>
  <c r="F36" i="11"/>
  <c r="F60" i="11" s="1"/>
  <c r="F54" i="11"/>
  <c r="J36" i="11"/>
  <c r="J60" i="11" s="1"/>
  <c r="J54" i="11"/>
  <c r="H36" i="11"/>
  <c r="H60" i="11" s="1"/>
  <c r="H54" i="11"/>
  <c r="I36" i="11"/>
  <c r="I60" i="11" s="1"/>
  <c r="I54" i="11"/>
  <c r="C36" i="11"/>
  <c r="C60" i="11" s="1"/>
  <c r="C54" i="11"/>
  <c r="G36" i="11"/>
  <c r="G60" i="11" s="1"/>
  <c r="G54" i="11"/>
  <c r="K36" i="11"/>
  <c r="K60" i="11" s="1"/>
  <c r="K54" i="11"/>
  <c r="B48" i="10"/>
  <c r="B13" i="10"/>
  <c r="B40" i="9"/>
  <c r="B41" i="9"/>
  <c r="B39" i="9"/>
  <c r="B38" i="9"/>
  <c r="B36" i="9"/>
  <c r="B32" i="9"/>
  <c r="B30" i="9"/>
  <c r="B31" i="9"/>
  <c r="B29" i="9"/>
  <c r="B28" i="9"/>
  <c r="B27" i="9"/>
  <c r="B26" i="9"/>
  <c r="B25" i="9"/>
  <c r="B24" i="9"/>
  <c r="B22" i="9"/>
  <c r="B19" i="9"/>
  <c r="B18" i="9"/>
  <c r="B17" i="9"/>
  <c r="B16" i="9"/>
  <c r="B15" i="9"/>
  <c r="B14" i="9"/>
  <c r="B13" i="9"/>
  <c r="B12" i="9"/>
  <c r="B11" i="9"/>
  <c r="B9" i="9"/>
  <c r="B6" i="9"/>
  <c r="L7" i="9"/>
  <c r="K7" i="9"/>
  <c r="J7" i="9"/>
  <c r="I7" i="9"/>
  <c r="H7" i="9"/>
  <c r="G7" i="9"/>
  <c r="F7" i="9"/>
  <c r="E7" i="9"/>
  <c r="D7" i="9"/>
  <c r="C7" i="9"/>
  <c r="B6" i="8" l="1"/>
  <c r="L7" i="8"/>
  <c r="K7" i="8"/>
  <c r="J7" i="8"/>
  <c r="I7" i="8"/>
  <c r="H7" i="8"/>
  <c r="G7" i="8"/>
  <c r="F7" i="8"/>
  <c r="E7" i="8"/>
  <c r="D7" i="8"/>
  <c r="C7" i="8"/>
  <c r="D77" i="10"/>
  <c r="E77" i="10"/>
  <c r="F77" i="10"/>
  <c r="G77" i="10"/>
  <c r="H77" i="10"/>
  <c r="I77" i="10"/>
  <c r="J77" i="10"/>
  <c r="K77" i="10"/>
  <c r="L77" i="10"/>
  <c r="D79" i="10"/>
  <c r="E79" i="10"/>
  <c r="F79" i="10"/>
  <c r="G79" i="10"/>
  <c r="H79" i="10"/>
  <c r="I79" i="10"/>
  <c r="J79" i="10"/>
  <c r="K79" i="10"/>
  <c r="L79" i="10"/>
  <c r="D81" i="10"/>
  <c r="E81" i="10"/>
  <c r="F81" i="10"/>
  <c r="G81" i="10"/>
  <c r="H81" i="10"/>
  <c r="I81" i="10"/>
  <c r="J81" i="10"/>
  <c r="K81" i="10"/>
  <c r="L81" i="10"/>
  <c r="C79" i="10"/>
  <c r="C80" i="10" s="1"/>
  <c r="C81" i="10"/>
  <c r="C82" i="10" s="1"/>
  <c r="C77" i="10"/>
  <c r="C78" i="10" s="1"/>
  <c r="C73" i="7"/>
  <c r="B6" i="7"/>
  <c r="L82" i="10" l="1"/>
  <c r="H82" i="10"/>
  <c r="I82" i="10"/>
  <c r="E82" i="10"/>
  <c r="J80" i="10"/>
  <c r="F80" i="10"/>
  <c r="K78" i="10"/>
  <c r="G78" i="10"/>
  <c r="I80" i="10"/>
  <c r="E80" i="10"/>
  <c r="J78" i="10"/>
  <c r="F78" i="10"/>
  <c r="J82" i="10"/>
  <c r="F82" i="10"/>
  <c r="K80" i="10"/>
  <c r="G80" i="10"/>
  <c r="L78" i="10"/>
  <c r="H78" i="10"/>
  <c r="D78" i="10"/>
  <c r="C67" i="10"/>
  <c r="C68" i="10" s="1"/>
  <c r="D82" i="10"/>
  <c r="K82" i="10"/>
  <c r="G82" i="10"/>
  <c r="L80" i="10"/>
  <c r="H80" i="10"/>
  <c r="D80" i="10"/>
  <c r="I78" i="10"/>
  <c r="E78" i="10"/>
  <c r="K83" i="10"/>
  <c r="G83" i="10"/>
  <c r="C83" i="10"/>
  <c r="C84" i="10" s="1"/>
  <c r="I83" i="10"/>
  <c r="E83" i="10"/>
  <c r="J83" i="10"/>
  <c r="L83" i="10"/>
  <c r="H83" i="10"/>
  <c r="D83" i="10"/>
  <c r="F83" i="10"/>
  <c r="D67" i="7"/>
  <c r="D59" i="10" s="1"/>
  <c r="E67" i="7"/>
  <c r="E59" i="10" s="1"/>
  <c r="F67" i="7"/>
  <c r="F59" i="10" s="1"/>
  <c r="G67" i="7"/>
  <c r="G59" i="10" s="1"/>
  <c r="H67" i="7"/>
  <c r="H59" i="10" s="1"/>
  <c r="I67" i="7"/>
  <c r="I59" i="10" s="1"/>
  <c r="J67" i="7"/>
  <c r="J59" i="10" s="1"/>
  <c r="K67" i="7"/>
  <c r="K59" i="10" s="1"/>
  <c r="L67" i="7"/>
  <c r="L59" i="10" s="1"/>
  <c r="C67" i="7"/>
  <c r="C59" i="10" s="1"/>
  <c r="C60" i="10" s="1"/>
  <c r="D71" i="7"/>
  <c r="D63" i="10" s="1"/>
  <c r="E71" i="7"/>
  <c r="E63" i="10" s="1"/>
  <c r="F71" i="7"/>
  <c r="F63" i="10" s="1"/>
  <c r="G71" i="7"/>
  <c r="G63" i="10" s="1"/>
  <c r="H71" i="7"/>
  <c r="H63" i="10" s="1"/>
  <c r="I71" i="7"/>
  <c r="I63" i="10" s="1"/>
  <c r="J71" i="7"/>
  <c r="J63" i="10" s="1"/>
  <c r="K71" i="7"/>
  <c r="K63" i="10" s="1"/>
  <c r="L71" i="7"/>
  <c r="L63" i="10" s="1"/>
  <c r="D72" i="7"/>
  <c r="D65" i="10" s="1"/>
  <c r="E72" i="7"/>
  <c r="E65" i="10" s="1"/>
  <c r="F72" i="7"/>
  <c r="F65" i="10" s="1"/>
  <c r="G72" i="7"/>
  <c r="G65" i="10" s="1"/>
  <c r="H72" i="7"/>
  <c r="H65" i="10" s="1"/>
  <c r="I72" i="7"/>
  <c r="I65" i="10" s="1"/>
  <c r="J72" i="7"/>
  <c r="J65" i="10" s="1"/>
  <c r="K72" i="7"/>
  <c r="K65" i="10" s="1"/>
  <c r="L72" i="7"/>
  <c r="L65" i="10" s="1"/>
  <c r="D73" i="7"/>
  <c r="E73" i="7"/>
  <c r="F73" i="7"/>
  <c r="G73" i="7"/>
  <c r="H73" i="7"/>
  <c r="I73" i="7"/>
  <c r="J73" i="7"/>
  <c r="K73" i="7"/>
  <c r="L73" i="7"/>
  <c r="C72" i="7"/>
  <c r="C65" i="10" s="1"/>
  <c r="C66" i="10" s="1"/>
  <c r="C71" i="7"/>
  <c r="C63" i="10" s="1"/>
  <c r="C64" i="10" s="1"/>
  <c r="D64" i="7"/>
  <c r="D53" i="10" s="1"/>
  <c r="E64" i="7"/>
  <c r="E53" i="10" s="1"/>
  <c r="F64" i="7"/>
  <c r="F53" i="10" s="1"/>
  <c r="G64" i="7"/>
  <c r="G53" i="10" s="1"/>
  <c r="H64" i="7"/>
  <c r="H53" i="10" s="1"/>
  <c r="I64" i="7"/>
  <c r="I53" i="10" s="1"/>
  <c r="J64" i="7"/>
  <c r="J53" i="10" s="1"/>
  <c r="K64" i="7"/>
  <c r="K53" i="10" s="1"/>
  <c r="L64" i="7"/>
  <c r="L53" i="10" s="1"/>
  <c r="D65" i="7"/>
  <c r="D55" i="10" s="1"/>
  <c r="E65" i="7"/>
  <c r="E55" i="10" s="1"/>
  <c r="F65" i="7"/>
  <c r="F55" i="10" s="1"/>
  <c r="G65" i="7"/>
  <c r="G55" i="10" s="1"/>
  <c r="H65" i="7"/>
  <c r="H55" i="10" s="1"/>
  <c r="I65" i="7"/>
  <c r="I55" i="10" s="1"/>
  <c r="J65" i="7"/>
  <c r="J55" i="10" s="1"/>
  <c r="K65" i="7"/>
  <c r="K55" i="10" s="1"/>
  <c r="L65" i="7"/>
  <c r="L55" i="10" s="1"/>
  <c r="D66" i="7"/>
  <c r="D57" i="10" s="1"/>
  <c r="E66" i="7"/>
  <c r="E57" i="10" s="1"/>
  <c r="F66" i="7"/>
  <c r="F57" i="10" s="1"/>
  <c r="G66" i="7"/>
  <c r="G57" i="10" s="1"/>
  <c r="H66" i="7"/>
  <c r="H57" i="10" s="1"/>
  <c r="I66" i="7"/>
  <c r="I57" i="10" s="1"/>
  <c r="J66" i="7"/>
  <c r="J57" i="10" s="1"/>
  <c r="K66" i="7"/>
  <c r="K57" i="10" s="1"/>
  <c r="L66" i="7"/>
  <c r="L57" i="10" s="1"/>
  <c r="C65" i="7"/>
  <c r="C55" i="10" s="1"/>
  <c r="C56" i="10" s="1"/>
  <c r="C66" i="7"/>
  <c r="C57" i="10" s="1"/>
  <c r="C58" i="10" s="1"/>
  <c r="C64" i="7"/>
  <c r="C53" i="10" s="1"/>
  <c r="C54" i="10" s="1"/>
  <c r="D57" i="7"/>
  <c r="E57" i="7"/>
  <c r="F57" i="7"/>
  <c r="G57" i="7"/>
  <c r="H57" i="7"/>
  <c r="I57" i="7"/>
  <c r="J57" i="7"/>
  <c r="K57" i="7"/>
  <c r="L57" i="7"/>
  <c r="D58" i="7"/>
  <c r="E58" i="7"/>
  <c r="F58" i="7"/>
  <c r="G58" i="7"/>
  <c r="H58" i="7"/>
  <c r="I58" i="7"/>
  <c r="J58" i="7"/>
  <c r="K58" i="7"/>
  <c r="L58" i="7"/>
  <c r="D59" i="7"/>
  <c r="E59" i="7"/>
  <c r="F59" i="7"/>
  <c r="G59" i="7"/>
  <c r="H59" i="7"/>
  <c r="I59" i="7"/>
  <c r="J59" i="7"/>
  <c r="K59" i="7"/>
  <c r="L59" i="7"/>
  <c r="D60" i="7"/>
  <c r="E60" i="7"/>
  <c r="F60" i="7"/>
  <c r="G60" i="7"/>
  <c r="H60" i="7"/>
  <c r="I60" i="7"/>
  <c r="J60" i="7"/>
  <c r="K60" i="7"/>
  <c r="L60" i="7"/>
  <c r="C58" i="7"/>
  <c r="C59" i="7"/>
  <c r="C60" i="7"/>
  <c r="C17" i="8" s="1"/>
  <c r="C57" i="7"/>
  <c r="L45" i="7"/>
  <c r="L51" i="7" s="1"/>
  <c r="L36" i="10" s="1"/>
  <c r="K45" i="7"/>
  <c r="K51" i="7" s="1"/>
  <c r="K36" i="10" s="1"/>
  <c r="J45" i="7"/>
  <c r="J51" i="7" s="1"/>
  <c r="J36" i="10" s="1"/>
  <c r="I45" i="7"/>
  <c r="I51" i="7" s="1"/>
  <c r="I36" i="10" s="1"/>
  <c r="H45" i="7"/>
  <c r="H51" i="7" s="1"/>
  <c r="H36" i="10" s="1"/>
  <c r="G45" i="7"/>
  <c r="G51" i="7" s="1"/>
  <c r="G36" i="10" s="1"/>
  <c r="F45" i="7"/>
  <c r="F51" i="7" s="1"/>
  <c r="F36" i="10" s="1"/>
  <c r="E45" i="7"/>
  <c r="E51" i="7" s="1"/>
  <c r="E36" i="10" s="1"/>
  <c r="D45" i="7"/>
  <c r="D51" i="7" s="1"/>
  <c r="D36" i="10" s="1"/>
  <c r="C45" i="7"/>
  <c r="C51" i="7" s="1"/>
  <c r="L39" i="7"/>
  <c r="L28" i="10" s="1"/>
  <c r="K39" i="7"/>
  <c r="K28" i="10" s="1"/>
  <c r="J39" i="7"/>
  <c r="J28" i="10" s="1"/>
  <c r="I39" i="7"/>
  <c r="I28" i="10" s="1"/>
  <c r="H39" i="7"/>
  <c r="H28" i="10" s="1"/>
  <c r="G39" i="7"/>
  <c r="G28" i="10" s="1"/>
  <c r="F39" i="7"/>
  <c r="F28" i="10" s="1"/>
  <c r="E39" i="7"/>
  <c r="E28" i="10" s="1"/>
  <c r="D39" i="7"/>
  <c r="D28" i="10" s="1"/>
  <c r="C39" i="7"/>
  <c r="D24" i="7"/>
  <c r="D20" i="10" s="1"/>
  <c r="E24" i="7"/>
  <c r="E20" i="10" s="1"/>
  <c r="F24" i="7"/>
  <c r="F20" i="10" s="1"/>
  <c r="G24" i="7"/>
  <c r="G20" i="10" s="1"/>
  <c r="H24" i="7"/>
  <c r="H20" i="10" s="1"/>
  <c r="I24" i="7"/>
  <c r="I20" i="10" s="1"/>
  <c r="J24" i="7"/>
  <c r="J20" i="10" s="1"/>
  <c r="K24" i="7"/>
  <c r="K20" i="10" s="1"/>
  <c r="L24" i="7"/>
  <c r="L20" i="10" s="1"/>
  <c r="C24" i="7"/>
  <c r="C20" i="10" s="1"/>
  <c r="C21" i="10" s="1"/>
  <c r="L30" i="7"/>
  <c r="L24" i="10" s="1"/>
  <c r="K30" i="7"/>
  <c r="K24" i="10" s="1"/>
  <c r="J30" i="7"/>
  <c r="J24" i="10" s="1"/>
  <c r="I30" i="7"/>
  <c r="I24" i="10" s="1"/>
  <c r="H30" i="7"/>
  <c r="H24" i="10" s="1"/>
  <c r="G30" i="7"/>
  <c r="G24" i="10" s="1"/>
  <c r="F30" i="7"/>
  <c r="F24" i="10" s="1"/>
  <c r="E30" i="7"/>
  <c r="E24" i="10" s="1"/>
  <c r="D30" i="7"/>
  <c r="D24" i="10" s="1"/>
  <c r="C30" i="7"/>
  <c r="C24" i="10" s="1"/>
  <c r="C25" i="10" s="1"/>
  <c r="L66" i="10" l="1"/>
  <c r="H66" i="10"/>
  <c r="I64" i="10"/>
  <c r="E64" i="10"/>
  <c r="K60" i="10"/>
  <c r="G60" i="10"/>
  <c r="F84" i="10"/>
  <c r="L58" i="10"/>
  <c r="H58" i="10"/>
  <c r="I56" i="10"/>
  <c r="E56" i="10"/>
  <c r="J54" i="10"/>
  <c r="F54" i="10"/>
  <c r="J66" i="10"/>
  <c r="F66" i="10"/>
  <c r="K64" i="10"/>
  <c r="G64" i="10"/>
  <c r="L19" i="8"/>
  <c r="H19" i="8"/>
  <c r="D19" i="8"/>
  <c r="J58" i="10"/>
  <c r="F58" i="10"/>
  <c r="K56" i="10"/>
  <c r="G56" i="10"/>
  <c r="L54" i="10"/>
  <c r="H54" i="10"/>
  <c r="D54" i="10"/>
  <c r="D66" i="10"/>
  <c r="J84" i="10"/>
  <c r="D60" i="10"/>
  <c r="I58" i="10"/>
  <c r="E58" i="10"/>
  <c r="J56" i="10"/>
  <c r="F56" i="10"/>
  <c r="K54" i="10"/>
  <c r="G54" i="10"/>
  <c r="K66" i="10"/>
  <c r="G66" i="10"/>
  <c r="L64" i="10"/>
  <c r="H64" i="10"/>
  <c r="J60" i="10"/>
  <c r="F60" i="10"/>
  <c r="D84" i="10"/>
  <c r="E84" i="10"/>
  <c r="K67" i="10"/>
  <c r="K17" i="8"/>
  <c r="G67" i="10"/>
  <c r="G17" i="8"/>
  <c r="G84" i="10"/>
  <c r="C19" i="8"/>
  <c r="G19" i="8"/>
  <c r="D64" i="10"/>
  <c r="K84" i="10"/>
  <c r="J19" i="8"/>
  <c r="F19" i="8"/>
  <c r="D58" i="10"/>
  <c r="I17" i="8"/>
  <c r="I67" i="10"/>
  <c r="E17" i="8"/>
  <c r="E67" i="10"/>
  <c r="I60" i="10"/>
  <c r="E60" i="10"/>
  <c r="H84" i="10"/>
  <c r="I84" i="10"/>
  <c r="K19" i="8"/>
  <c r="J17" i="8"/>
  <c r="J67" i="10"/>
  <c r="F17" i="8"/>
  <c r="F67" i="10"/>
  <c r="I19" i="8"/>
  <c r="E19" i="8"/>
  <c r="K58" i="10"/>
  <c r="G58" i="10"/>
  <c r="L56" i="10"/>
  <c r="H56" i="10"/>
  <c r="D56" i="10"/>
  <c r="I54" i="10"/>
  <c r="E54" i="10"/>
  <c r="L17" i="8"/>
  <c r="L67" i="10"/>
  <c r="H17" i="8"/>
  <c r="H67" i="10"/>
  <c r="D17" i="8"/>
  <c r="D67" i="10"/>
  <c r="D68" i="10" s="1"/>
  <c r="I66" i="10"/>
  <c r="E66" i="10"/>
  <c r="J64" i="10"/>
  <c r="F64" i="10"/>
  <c r="L60" i="10"/>
  <c r="H60" i="10"/>
  <c r="L84" i="10"/>
  <c r="J21" i="10"/>
  <c r="F21" i="10"/>
  <c r="F29" i="10"/>
  <c r="J29" i="10"/>
  <c r="H37" i="10"/>
  <c r="L37" i="10"/>
  <c r="K21" i="10"/>
  <c r="G21" i="10"/>
  <c r="G25" i="10"/>
  <c r="K25" i="10"/>
  <c r="G29" i="10"/>
  <c r="K29" i="10"/>
  <c r="E37" i="10"/>
  <c r="I37" i="10"/>
  <c r="C28" i="10"/>
  <c r="C29" i="10" s="1"/>
  <c r="C41" i="10"/>
  <c r="H49" i="10"/>
  <c r="I41" i="8"/>
  <c r="I47" i="10"/>
  <c r="I35" i="9"/>
  <c r="I36" i="9" s="1"/>
  <c r="E41" i="8"/>
  <c r="E47" i="10"/>
  <c r="E35" i="9"/>
  <c r="E36" i="9" s="1"/>
  <c r="F43" i="10"/>
  <c r="G41" i="10"/>
  <c r="D25" i="10"/>
  <c r="L25" i="10"/>
  <c r="H29" i="10"/>
  <c r="F37" i="10"/>
  <c r="C49" i="10"/>
  <c r="C50" i="10" s="1"/>
  <c r="G49" i="10"/>
  <c r="H41" i="8"/>
  <c r="H47" i="10"/>
  <c r="H35" i="9"/>
  <c r="H36" i="9" s="1"/>
  <c r="D41" i="8"/>
  <c r="D47" i="10"/>
  <c r="D35" i="9"/>
  <c r="D36" i="9" s="1"/>
  <c r="I43" i="10"/>
  <c r="J41" i="10"/>
  <c r="F41" i="10"/>
  <c r="I21" i="10"/>
  <c r="E21" i="10"/>
  <c r="E29" i="10"/>
  <c r="I29" i="10"/>
  <c r="C36" i="10"/>
  <c r="C37" i="10" s="1"/>
  <c r="G37" i="10"/>
  <c r="K37" i="10"/>
  <c r="C41" i="8"/>
  <c r="C47" i="10"/>
  <c r="C35" i="9"/>
  <c r="C36" i="9" s="1"/>
  <c r="J49" i="10"/>
  <c r="F49" i="10"/>
  <c r="K41" i="8"/>
  <c r="K47" i="10"/>
  <c r="K35" i="9"/>
  <c r="K36" i="9" s="1"/>
  <c r="G41" i="8"/>
  <c r="G47" i="10"/>
  <c r="G35" i="9"/>
  <c r="G36" i="9" s="1"/>
  <c r="L43" i="10"/>
  <c r="H43" i="10"/>
  <c r="D43" i="10"/>
  <c r="I41" i="10"/>
  <c r="E41" i="10"/>
  <c r="L49" i="10"/>
  <c r="D49" i="10"/>
  <c r="J43" i="10"/>
  <c r="K41" i="10"/>
  <c r="H25" i="10"/>
  <c r="L29" i="10"/>
  <c r="J37" i="10"/>
  <c r="K49" i="10"/>
  <c r="L41" i="8"/>
  <c r="L47" i="10"/>
  <c r="L35" i="9"/>
  <c r="L36" i="9" s="1"/>
  <c r="E43" i="10"/>
  <c r="E25" i="10"/>
  <c r="I25" i="10"/>
  <c r="F25" i="10"/>
  <c r="J25" i="10"/>
  <c r="L21" i="10"/>
  <c r="H21" i="10"/>
  <c r="D21" i="10"/>
  <c r="C43" i="10"/>
  <c r="C44" i="10" s="1"/>
  <c r="I49" i="10"/>
  <c r="E49" i="10"/>
  <c r="J41" i="8"/>
  <c r="J47" i="10"/>
  <c r="J35" i="9"/>
  <c r="J36" i="9" s="1"/>
  <c r="F41" i="8"/>
  <c r="F47" i="10"/>
  <c r="F35" i="9"/>
  <c r="F36" i="9" s="1"/>
  <c r="K43" i="10"/>
  <c r="G43" i="10"/>
  <c r="L41" i="10"/>
  <c r="H41" i="10"/>
  <c r="D41" i="10"/>
  <c r="C74" i="7"/>
  <c r="C68" i="7"/>
  <c r="C61" i="10" s="1"/>
  <c r="C62" i="10" s="1"/>
  <c r="L74" i="7"/>
  <c r="H74" i="7"/>
  <c r="D74" i="7"/>
  <c r="J74" i="7"/>
  <c r="F74" i="7"/>
  <c r="L61" i="7"/>
  <c r="H61" i="7"/>
  <c r="D61" i="7"/>
  <c r="J61" i="7"/>
  <c r="F61" i="7"/>
  <c r="J68" i="7"/>
  <c r="J61" i="10" s="1"/>
  <c r="F68" i="7"/>
  <c r="F61" i="10" s="1"/>
  <c r="K74" i="7"/>
  <c r="G74" i="7"/>
  <c r="I74" i="7"/>
  <c r="E74" i="7"/>
  <c r="I61" i="7"/>
  <c r="E61" i="7"/>
  <c r="C61" i="7"/>
  <c r="K61" i="7"/>
  <c r="G61" i="7"/>
  <c r="K68" i="7"/>
  <c r="K61" i="10" s="1"/>
  <c r="G68" i="7"/>
  <c r="G61" i="10" s="1"/>
  <c r="I68" i="7"/>
  <c r="I61" i="10" s="1"/>
  <c r="E68" i="7"/>
  <c r="E61" i="10" s="1"/>
  <c r="L68" i="7"/>
  <c r="L61" i="10" s="1"/>
  <c r="L62" i="10" s="1"/>
  <c r="H68" i="7"/>
  <c r="H61" i="10" s="1"/>
  <c r="H62" i="10" s="1"/>
  <c r="D68" i="7"/>
  <c r="D61" i="10" s="1"/>
  <c r="D62" i="10" s="1"/>
  <c r="E38" i="9" l="1"/>
  <c r="K62" i="10"/>
  <c r="E62" i="10"/>
  <c r="J68" i="10"/>
  <c r="G68" i="10"/>
  <c r="L68" i="10"/>
  <c r="I62" i="10"/>
  <c r="G16" i="8"/>
  <c r="G15" i="8"/>
  <c r="G69" i="10"/>
  <c r="H15" i="8"/>
  <c r="H16" i="8"/>
  <c r="H69" i="10"/>
  <c r="E68" i="10"/>
  <c r="K16" i="8"/>
  <c r="K69" i="10"/>
  <c r="K15" i="8"/>
  <c r="F16" i="8"/>
  <c r="F69" i="10"/>
  <c r="F15" i="8"/>
  <c r="L15" i="8"/>
  <c r="L69" i="10"/>
  <c r="L16" i="8"/>
  <c r="E69" i="10"/>
  <c r="E15" i="8"/>
  <c r="E16" i="8"/>
  <c r="F62" i="10"/>
  <c r="J16" i="8"/>
  <c r="J69" i="10"/>
  <c r="J15" i="8"/>
  <c r="H68" i="10"/>
  <c r="I68" i="10"/>
  <c r="G62" i="10"/>
  <c r="I69" i="10"/>
  <c r="I15" i="8"/>
  <c r="I16" i="8"/>
  <c r="J62" i="10"/>
  <c r="D15" i="8"/>
  <c r="D16" i="8"/>
  <c r="D69" i="10"/>
  <c r="C15" i="8"/>
  <c r="C69" i="10"/>
  <c r="C70" i="10" s="1"/>
  <c r="C16" i="8"/>
  <c r="F68" i="10"/>
  <c r="K68" i="10"/>
  <c r="I41" i="9"/>
  <c r="K39" i="9"/>
  <c r="E41" i="9"/>
  <c r="K41" i="9"/>
  <c r="D29" i="10"/>
  <c r="D38" i="9"/>
  <c r="F40" i="9"/>
  <c r="J40" i="9"/>
  <c r="C39" i="9"/>
  <c r="D41" i="9"/>
  <c r="D39" i="9"/>
  <c r="F39" i="9"/>
  <c r="J41" i="9"/>
  <c r="C41" i="9"/>
  <c r="C40" i="9"/>
  <c r="G39" i="9"/>
  <c r="K38" i="9"/>
  <c r="I38" i="9"/>
  <c r="H39" i="9"/>
  <c r="G40" i="9"/>
  <c r="E39" i="9"/>
  <c r="H38" i="9"/>
  <c r="I40" i="9"/>
  <c r="C38" i="9"/>
  <c r="I39" i="9"/>
  <c r="L44" i="10"/>
  <c r="I50" i="10"/>
  <c r="D50" i="10"/>
  <c r="G44" i="10"/>
  <c r="K50" i="10"/>
  <c r="K44" i="10"/>
  <c r="J50" i="10"/>
  <c r="I44" i="10"/>
  <c r="H50" i="10"/>
  <c r="G51" i="10"/>
  <c r="G48" i="10"/>
  <c r="K51" i="10"/>
  <c r="K48" i="10"/>
  <c r="C51" i="10"/>
  <c r="C52" i="10" s="1"/>
  <c r="C48" i="10"/>
  <c r="F42" i="10"/>
  <c r="F45" i="10"/>
  <c r="I51" i="10"/>
  <c r="I48" i="10"/>
  <c r="E50" i="10"/>
  <c r="L40" i="9"/>
  <c r="J39" i="9"/>
  <c r="L41" i="9"/>
  <c r="E45" i="10"/>
  <c r="E42" i="10"/>
  <c r="D44" i="10"/>
  <c r="J38" i="9"/>
  <c r="G41" i="9"/>
  <c r="F44" i="10"/>
  <c r="C45" i="10"/>
  <c r="C46" i="10" s="1"/>
  <c r="C42" i="10"/>
  <c r="K42" i="10"/>
  <c r="K45" i="10"/>
  <c r="L38" i="9"/>
  <c r="F51" i="10"/>
  <c r="F48" i="10"/>
  <c r="J51" i="10"/>
  <c r="J48" i="10"/>
  <c r="D37" i="10"/>
  <c r="L48" i="10"/>
  <c r="L51" i="10"/>
  <c r="J44" i="10"/>
  <c r="L50" i="10"/>
  <c r="K40" i="9"/>
  <c r="F41" i="9"/>
  <c r="J45" i="10"/>
  <c r="J42" i="10"/>
  <c r="D40" i="9"/>
  <c r="H40" i="9"/>
  <c r="G50" i="10"/>
  <c r="G38" i="9"/>
  <c r="E40" i="9"/>
  <c r="H41" i="9"/>
  <c r="L39" i="9"/>
  <c r="E51" i="10"/>
  <c r="E48" i="10"/>
  <c r="H42" i="10"/>
  <c r="H45" i="10"/>
  <c r="D42" i="10"/>
  <c r="D45" i="10"/>
  <c r="L42" i="10"/>
  <c r="L45" i="10"/>
  <c r="E44" i="10"/>
  <c r="I45" i="10"/>
  <c r="I42" i="10"/>
  <c r="H44" i="10"/>
  <c r="F50" i="10"/>
  <c r="F38" i="9"/>
  <c r="D48" i="10"/>
  <c r="D51" i="10"/>
  <c r="H48" i="10"/>
  <c r="H51" i="10"/>
  <c r="G42" i="10"/>
  <c r="G45" i="10"/>
  <c r="C76" i="7"/>
  <c r="G76" i="7"/>
  <c r="H76" i="7"/>
  <c r="F76" i="7"/>
  <c r="L76" i="7"/>
  <c r="K76" i="7"/>
  <c r="D76" i="7"/>
  <c r="J76" i="7"/>
  <c r="E76" i="7"/>
  <c r="I76" i="7"/>
  <c r="D18" i="7"/>
  <c r="D16" i="10" s="1"/>
  <c r="E18" i="7"/>
  <c r="E16" i="10" s="1"/>
  <c r="F18" i="7"/>
  <c r="F16" i="10" s="1"/>
  <c r="G18" i="7"/>
  <c r="G16" i="10" s="1"/>
  <c r="H18" i="7"/>
  <c r="H16" i="10" s="1"/>
  <c r="I18" i="7"/>
  <c r="I16" i="10" s="1"/>
  <c r="J18" i="7"/>
  <c r="J16" i="10" s="1"/>
  <c r="K18" i="7"/>
  <c r="K16" i="10" s="1"/>
  <c r="L18" i="7"/>
  <c r="L16" i="10" s="1"/>
  <c r="C18" i="7"/>
  <c r="C16" i="10" s="1"/>
  <c r="C17" i="10" s="1"/>
  <c r="D12" i="7"/>
  <c r="E12" i="7"/>
  <c r="F12" i="7"/>
  <c r="G12" i="7"/>
  <c r="H12" i="7"/>
  <c r="I12" i="7"/>
  <c r="J12" i="7"/>
  <c r="K12" i="7"/>
  <c r="L12" i="7"/>
  <c r="C12" i="7"/>
  <c r="D9" i="7"/>
  <c r="E9" i="7"/>
  <c r="F9" i="7"/>
  <c r="G9" i="7"/>
  <c r="H9" i="7"/>
  <c r="I9" i="7"/>
  <c r="J9" i="7"/>
  <c r="K9" i="7"/>
  <c r="L9" i="7"/>
  <c r="C9" i="7"/>
  <c r="C34" i="7" s="1"/>
  <c r="K7" i="7"/>
  <c r="L7" i="7"/>
  <c r="D7" i="7"/>
  <c r="E7" i="7"/>
  <c r="F7" i="7"/>
  <c r="G7" i="7"/>
  <c r="H7" i="7"/>
  <c r="I7" i="7"/>
  <c r="J7" i="7"/>
  <c r="C7" i="7"/>
  <c r="I42" i="11" l="1"/>
  <c r="I45" i="11" s="1"/>
  <c r="I47" i="11" s="1"/>
  <c r="G42" i="11"/>
  <c r="G66" i="11" s="1"/>
  <c r="D42" i="11"/>
  <c r="D56" i="11" s="1"/>
  <c r="K42" i="11"/>
  <c r="K45" i="11" s="1"/>
  <c r="K47" i="11" s="1"/>
  <c r="I56" i="11"/>
  <c r="E42" i="11"/>
  <c r="C42" i="11"/>
  <c r="G45" i="11"/>
  <c r="G47" i="11" s="1"/>
  <c r="H42" i="11"/>
  <c r="J42" i="11"/>
  <c r="F42" i="11"/>
  <c r="L34" i="7"/>
  <c r="K38" i="11"/>
  <c r="H34" i="7"/>
  <c r="G38" i="11"/>
  <c r="C38" i="11"/>
  <c r="D34" i="7"/>
  <c r="E34" i="7"/>
  <c r="D38" i="11"/>
  <c r="J38" i="11"/>
  <c r="K34" i="7"/>
  <c r="F38" i="11"/>
  <c r="G34" i="7"/>
  <c r="I34" i="7"/>
  <c r="H38" i="11"/>
  <c r="I38" i="11"/>
  <c r="J34" i="7"/>
  <c r="E38" i="11"/>
  <c r="F34" i="7"/>
  <c r="F70" i="10"/>
  <c r="I70" i="10"/>
  <c r="L70" i="10"/>
  <c r="L31" i="8"/>
  <c r="L32" i="8"/>
  <c r="L28" i="8"/>
  <c r="L34" i="8" s="1"/>
  <c r="H31" i="8"/>
  <c r="H32" i="8"/>
  <c r="H28" i="8"/>
  <c r="H34" i="8" s="1"/>
  <c r="D31" i="8"/>
  <c r="D32" i="8"/>
  <c r="D28" i="8"/>
  <c r="D34" i="8" s="1"/>
  <c r="J12" i="10"/>
  <c r="J29" i="8"/>
  <c r="J35" i="8" s="1"/>
  <c r="J30" i="8"/>
  <c r="J36" i="8" s="1"/>
  <c r="F12" i="10"/>
  <c r="F29" i="8"/>
  <c r="F35" i="8" s="1"/>
  <c r="F30" i="8"/>
  <c r="F36" i="8" s="1"/>
  <c r="D78" i="7"/>
  <c r="D20" i="8"/>
  <c r="D72" i="10"/>
  <c r="H32" i="9"/>
  <c r="H20" i="8"/>
  <c r="H72" i="10"/>
  <c r="K32" i="8"/>
  <c r="K28" i="8"/>
  <c r="K34" i="8" s="1"/>
  <c r="K31" i="8"/>
  <c r="G32" i="8"/>
  <c r="G28" i="8"/>
  <c r="G34" i="8" s="1"/>
  <c r="G31" i="8"/>
  <c r="C30" i="8"/>
  <c r="C36" i="8" s="1"/>
  <c r="C29" i="8"/>
  <c r="C35" i="8" s="1"/>
  <c r="I12" i="10"/>
  <c r="I30" i="8"/>
  <c r="I36" i="8" s="1"/>
  <c r="I29" i="8"/>
  <c r="I35" i="8" s="1"/>
  <c r="E12" i="10"/>
  <c r="E30" i="8"/>
  <c r="E36" i="8" s="1"/>
  <c r="E29" i="8"/>
  <c r="E35" i="8" s="1"/>
  <c r="I72" i="10"/>
  <c r="I20" i="8"/>
  <c r="K28" i="9"/>
  <c r="K72" i="10"/>
  <c r="K20" i="8"/>
  <c r="G28" i="9"/>
  <c r="G20" i="8"/>
  <c r="G72" i="10"/>
  <c r="G70" i="10"/>
  <c r="J32" i="8"/>
  <c r="J28" i="8"/>
  <c r="J34" i="8" s="1"/>
  <c r="J31" i="8"/>
  <c r="F32" i="8"/>
  <c r="F28" i="8"/>
  <c r="F34" i="8" s="1"/>
  <c r="F31" i="8"/>
  <c r="L12" i="10"/>
  <c r="L30" i="8"/>
  <c r="L36" i="8" s="1"/>
  <c r="L29" i="8"/>
  <c r="L35" i="8" s="1"/>
  <c r="H12" i="10"/>
  <c r="I13" i="10" s="1"/>
  <c r="H30" i="8"/>
  <c r="H36" i="8" s="1"/>
  <c r="H29" i="8"/>
  <c r="H35" i="8" s="1"/>
  <c r="D12" i="10"/>
  <c r="D30" i="8"/>
  <c r="D36" i="8" s="1"/>
  <c r="D29" i="8"/>
  <c r="D35" i="8" s="1"/>
  <c r="E32" i="9"/>
  <c r="E72" i="10"/>
  <c r="E20" i="8"/>
  <c r="L20" i="8"/>
  <c r="L72" i="10"/>
  <c r="C32" i="9"/>
  <c r="C20" i="8"/>
  <c r="C72" i="10"/>
  <c r="C73" i="10" s="1"/>
  <c r="J70" i="10"/>
  <c r="H70" i="10"/>
  <c r="C31" i="8"/>
  <c r="C32" i="8"/>
  <c r="C28" i="8"/>
  <c r="C34" i="8" s="1"/>
  <c r="I31" i="8"/>
  <c r="I28" i="8"/>
  <c r="I34" i="8" s="1"/>
  <c r="I32" i="8"/>
  <c r="E31" i="8"/>
  <c r="E32" i="8"/>
  <c r="E28" i="8"/>
  <c r="E34" i="8" s="1"/>
  <c r="K12" i="10"/>
  <c r="K29" i="8"/>
  <c r="K35" i="8" s="1"/>
  <c r="K30" i="8"/>
  <c r="K36" i="8" s="1"/>
  <c r="G12" i="10"/>
  <c r="H13" i="10" s="1"/>
  <c r="G29" i="8"/>
  <c r="G35" i="8" s="1"/>
  <c r="G30" i="8"/>
  <c r="G36" i="8" s="1"/>
  <c r="J32" i="9"/>
  <c r="J72" i="10"/>
  <c r="J20" i="8"/>
  <c r="F78" i="7"/>
  <c r="F72" i="10"/>
  <c r="F73" i="10" s="1"/>
  <c r="F20" i="8"/>
  <c r="D70" i="10"/>
  <c r="E70" i="10"/>
  <c r="K70" i="10"/>
  <c r="F32" i="9"/>
  <c r="C78" i="7"/>
  <c r="D52" i="10"/>
  <c r="J28" i="9"/>
  <c r="J52" i="10"/>
  <c r="L17" i="10"/>
  <c r="H17" i="10"/>
  <c r="H52" i="10"/>
  <c r="K52" i="10"/>
  <c r="I17" i="10"/>
  <c r="E17" i="10"/>
  <c r="J46" i="10"/>
  <c r="J17" i="10"/>
  <c r="F17" i="10"/>
  <c r="G46" i="10"/>
  <c r="E52" i="10"/>
  <c r="H78" i="7"/>
  <c r="K46" i="10"/>
  <c r="C10" i="10"/>
  <c r="C11" i="10" s="1"/>
  <c r="C9" i="9"/>
  <c r="I40" i="8"/>
  <c r="I22" i="9"/>
  <c r="I31" i="9"/>
  <c r="I30" i="9"/>
  <c r="I24" i="9"/>
  <c r="I26" i="9"/>
  <c r="I25" i="9"/>
  <c r="I27" i="9"/>
  <c r="I29" i="9"/>
  <c r="K40" i="8"/>
  <c r="K22" i="9"/>
  <c r="K31" i="9"/>
  <c r="K25" i="9"/>
  <c r="K27" i="9"/>
  <c r="K29" i="9"/>
  <c r="K24" i="9"/>
  <c r="K26" i="9"/>
  <c r="K30" i="9"/>
  <c r="I32" i="9"/>
  <c r="L52" i="10"/>
  <c r="L39" i="8"/>
  <c r="L10" i="10"/>
  <c r="L9" i="9"/>
  <c r="H10" i="10"/>
  <c r="H9" i="9"/>
  <c r="D10" i="10"/>
  <c r="D9" i="9"/>
  <c r="D17" i="10"/>
  <c r="D40" i="8"/>
  <c r="D22" i="9"/>
  <c r="D25" i="9"/>
  <c r="D26" i="9"/>
  <c r="D24" i="9"/>
  <c r="D30" i="9"/>
  <c r="D27" i="9"/>
  <c r="D31" i="9"/>
  <c r="D29" i="9"/>
  <c r="L22" i="9"/>
  <c r="L29" i="9"/>
  <c r="L27" i="9"/>
  <c r="L30" i="9"/>
  <c r="L26" i="9"/>
  <c r="L24" i="9"/>
  <c r="L31" i="9"/>
  <c r="L25" i="9"/>
  <c r="C40" i="8"/>
  <c r="C22" i="9"/>
  <c r="C31" i="9"/>
  <c r="C25" i="9"/>
  <c r="C27" i="9"/>
  <c r="C24" i="9"/>
  <c r="C30" i="9"/>
  <c r="C26" i="9"/>
  <c r="C29" i="9"/>
  <c r="L32" i="9"/>
  <c r="D28" i="9"/>
  <c r="I52" i="10"/>
  <c r="G52" i="10"/>
  <c r="J10" i="10"/>
  <c r="J9" i="9"/>
  <c r="F10" i="10"/>
  <c r="F9" i="9"/>
  <c r="E22" i="9"/>
  <c r="E24" i="9"/>
  <c r="E27" i="9"/>
  <c r="E29" i="9"/>
  <c r="E30" i="9"/>
  <c r="E26" i="9"/>
  <c r="E25" i="9"/>
  <c r="E31" i="9"/>
  <c r="H22" i="9"/>
  <c r="H26" i="9"/>
  <c r="H29" i="9"/>
  <c r="H31" i="9"/>
  <c r="H30" i="9"/>
  <c r="H24" i="9"/>
  <c r="H27" i="9"/>
  <c r="H25" i="9"/>
  <c r="I46" i="10"/>
  <c r="H46" i="10"/>
  <c r="I10" i="10"/>
  <c r="I9" i="9"/>
  <c r="E10" i="10"/>
  <c r="E9" i="9"/>
  <c r="J40" i="8"/>
  <c r="J22" i="9"/>
  <c r="J29" i="9"/>
  <c r="J31" i="9"/>
  <c r="J30" i="9"/>
  <c r="J26" i="9"/>
  <c r="J24" i="9"/>
  <c r="J25" i="9"/>
  <c r="J27" i="9"/>
  <c r="G40" i="8"/>
  <c r="G22" i="9"/>
  <c r="G30" i="9"/>
  <c r="G29" i="9"/>
  <c r="G27" i="9"/>
  <c r="G26" i="9"/>
  <c r="G25" i="9"/>
  <c r="G24" i="9"/>
  <c r="G31" i="9"/>
  <c r="E46" i="10"/>
  <c r="D46" i="10"/>
  <c r="I28" i="9"/>
  <c r="K10" i="10"/>
  <c r="K9" i="9"/>
  <c r="G10" i="10"/>
  <c r="G9" i="9"/>
  <c r="C12" i="10"/>
  <c r="C13" i="7"/>
  <c r="C11" i="9" s="1"/>
  <c r="K17" i="10"/>
  <c r="G17" i="10"/>
  <c r="G78" i="7"/>
  <c r="H40" i="8"/>
  <c r="F40" i="8"/>
  <c r="F22" i="9"/>
  <c r="F25" i="9"/>
  <c r="F27" i="9"/>
  <c r="F24" i="9"/>
  <c r="F26" i="9"/>
  <c r="F29" i="9"/>
  <c r="F31" i="9"/>
  <c r="F30" i="9"/>
  <c r="L46" i="10"/>
  <c r="D32" i="9"/>
  <c r="H28" i="9"/>
  <c r="E28" i="9"/>
  <c r="C28" i="9"/>
  <c r="F52" i="10"/>
  <c r="F28" i="9"/>
  <c r="K32" i="9"/>
  <c r="G32" i="9"/>
  <c r="F46" i="10"/>
  <c r="L28" i="9"/>
  <c r="K78" i="7"/>
  <c r="L78" i="7"/>
  <c r="L40" i="8"/>
  <c r="C10" i="7"/>
  <c r="C39" i="8"/>
  <c r="I39" i="8"/>
  <c r="E39" i="8"/>
  <c r="J39" i="8"/>
  <c r="H39" i="8"/>
  <c r="D39" i="8"/>
  <c r="F39" i="8"/>
  <c r="K39" i="8"/>
  <c r="G39" i="8"/>
  <c r="I78" i="7"/>
  <c r="J78" i="7"/>
  <c r="E78" i="7"/>
  <c r="E40" i="8"/>
  <c r="L13" i="7"/>
  <c r="L11" i="9" s="1"/>
  <c r="I10" i="7"/>
  <c r="E10" i="7"/>
  <c r="G13" i="7"/>
  <c r="G11" i="9" s="1"/>
  <c r="K13" i="7"/>
  <c r="K11" i="9" s="1"/>
  <c r="E19" i="7"/>
  <c r="E13" i="9" s="1"/>
  <c r="H13" i="7"/>
  <c r="H11" i="9" s="1"/>
  <c r="D13" i="7"/>
  <c r="D11" i="9" s="1"/>
  <c r="J13" i="7"/>
  <c r="J11" i="9" s="1"/>
  <c r="F13" i="7"/>
  <c r="F11" i="9" s="1"/>
  <c r="K19" i="7"/>
  <c r="K13" i="9" s="1"/>
  <c r="G19" i="7"/>
  <c r="G13" i="9" s="1"/>
  <c r="E15" i="7"/>
  <c r="D10" i="7"/>
  <c r="I15" i="7"/>
  <c r="K15" i="7"/>
  <c r="G15" i="7"/>
  <c r="I13" i="7"/>
  <c r="I11" i="9" s="1"/>
  <c r="E13" i="7"/>
  <c r="E11" i="9" s="1"/>
  <c r="C19" i="7"/>
  <c r="C13" i="9" s="1"/>
  <c r="I19" i="7"/>
  <c r="I13" i="9" s="1"/>
  <c r="F19" i="7"/>
  <c r="F13" i="9" s="1"/>
  <c r="L19" i="7"/>
  <c r="L13" i="9" s="1"/>
  <c r="H19" i="7"/>
  <c r="H13" i="9" s="1"/>
  <c r="D19" i="7"/>
  <c r="D13" i="9" s="1"/>
  <c r="J25" i="7"/>
  <c r="J15" i="9" s="1"/>
  <c r="J31" i="7"/>
  <c r="J17" i="9" s="1"/>
  <c r="L10" i="7"/>
  <c r="F15" i="7"/>
  <c r="J15" i="7"/>
  <c r="J19" i="7"/>
  <c r="J13" i="9" s="1"/>
  <c r="C31" i="7"/>
  <c r="C17" i="9" s="1"/>
  <c r="C25" i="7"/>
  <c r="C15" i="9" s="1"/>
  <c r="I31" i="7"/>
  <c r="I17" i="9" s="1"/>
  <c r="I25" i="7"/>
  <c r="I15" i="9" s="1"/>
  <c r="E31" i="7"/>
  <c r="E17" i="9" s="1"/>
  <c r="E25" i="7"/>
  <c r="E15" i="9" s="1"/>
  <c r="K10" i="7"/>
  <c r="G10" i="7"/>
  <c r="C15" i="7"/>
  <c r="K31" i="7"/>
  <c r="K17" i="9" s="1"/>
  <c r="K25" i="7"/>
  <c r="K15" i="9" s="1"/>
  <c r="G25" i="7"/>
  <c r="G15" i="9" s="1"/>
  <c r="G31" i="7"/>
  <c r="G17" i="9" s="1"/>
  <c r="F25" i="7"/>
  <c r="F15" i="9" s="1"/>
  <c r="F31" i="7"/>
  <c r="F17" i="9" s="1"/>
  <c r="H10" i="7"/>
  <c r="L31" i="7"/>
  <c r="L17" i="9" s="1"/>
  <c r="L25" i="7"/>
  <c r="L15" i="9" s="1"/>
  <c r="H25" i="7"/>
  <c r="H15" i="9" s="1"/>
  <c r="H31" i="7"/>
  <c r="H17" i="9" s="1"/>
  <c r="D31" i="7"/>
  <c r="D17" i="9" s="1"/>
  <c r="D25" i="7"/>
  <c r="D15" i="9" s="1"/>
  <c r="J10" i="7"/>
  <c r="F10" i="7"/>
  <c r="D15" i="7"/>
  <c r="H15" i="7"/>
  <c r="L15" i="7"/>
  <c r="B6" i="6"/>
  <c r="E1" i="6"/>
  <c r="D45" i="11" l="1"/>
  <c r="D47" i="11" s="1"/>
  <c r="I66" i="11"/>
  <c r="D66" i="11"/>
  <c r="K56" i="11"/>
  <c r="K66" i="11"/>
  <c r="G56" i="11"/>
  <c r="L73" i="10"/>
  <c r="J13" i="10"/>
  <c r="J45" i="11"/>
  <c r="J47" i="11" s="1"/>
  <c r="J66" i="11"/>
  <c r="J56" i="11"/>
  <c r="E56" i="11"/>
  <c r="E66" i="11"/>
  <c r="E45" i="11"/>
  <c r="E47" i="11" s="1"/>
  <c r="F56" i="11"/>
  <c r="F45" i="11"/>
  <c r="F47" i="11" s="1"/>
  <c r="F66" i="11"/>
  <c r="K13" i="10"/>
  <c r="H66" i="11"/>
  <c r="H45" i="11"/>
  <c r="H47" i="11" s="1"/>
  <c r="H56" i="11"/>
  <c r="C45" i="11"/>
  <c r="C47" i="11" s="1"/>
  <c r="C66" i="11"/>
  <c r="C56" i="11"/>
  <c r="D62" i="11"/>
  <c r="D41" i="11"/>
  <c r="G41" i="11"/>
  <c r="G62" i="11"/>
  <c r="I41" i="11"/>
  <c r="I62" i="11"/>
  <c r="F62" i="11"/>
  <c r="F41" i="11"/>
  <c r="H62" i="11"/>
  <c r="H41" i="11"/>
  <c r="K62" i="11"/>
  <c r="K41" i="11"/>
  <c r="E62" i="11"/>
  <c r="E41" i="11"/>
  <c r="J62" i="11"/>
  <c r="J41" i="11"/>
  <c r="C41" i="11"/>
  <c r="C62" i="11"/>
  <c r="E73" i="10"/>
  <c r="G13" i="10"/>
  <c r="F13" i="10"/>
  <c r="E13" i="10"/>
  <c r="L13" i="10"/>
  <c r="G73" i="10"/>
  <c r="K73" i="10"/>
  <c r="C37" i="8"/>
  <c r="I73" i="10"/>
  <c r="J73" i="10"/>
  <c r="E37" i="8"/>
  <c r="I37" i="8"/>
  <c r="J37" i="8"/>
  <c r="G37" i="8"/>
  <c r="D73" i="10"/>
  <c r="H37" i="8"/>
  <c r="K37" i="8"/>
  <c r="L37" i="8"/>
  <c r="F37" i="8"/>
  <c r="H73" i="10"/>
  <c r="D37" i="8"/>
  <c r="K11" i="10"/>
  <c r="D11" i="10"/>
  <c r="G11" i="10"/>
  <c r="J11" i="10"/>
  <c r="H16" i="7"/>
  <c r="H9" i="8" s="1"/>
  <c r="H14" i="10"/>
  <c r="F21" i="7"/>
  <c r="F14" i="10"/>
  <c r="G21" i="7"/>
  <c r="G14" i="10"/>
  <c r="E21" i="7"/>
  <c r="E14" i="10"/>
  <c r="E11" i="10"/>
  <c r="L16" i="7"/>
  <c r="L9" i="8" s="1"/>
  <c r="L14" i="10"/>
  <c r="J21" i="7"/>
  <c r="J14" i="10"/>
  <c r="H11" i="10"/>
  <c r="D16" i="7"/>
  <c r="D9" i="8" s="1"/>
  <c r="D14" i="10"/>
  <c r="C21" i="7"/>
  <c r="C14" i="10"/>
  <c r="C15" i="10" s="1"/>
  <c r="K16" i="7"/>
  <c r="K9" i="8" s="1"/>
  <c r="K14" i="10"/>
  <c r="D13" i="10"/>
  <c r="C13" i="10"/>
  <c r="L11" i="10"/>
  <c r="I21" i="7"/>
  <c r="I14" i="10"/>
  <c r="I11" i="10"/>
  <c r="F11" i="10"/>
  <c r="J16" i="7"/>
  <c r="J9" i="8" s="1"/>
  <c r="E16" i="7"/>
  <c r="E9" i="8" s="1"/>
  <c r="C16" i="7"/>
  <c r="C9" i="8" s="1"/>
  <c r="K21" i="7"/>
  <c r="L21" i="7"/>
  <c r="H21" i="7"/>
  <c r="G16" i="7"/>
  <c r="G9" i="8" s="1"/>
  <c r="D21" i="7"/>
  <c r="I16" i="7"/>
  <c r="I9" i="8" s="1"/>
  <c r="F16" i="7"/>
  <c r="F9" i="8" s="1"/>
  <c r="J65" i="11" l="1"/>
  <c r="J67" i="11" s="1"/>
  <c r="J43" i="11"/>
  <c r="K43" i="11"/>
  <c r="K65" i="11"/>
  <c r="K67" i="11" s="1"/>
  <c r="F65" i="11"/>
  <c r="F67" i="11" s="1"/>
  <c r="F43" i="11"/>
  <c r="G43" i="11"/>
  <c r="G65" i="11"/>
  <c r="G67" i="11" s="1"/>
  <c r="E65" i="11"/>
  <c r="E67" i="11" s="1"/>
  <c r="E43" i="11"/>
  <c r="H43" i="11"/>
  <c r="H65" i="11"/>
  <c r="H67" i="11" s="1"/>
  <c r="D65" i="11"/>
  <c r="D67" i="11" s="1"/>
  <c r="D43" i="11"/>
  <c r="C43" i="11"/>
  <c r="C65" i="11"/>
  <c r="C67" i="11" s="1"/>
  <c r="I65" i="11"/>
  <c r="I67" i="11" s="1"/>
  <c r="I43" i="11"/>
  <c r="G22" i="7"/>
  <c r="G10" i="8" s="1"/>
  <c r="C22" i="7"/>
  <c r="C10" i="8" s="1"/>
  <c r="E22" i="7"/>
  <c r="E10" i="8" s="1"/>
  <c r="F22" i="7"/>
  <c r="F10" i="8" s="1"/>
  <c r="K15" i="10"/>
  <c r="D15" i="10"/>
  <c r="I15" i="10"/>
  <c r="K12" i="9"/>
  <c r="D12" i="9"/>
  <c r="L15" i="10"/>
  <c r="E27" i="7"/>
  <c r="E36" i="7" s="1"/>
  <c r="E42" i="7" s="1"/>
  <c r="D31" i="11" s="1"/>
  <c r="E18" i="10"/>
  <c r="F27" i="7"/>
  <c r="F18" i="10"/>
  <c r="E12" i="9"/>
  <c r="J12" i="9"/>
  <c r="J27" i="7"/>
  <c r="J18" i="10"/>
  <c r="F15" i="10"/>
  <c r="D27" i="7"/>
  <c r="D18" i="10"/>
  <c r="G12" i="9"/>
  <c r="L12" i="9"/>
  <c r="G15" i="10"/>
  <c r="H15" i="10"/>
  <c r="L27" i="7"/>
  <c r="M41" i="24" s="1"/>
  <c r="L18" i="10"/>
  <c r="I27" i="7"/>
  <c r="I18" i="10"/>
  <c r="E15" i="10"/>
  <c r="F12" i="9"/>
  <c r="K27" i="7"/>
  <c r="L41" i="24" s="1"/>
  <c r="K18" i="10"/>
  <c r="I12" i="9"/>
  <c r="C12" i="9"/>
  <c r="J22" i="7"/>
  <c r="J10" i="8" s="1"/>
  <c r="I22" i="7"/>
  <c r="I10" i="8" s="1"/>
  <c r="H18" i="10"/>
  <c r="C27" i="7"/>
  <c r="C36" i="7" s="1"/>
  <c r="C26" i="10" s="1"/>
  <c r="C27" i="10" s="1"/>
  <c r="C18" i="10"/>
  <c r="C19" i="10" s="1"/>
  <c r="J15" i="10"/>
  <c r="G27" i="7"/>
  <c r="G18" i="10"/>
  <c r="H12" i="9"/>
  <c r="H27" i="7"/>
  <c r="I41" i="24" s="1"/>
  <c r="L22" i="7"/>
  <c r="L10" i="8" s="1"/>
  <c r="H22" i="7"/>
  <c r="H10" i="8" s="1"/>
  <c r="D22" i="7"/>
  <c r="D10" i="8" s="1"/>
  <c r="K22" i="7"/>
  <c r="K10" i="8" s="1"/>
  <c r="G36" i="7" l="1"/>
  <c r="G42" i="7" s="1"/>
  <c r="F31" i="11" s="1"/>
  <c r="F33" i="11" s="1"/>
  <c r="H41" i="24"/>
  <c r="L52" i="24"/>
  <c r="L54" i="24" s="1"/>
  <c r="L58" i="24" s="1"/>
  <c r="L43" i="24"/>
  <c r="L45" i="24" s="1"/>
  <c r="L66" i="24" s="1"/>
  <c r="I36" i="7"/>
  <c r="I42" i="7" s="1"/>
  <c r="H31" i="11" s="1"/>
  <c r="H33" i="11" s="1"/>
  <c r="J41" i="24"/>
  <c r="M52" i="24"/>
  <c r="M54" i="24" s="1"/>
  <c r="M43" i="24"/>
  <c r="M45" i="24" s="1"/>
  <c r="M66" i="24" s="1"/>
  <c r="I52" i="24"/>
  <c r="I54" i="24" s="1"/>
  <c r="I58" i="24" s="1"/>
  <c r="I65" i="24" s="1"/>
  <c r="I43" i="24"/>
  <c r="I45" i="24" s="1"/>
  <c r="I66" i="24" s="1"/>
  <c r="J36" i="7"/>
  <c r="J40" i="7" s="1"/>
  <c r="K41" i="24"/>
  <c r="F36" i="7"/>
  <c r="F37" i="7" s="1"/>
  <c r="F18" i="9" s="1"/>
  <c r="G41" i="24"/>
  <c r="G14" i="9"/>
  <c r="C42" i="7"/>
  <c r="C25" i="8" s="1"/>
  <c r="C37" i="7"/>
  <c r="C12" i="8" s="1"/>
  <c r="C40" i="7"/>
  <c r="D37" i="11"/>
  <c r="D33" i="11"/>
  <c r="F12" i="8"/>
  <c r="H37" i="11"/>
  <c r="E26" i="10"/>
  <c r="E37" i="7"/>
  <c r="E12" i="8" s="1"/>
  <c r="E40" i="7"/>
  <c r="D22" i="10"/>
  <c r="D36" i="7"/>
  <c r="D42" i="7" s="1"/>
  <c r="C31" i="11" s="1"/>
  <c r="H22" i="10"/>
  <c r="H36" i="7"/>
  <c r="H26" i="10" s="1"/>
  <c r="K22" i="10"/>
  <c r="K36" i="7"/>
  <c r="K26" i="10" s="1"/>
  <c r="L22" i="10"/>
  <c r="L23" i="10" s="1"/>
  <c r="L36" i="7"/>
  <c r="L40" i="7" s="1"/>
  <c r="E14" i="9"/>
  <c r="C14" i="9"/>
  <c r="D21" i="8"/>
  <c r="D28" i="7"/>
  <c r="D16" i="9" s="1"/>
  <c r="D23" i="8"/>
  <c r="L21" i="8"/>
  <c r="F14" i="9"/>
  <c r="L23" i="8"/>
  <c r="L28" i="7"/>
  <c r="K21" i="8"/>
  <c r="K28" i="7"/>
  <c r="K23" i="8"/>
  <c r="J19" i="10"/>
  <c r="F19" i="10"/>
  <c r="D19" i="10"/>
  <c r="J22" i="10"/>
  <c r="J28" i="7"/>
  <c r="J11" i="8" s="1"/>
  <c r="J21" i="8"/>
  <c r="J23" i="8"/>
  <c r="D14" i="9"/>
  <c r="L14" i="9"/>
  <c r="G22" i="10"/>
  <c r="G28" i="7"/>
  <c r="G11" i="8" s="1"/>
  <c r="G23" i="8"/>
  <c r="G21" i="8"/>
  <c r="I26" i="10"/>
  <c r="J14" i="9"/>
  <c r="I19" i="10"/>
  <c r="L19" i="10"/>
  <c r="C18" i="9"/>
  <c r="E19" i="10"/>
  <c r="H14" i="9"/>
  <c r="E25" i="8"/>
  <c r="E30" i="10"/>
  <c r="G19" i="10"/>
  <c r="C22" i="10"/>
  <c r="C23" i="10" s="1"/>
  <c r="C21" i="8"/>
  <c r="C28" i="7"/>
  <c r="C11" i="8" s="1"/>
  <c r="C23" i="8"/>
  <c r="I14" i="9"/>
  <c r="K19" i="10"/>
  <c r="F22" i="10"/>
  <c r="F23" i="8"/>
  <c r="F21" i="8"/>
  <c r="F28" i="7"/>
  <c r="F11" i="8" s="1"/>
  <c r="K14" i="9"/>
  <c r="H19" i="10"/>
  <c r="I22" i="10"/>
  <c r="I21" i="8"/>
  <c r="I28" i="7"/>
  <c r="I11" i="8" s="1"/>
  <c r="I23" i="8"/>
  <c r="J26" i="10"/>
  <c r="E22" i="10"/>
  <c r="E28" i="7"/>
  <c r="E11" i="8" s="1"/>
  <c r="E23" i="8"/>
  <c r="E21" i="8"/>
  <c r="E47" i="7"/>
  <c r="I47" i="7"/>
  <c r="H23" i="8"/>
  <c r="H21" i="8"/>
  <c r="H28" i="7"/>
  <c r="E43" i="7"/>
  <c r="E13" i="8" s="1"/>
  <c r="L65" i="24" l="1"/>
  <c r="L68" i="24" s="1"/>
  <c r="G43" i="7"/>
  <c r="G13" i="8" s="1"/>
  <c r="I30" i="10"/>
  <c r="D26" i="10"/>
  <c r="D27" i="10" s="1"/>
  <c r="G25" i="8"/>
  <c r="F40" i="7"/>
  <c r="F37" i="11"/>
  <c r="F61" i="11" s="1"/>
  <c r="F63" i="11" s="1"/>
  <c r="F69" i="11" s="1"/>
  <c r="G40" i="7"/>
  <c r="G37" i="7"/>
  <c r="G12" i="8" s="1"/>
  <c r="M58" i="24"/>
  <c r="I43" i="7"/>
  <c r="I13" i="8" s="1"/>
  <c r="J37" i="7"/>
  <c r="J12" i="8" s="1"/>
  <c r="I25" i="8"/>
  <c r="I40" i="7"/>
  <c r="G47" i="7"/>
  <c r="G52" i="7" s="1"/>
  <c r="G53" i="7" s="1"/>
  <c r="G24" i="8" s="1"/>
  <c r="G30" i="10"/>
  <c r="I37" i="7"/>
  <c r="I12" i="8" s="1"/>
  <c r="J42" i="7"/>
  <c r="J30" i="10" s="1"/>
  <c r="J31" i="10" s="1"/>
  <c r="F26" i="10"/>
  <c r="G26" i="10"/>
  <c r="G27" i="10" s="1"/>
  <c r="F42" i="7"/>
  <c r="G52" i="24"/>
  <c r="G54" i="24" s="1"/>
  <c r="G43" i="24"/>
  <c r="G45" i="24" s="1"/>
  <c r="K52" i="24"/>
  <c r="K54" i="24" s="1"/>
  <c r="K58" i="24" s="1"/>
  <c r="K65" i="24" s="1"/>
  <c r="K43" i="24"/>
  <c r="K45" i="24" s="1"/>
  <c r="K66" i="24" s="1"/>
  <c r="I68" i="24"/>
  <c r="J52" i="24"/>
  <c r="J54" i="24" s="1"/>
  <c r="J58" i="24" s="1"/>
  <c r="J65" i="24" s="1"/>
  <c r="J43" i="24"/>
  <c r="J45" i="24" s="1"/>
  <c r="J66" i="24" s="1"/>
  <c r="H52" i="24"/>
  <c r="H54" i="24" s="1"/>
  <c r="H58" i="24" s="1"/>
  <c r="H43" i="24"/>
  <c r="H45" i="24" s="1"/>
  <c r="H66" i="24" s="1"/>
  <c r="E52" i="7"/>
  <c r="E53" i="7" s="1"/>
  <c r="E24" i="8" s="1"/>
  <c r="E26" i="8" s="1"/>
  <c r="F25" i="8"/>
  <c r="F30" i="10"/>
  <c r="F31" i="10" s="1"/>
  <c r="D40" i="7"/>
  <c r="H37" i="7"/>
  <c r="H12" i="8" s="1"/>
  <c r="H40" i="7"/>
  <c r="C30" i="10"/>
  <c r="C31" i="10" s="1"/>
  <c r="C47" i="7"/>
  <c r="C43" i="7"/>
  <c r="C13" i="8" s="1"/>
  <c r="F27" i="10"/>
  <c r="E23" i="10"/>
  <c r="E18" i="9"/>
  <c r="H23" i="10"/>
  <c r="I23" i="10"/>
  <c r="K42" i="7"/>
  <c r="J31" i="11" s="1"/>
  <c r="J37" i="11" s="1"/>
  <c r="K37" i="7"/>
  <c r="K12" i="8" s="1"/>
  <c r="K23" i="10"/>
  <c r="H27" i="10"/>
  <c r="K40" i="7"/>
  <c r="L37" i="7"/>
  <c r="L12" i="8" s="1"/>
  <c r="D37" i="7"/>
  <c r="D12" i="8" s="1"/>
  <c r="I27" i="10"/>
  <c r="L26" i="10"/>
  <c r="L27" i="10" s="1"/>
  <c r="L42" i="7"/>
  <c r="K31" i="11" s="1"/>
  <c r="K37" i="11" s="1"/>
  <c r="H42" i="7"/>
  <c r="G31" i="11" s="1"/>
  <c r="C37" i="11"/>
  <c r="C33" i="11"/>
  <c r="H30" i="10"/>
  <c r="I31" i="10" s="1"/>
  <c r="I31" i="11"/>
  <c r="H61" i="11"/>
  <c r="H63" i="11" s="1"/>
  <c r="H69" i="11" s="1"/>
  <c r="H39" i="11"/>
  <c r="H49" i="11" s="1"/>
  <c r="H51" i="11" s="1"/>
  <c r="H55" i="11"/>
  <c r="H57" i="11" s="1"/>
  <c r="F55" i="11"/>
  <c r="F57" i="11" s="1"/>
  <c r="F39" i="11"/>
  <c r="F49" i="11" s="1"/>
  <c r="F51" i="11" s="1"/>
  <c r="D61" i="11"/>
  <c r="D63" i="11" s="1"/>
  <c r="D69" i="11" s="1"/>
  <c r="D39" i="11"/>
  <c r="D49" i="11" s="1"/>
  <c r="D51" i="11" s="1"/>
  <c r="D55" i="11"/>
  <c r="D57" i="11" s="1"/>
  <c r="D11" i="8"/>
  <c r="J43" i="7"/>
  <c r="J13" i="8" s="1"/>
  <c r="J25" i="8"/>
  <c r="K16" i="9"/>
  <c r="K11" i="8"/>
  <c r="I18" i="9"/>
  <c r="H16" i="9"/>
  <c r="H11" i="8"/>
  <c r="L16" i="9"/>
  <c r="L11" i="8"/>
  <c r="G19" i="9"/>
  <c r="J16" i="9"/>
  <c r="J27" i="10"/>
  <c r="I16" i="9"/>
  <c r="C16" i="9"/>
  <c r="K27" i="10"/>
  <c r="G16" i="9"/>
  <c r="J23" i="10"/>
  <c r="E19" i="9"/>
  <c r="I19" i="9"/>
  <c r="E33" i="10"/>
  <c r="E16" i="9"/>
  <c r="I52" i="7"/>
  <c r="I53" i="7" s="1"/>
  <c r="I24" i="8" s="1"/>
  <c r="I33" i="10"/>
  <c r="D23" i="10"/>
  <c r="E27" i="10"/>
  <c r="D43" i="7"/>
  <c r="D13" i="8" s="1"/>
  <c r="D30" i="10"/>
  <c r="J18" i="9"/>
  <c r="F16" i="9"/>
  <c r="F23" i="10"/>
  <c r="G23" i="10"/>
  <c r="G33" i="10"/>
  <c r="D47" i="7"/>
  <c r="D25" i="8"/>
  <c r="M61" i="24" l="1"/>
  <c r="J11" i="26" s="1"/>
  <c r="K11" i="26" s="1"/>
  <c r="L11" i="26" s="1"/>
  <c r="M11" i="26" s="1"/>
  <c r="M65" i="24"/>
  <c r="M68" i="24" s="1"/>
  <c r="J47" i="7"/>
  <c r="C19" i="9"/>
  <c r="G18" i="9"/>
  <c r="G26" i="8"/>
  <c r="H65" i="24"/>
  <c r="H68" i="24" s="1"/>
  <c r="M60" i="24"/>
  <c r="E31" i="11"/>
  <c r="F43" i="7"/>
  <c r="D48" i="7"/>
  <c r="I26" i="8"/>
  <c r="F47" i="7"/>
  <c r="J68" i="24"/>
  <c r="K68" i="24"/>
  <c r="C33" i="10"/>
  <c r="C34" i="10" s="1"/>
  <c r="C48" i="7"/>
  <c r="J33" i="10"/>
  <c r="J34" i="10" s="1"/>
  <c r="J48" i="7"/>
  <c r="F33" i="10"/>
  <c r="G34" i="10" s="1"/>
  <c r="F48" i="7"/>
  <c r="G48" i="7"/>
  <c r="E48" i="7"/>
  <c r="G31" i="10"/>
  <c r="F49" i="7"/>
  <c r="F52" i="7"/>
  <c r="F53" i="7" s="1"/>
  <c r="F24" i="8" s="1"/>
  <c r="F26" i="8" s="1"/>
  <c r="D31" i="10"/>
  <c r="L43" i="7"/>
  <c r="L13" i="8" s="1"/>
  <c r="G49" i="7"/>
  <c r="H18" i="9"/>
  <c r="L25" i="8"/>
  <c r="H47" i="7"/>
  <c r="H49" i="7" s="1"/>
  <c r="D18" i="9"/>
  <c r="C52" i="7"/>
  <c r="C53" i="7" s="1"/>
  <c r="C24" i="8" s="1"/>
  <c r="C26" i="8" s="1"/>
  <c r="K30" i="10"/>
  <c r="K31" i="10" s="1"/>
  <c r="L47" i="7"/>
  <c r="K33" i="11"/>
  <c r="K18" i="9"/>
  <c r="H71" i="11"/>
  <c r="L18" i="9"/>
  <c r="K47" i="7"/>
  <c r="K48" i="7" s="1"/>
  <c r="L30" i="10"/>
  <c r="J33" i="11"/>
  <c r="K25" i="8"/>
  <c r="K43" i="7"/>
  <c r="K13" i="8" s="1"/>
  <c r="H25" i="8"/>
  <c r="H43" i="7"/>
  <c r="H13" i="8" s="1"/>
  <c r="H31" i="10"/>
  <c r="D71" i="11"/>
  <c r="K55" i="11"/>
  <c r="K57" i="11" s="1"/>
  <c r="K39" i="11"/>
  <c r="K49" i="11" s="1"/>
  <c r="K61" i="11"/>
  <c r="K63" i="11" s="1"/>
  <c r="K69" i="11" s="1"/>
  <c r="G33" i="11"/>
  <c r="G37" i="11"/>
  <c r="F71" i="11"/>
  <c r="J55" i="11"/>
  <c r="J57" i="11" s="1"/>
  <c r="J39" i="11"/>
  <c r="J49" i="11" s="1"/>
  <c r="J51" i="11" s="1"/>
  <c r="J61" i="11"/>
  <c r="J63" i="11" s="1"/>
  <c r="J69" i="11" s="1"/>
  <c r="I33" i="11"/>
  <c r="I37" i="11"/>
  <c r="C55" i="11"/>
  <c r="C57" i="11" s="1"/>
  <c r="C39" i="11"/>
  <c r="C49" i="11" s="1"/>
  <c r="C51" i="11" s="1"/>
  <c r="C61" i="11"/>
  <c r="C63" i="11" s="1"/>
  <c r="C69" i="11" s="1"/>
  <c r="J49" i="7"/>
  <c r="J52" i="7"/>
  <c r="J53" i="7" s="1"/>
  <c r="J24" i="8" s="1"/>
  <c r="J26" i="8" s="1"/>
  <c r="J19" i="9"/>
  <c r="D32" i="10"/>
  <c r="D49" i="7"/>
  <c r="D33" i="10"/>
  <c r="E31" i="10"/>
  <c r="D19" i="9"/>
  <c r="D52" i="7"/>
  <c r="D53" i="7" s="1"/>
  <c r="D24" i="8" s="1"/>
  <c r="D26" i="8" s="1"/>
  <c r="E49" i="7"/>
  <c r="M70" i="24" l="1"/>
  <c r="I13" i="26"/>
  <c r="F13" i="8"/>
  <c r="F19" i="9"/>
  <c r="M71" i="24"/>
  <c r="D34" i="10"/>
  <c r="E37" i="11"/>
  <c r="E33" i="11"/>
  <c r="F34" i="10"/>
  <c r="L33" i="10"/>
  <c r="L34" i="10" s="1"/>
  <c r="L48" i="7"/>
  <c r="I49" i="7"/>
  <c r="H48" i="7"/>
  <c r="I48" i="7"/>
  <c r="L19" i="9"/>
  <c r="H52" i="7"/>
  <c r="H53" i="7" s="1"/>
  <c r="H24" i="8" s="1"/>
  <c r="H26" i="8" s="1"/>
  <c r="H33" i="10"/>
  <c r="I34" i="10" s="1"/>
  <c r="L52" i="7"/>
  <c r="L53" i="7" s="1"/>
  <c r="L24" i="8" s="1"/>
  <c r="L26" i="8" s="1"/>
  <c r="L49" i="7"/>
  <c r="K49" i="7"/>
  <c r="L31" i="10"/>
  <c r="K51" i="11"/>
  <c r="K52" i="7"/>
  <c r="K53" i="7" s="1"/>
  <c r="K24" i="8" s="1"/>
  <c r="K26" i="8" s="1"/>
  <c r="K33" i="10"/>
  <c r="K34" i="10" s="1"/>
  <c r="K19" i="9"/>
  <c r="H19" i="9"/>
  <c r="C71" i="11"/>
  <c r="K71" i="11"/>
  <c r="I61" i="11"/>
  <c r="I63" i="11" s="1"/>
  <c r="I69" i="11" s="1"/>
  <c r="I55" i="11"/>
  <c r="I57" i="11" s="1"/>
  <c r="I39" i="11"/>
  <c r="I49" i="11" s="1"/>
  <c r="I51" i="11" s="1"/>
  <c r="J71" i="11"/>
  <c r="G39" i="11"/>
  <c r="G49" i="11" s="1"/>
  <c r="G51" i="11" s="1"/>
  <c r="G61" i="11"/>
  <c r="G63" i="11" s="1"/>
  <c r="G69" i="11" s="1"/>
  <c r="G55" i="11"/>
  <c r="G57" i="11" s="1"/>
  <c r="H34" i="10"/>
  <c r="D35" i="10"/>
  <c r="E34" i="10"/>
  <c r="J10" i="26" l="1"/>
  <c r="K10" i="26" s="1"/>
  <c r="G27" i="26"/>
  <c r="E61" i="11"/>
  <c r="E63" i="11" s="1"/>
  <c r="E69" i="11" s="1"/>
  <c r="E39" i="11"/>
  <c r="E49" i="11" s="1"/>
  <c r="E51" i="11" s="1"/>
  <c r="E55" i="11"/>
  <c r="E57" i="11" s="1"/>
  <c r="I71" i="11"/>
  <c r="G71" i="11"/>
  <c r="J13" i="26" l="1"/>
  <c r="E71" i="11"/>
  <c r="L10" i="26"/>
  <c r="K13" i="26"/>
  <c r="K18" i="26" s="1"/>
  <c r="J18" i="26" l="1"/>
  <c r="M10" i="26"/>
  <c r="L13" i="26"/>
  <c r="L18" i="26" s="1"/>
  <c r="N10" i="26" l="1"/>
  <c r="N13" i="26" s="1"/>
  <c r="E26" i="26" s="1"/>
  <c r="M13" i="26"/>
  <c r="M18" i="26" s="1"/>
  <c r="E30" i="26" l="1"/>
  <c r="N18" i="26"/>
  <c r="E34" i="26" s="1"/>
  <c r="E35" i="26" l="1"/>
  <c r="E36" i="26" s="1"/>
  <c r="G25" i="26" s="1"/>
  <c r="E40" i="26" l="1"/>
  <c r="E43" i="26" l="1"/>
  <c r="E46" i="26" s="1"/>
</calcChain>
</file>

<file path=xl/sharedStrings.xml><?xml version="1.0" encoding="utf-8"?>
<sst xmlns="http://schemas.openxmlformats.org/spreadsheetml/2006/main" count="700" uniqueCount="373">
  <si>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</si>
  <si>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</si>
  <si>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</si>
  <si>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</si>
  <si>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</si>
  <si>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</si>
  <si>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</si>
  <si>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</si>
  <si>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</si>
  <si>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</si>
  <si>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</si>
  <si>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</si>
  <si>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</si>
  <si>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</si>
  <si>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</si>
  <si>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</si>
  <si>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</si>
  <si>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</si>
  <si>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</si>
  <si>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</si>
  <si>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</si>
  <si>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</si>
  <si>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</si>
  <si>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</si>
  <si>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</si>
  <si>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</si>
  <si>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</si>
  <si>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</si>
  <si>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</si>
  <si>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</si>
  <si>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</si>
  <si>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</si>
  <si>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ULTRATECH CEMENT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</si>
  <si>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</si>
  <si>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</si>
  <si>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</si>
  <si>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</si>
  <si>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</si>
  <si>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</si>
  <si>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</si>
  <si>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</si>
  <si>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</si>
  <si>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</si>
  <si>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</si>
  <si>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</si>
  <si>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</si>
  <si>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</si>
  <si>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</si>
  <si>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</si>
  <si>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</si>
  <si>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</si>
  <si>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</si>
  <si>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</si>
  <si>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</si>
  <si>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Years</t>
  </si>
  <si>
    <t>Income Statement</t>
  </si>
  <si>
    <t>#</t>
  </si>
  <si>
    <t>COGS</t>
  </si>
  <si>
    <t>Gross Profit</t>
  </si>
  <si>
    <t>Selling &amp; Other Exp.</t>
  </si>
  <si>
    <t>EBITDA</t>
  </si>
  <si>
    <t>EBT</t>
  </si>
  <si>
    <t>Effective Tax Rate</t>
  </si>
  <si>
    <t>Net Profit</t>
  </si>
  <si>
    <t>Earnings Per Share</t>
  </si>
  <si>
    <t>Dividend Per Share</t>
  </si>
  <si>
    <t>Dividend Payout Ratio</t>
  </si>
  <si>
    <t>Retained Earnings</t>
  </si>
  <si>
    <t>Balance Sheet</t>
  </si>
  <si>
    <t>Total Equity &amp; Liabilities</t>
  </si>
  <si>
    <t>Equity &amp; Liabilities</t>
  </si>
  <si>
    <t>Non Current Assets</t>
  </si>
  <si>
    <t>Total Non Current Assets</t>
  </si>
  <si>
    <t>Current Assets</t>
  </si>
  <si>
    <t>Total Current Assets</t>
  </si>
  <si>
    <t>Total Assets</t>
  </si>
  <si>
    <t>Check</t>
  </si>
  <si>
    <t>Cash Flow Statement</t>
  </si>
  <si>
    <t>EBITDA Margin</t>
  </si>
  <si>
    <t>EBIT Margin</t>
  </si>
  <si>
    <t>EBT Margin</t>
  </si>
  <si>
    <t>Net Profit Margin</t>
  </si>
  <si>
    <t>Return on Capital Employed</t>
  </si>
  <si>
    <t>Retained Earnings %</t>
  </si>
  <si>
    <t>Return on Equity %</t>
  </si>
  <si>
    <t>Self Sustained Growth Rate</t>
  </si>
  <si>
    <t>Interest Coverage Ratio</t>
  </si>
  <si>
    <t>Creditor Turnover Ratio</t>
  </si>
  <si>
    <t>Debtor Turnover Ratio</t>
  </si>
  <si>
    <t>Inventory Turnover Ratio</t>
  </si>
  <si>
    <t>Fixed Asset Turnover Ratio</t>
  </si>
  <si>
    <t>Capital Turnover Ratio</t>
  </si>
  <si>
    <t>Debtor Days</t>
  </si>
  <si>
    <t>Payable Days</t>
  </si>
  <si>
    <t>Inventory Days</t>
  </si>
  <si>
    <t>Cash Conversion Cycle</t>
  </si>
  <si>
    <t>CFO/Sales</t>
  </si>
  <si>
    <t>CFO/Total Assets</t>
  </si>
  <si>
    <t>CFO/Total Debt</t>
  </si>
  <si>
    <t>EBIT</t>
  </si>
  <si>
    <t>Income Statement % Sales</t>
  </si>
  <si>
    <t>Balance Sheet % Total Assets</t>
  </si>
  <si>
    <t>Balance Sheet % Total Liabilities</t>
  </si>
  <si>
    <t>Total Liabilities</t>
  </si>
  <si>
    <t>Income Statement YoY Growth</t>
  </si>
  <si>
    <t>Balance Sheet YoY Growth</t>
  </si>
  <si>
    <t>Total Equity</t>
  </si>
  <si>
    <t>Total Debt</t>
  </si>
  <si>
    <t>Gross Profit Margin</t>
  </si>
  <si>
    <t>Current Ratio</t>
  </si>
  <si>
    <t>Quick Ratio</t>
  </si>
  <si>
    <t>Cash Ratio</t>
  </si>
  <si>
    <t>Debt to Assets Ratio</t>
  </si>
  <si>
    <t>Debt to Equity Ratio</t>
  </si>
  <si>
    <t>Cash Flow Statement YoY Growth</t>
  </si>
  <si>
    <t>Trend</t>
  </si>
  <si>
    <t>Return on Equity (ROE)</t>
  </si>
  <si>
    <t>Average Shareholder's Equity</t>
  </si>
  <si>
    <t>Net Profit Margin (A)</t>
  </si>
  <si>
    <t>ROE - DuPont Equation</t>
  </si>
  <si>
    <t>Average Total Assets</t>
  </si>
  <si>
    <t>Asset Turnover Ratio (B)</t>
  </si>
  <si>
    <t>Equity Multiplier (C)</t>
  </si>
  <si>
    <t>Return on Equity (A*B*C)</t>
  </si>
  <si>
    <t>Return on Assets (ROA)</t>
  </si>
  <si>
    <t>ROA - DuPont Equation</t>
  </si>
  <si>
    <t>Return on Assets (A*B)</t>
  </si>
  <si>
    <t>Profit from operations</t>
  </si>
  <si>
    <t>Payables</t>
  </si>
  <si>
    <t>Loans Advances</t>
  </si>
  <si>
    <t>Other WC items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</si>
  <si>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</si>
  <si>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</si>
  <si>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</si>
  <si>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</si>
  <si>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</si>
  <si>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</si>
  <si>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</si>
  <si>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</si>
  <si>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</si>
  <si>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Other investing items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</si>
  <si>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</si>
  <si>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</si>
  <si>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</si>
  <si>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</si>
  <si>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</si>
  <si>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</si>
  <si>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</si>
  <si>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Date</t>
  </si>
  <si>
    <t>Closing Price</t>
  </si>
  <si>
    <t>Weekly Returns</t>
  </si>
  <si>
    <t>Nifty Returns</t>
  </si>
  <si>
    <t>Beta Drifting</t>
  </si>
  <si>
    <t>Regression Beta</t>
  </si>
  <si>
    <t>Levered Raw Beta</t>
  </si>
  <si>
    <t>Raw Beta Weight</t>
  </si>
  <si>
    <t>Market Beta</t>
  </si>
  <si>
    <t>Market Beta Weight</t>
  </si>
  <si>
    <t>Adjusted Beta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</si>
  <si>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</si>
  <si>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</si>
  <si>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</si>
  <si>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</si>
  <si>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</si>
  <si>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</si>
  <si>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</si>
  <si>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</si>
  <si>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</si>
  <si>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</si>
  <si>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</si>
  <si>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</si>
  <si>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</si>
  <si>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</si>
  <si>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</si>
  <si>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</si>
  <si>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</si>
  <si>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</si>
  <si>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</si>
  <si>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</si>
  <si>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</si>
  <si>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</si>
  <si>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</si>
  <si>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</si>
  <si>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Peer Comps</t>
  </si>
  <si>
    <t>Name</t>
  </si>
  <si>
    <t>Country</t>
  </si>
  <si>
    <r>
      <t>Tax Rate</t>
    </r>
    <r>
      <rPr>
        <vertAlign val="superscript"/>
        <sz val="11"/>
        <color theme="1"/>
        <rFont val="Calibri"/>
        <family val="2"/>
        <scheme val="minor"/>
      </rPr>
      <t>1</t>
    </r>
  </si>
  <si>
    <t>Debt/</t>
  </si>
  <si>
    <t>Equity</t>
  </si>
  <si>
    <t>Capital</t>
  </si>
  <si>
    <t>Levered</t>
  </si>
  <si>
    <t xml:space="preserve">Unlevered </t>
  </si>
  <si>
    <r>
      <t>Beta</t>
    </r>
    <r>
      <rPr>
        <vertAlign val="superscript"/>
        <sz val="11"/>
        <color theme="1"/>
        <rFont val="Calibri"/>
        <family val="2"/>
        <scheme val="minor"/>
      </rPr>
      <t>2</t>
    </r>
  </si>
  <si>
    <r>
      <t>Beta</t>
    </r>
    <r>
      <rPr>
        <vertAlign val="superscript"/>
        <sz val="11"/>
        <color theme="1"/>
        <rFont val="Calibri"/>
        <family val="2"/>
        <scheme val="minor"/>
      </rPr>
      <t>3</t>
    </r>
  </si>
  <si>
    <t>India</t>
  </si>
  <si>
    <t>Average</t>
  </si>
  <si>
    <t>Median</t>
  </si>
  <si>
    <t>Cost of Debt</t>
  </si>
  <si>
    <t>Pre-tax Cost of Debt</t>
  </si>
  <si>
    <t>Tax Rate</t>
  </si>
  <si>
    <t>Post-tax Cost of Debt</t>
  </si>
  <si>
    <t>Cost of Equity</t>
  </si>
  <si>
    <t>Risk Free Rate</t>
  </si>
  <si>
    <t>Equity Risk Premium</t>
  </si>
  <si>
    <t>Levered Beta</t>
  </si>
  <si>
    <t>Capital Structure</t>
  </si>
  <si>
    <t>Current</t>
  </si>
  <si>
    <t>Target</t>
  </si>
  <si>
    <t>Total Capitalization</t>
  </si>
  <si>
    <t>Comps Median Unlevered Beta</t>
  </si>
  <si>
    <t>Debt / Equity</t>
  </si>
  <si>
    <t>Target Debt / Equity</t>
  </si>
  <si>
    <t>WACC</t>
  </si>
  <si>
    <t>Other operating items</t>
  </si>
  <si>
    <t>Investment in group cos</t>
  </si>
  <si>
    <t>Redemp n Canc of Shares</t>
  </si>
  <si>
    <t>Acquisition of companies</t>
  </si>
  <si>
    <t>UltraTech Cem.</t>
  </si>
  <si>
    <t>Grasim Inds</t>
  </si>
  <si>
    <t>Ambuja Cements</t>
  </si>
  <si>
    <t>Shree Cement</t>
  </si>
  <si>
    <t>J K Cements</t>
  </si>
  <si>
    <t xml:space="preserve">Cost of Debt </t>
  </si>
  <si>
    <t>Weight of Debt</t>
  </si>
  <si>
    <t>Weight of Equity</t>
  </si>
  <si>
    <t>Year</t>
  </si>
  <si>
    <t>Annual</t>
  </si>
  <si>
    <t>Return on Markets</t>
  </si>
  <si>
    <t>Average Return</t>
  </si>
  <si>
    <t>Dividend Yield</t>
  </si>
  <si>
    <r>
      <t>1.35%</t>
    </r>
    <r>
      <rPr>
        <vertAlign val="superscript"/>
        <sz val="11"/>
        <color rgb="FF0000FF"/>
        <rFont val="Calibri"/>
        <family val="2"/>
        <scheme val="minor"/>
      </rPr>
      <t>1</t>
    </r>
  </si>
  <si>
    <t>Total Market Returns</t>
  </si>
  <si>
    <t>Interest TTM</t>
  </si>
  <si>
    <t>Calculation of ROIC</t>
  </si>
  <si>
    <t>Tax %</t>
  </si>
  <si>
    <t>Exceptional items</t>
  </si>
  <si>
    <t>Other income normal</t>
  </si>
  <si>
    <t xml:space="preserve">Other Income </t>
  </si>
  <si>
    <t>Equity Capital</t>
  </si>
  <si>
    <t>Long term Borrowings</t>
  </si>
  <si>
    <t>Short term Borrowings</t>
  </si>
  <si>
    <t>Lease Liabilities</t>
  </si>
  <si>
    <t>Other Borrowings</t>
  </si>
  <si>
    <t>Non controlling int</t>
  </si>
  <si>
    <t>Trade Payables</t>
  </si>
  <si>
    <t>Advance from Customers</t>
  </si>
  <si>
    <t>Other liability items</t>
  </si>
  <si>
    <t>Land</t>
  </si>
  <si>
    <t>Building</t>
  </si>
  <si>
    <t>Plant Machinery</t>
  </si>
  <si>
    <t>Ships Vessels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</si>
  <si>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</si>
  <si>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</si>
  <si>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</si>
  <si>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</si>
  <si>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</si>
  <si>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</si>
  <si>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</si>
  <si>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</si>
  <si>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</si>
  <si>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Inventories</t>
  </si>
  <si>
    <t>Cash Equivalents</t>
  </si>
  <si>
    <t>Loans n Advances</t>
  </si>
  <si>
    <t>Other asset items</t>
  </si>
  <si>
    <t>Particulars</t>
  </si>
  <si>
    <t>Fixed Assets</t>
  </si>
  <si>
    <t>Trade receivables</t>
  </si>
  <si>
    <t>Current Liabilities</t>
  </si>
  <si>
    <t>Total Current Liabilities</t>
  </si>
  <si>
    <t>Net Working Capital</t>
  </si>
  <si>
    <t>Non-Current Assets</t>
  </si>
  <si>
    <t>Accumulated Dep.</t>
  </si>
  <si>
    <t>Net Non-Current Assets</t>
  </si>
  <si>
    <t>Invested Capital</t>
  </si>
  <si>
    <t>Return on Invested Capital (ROIC)</t>
  </si>
  <si>
    <t>Calculation of Reinvestment Rate</t>
  </si>
  <si>
    <t>Net Capex</t>
  </si>
  <si>
    <t>Change in Working Capital</t>
  </si>
  <si>
    <t>Marginal Tax Rate</t>
  </si>
  <si>
    <t>Reinvestment</t>
  </si>
  <si>
    <t>Reinvestment Rate</t>
  </si>
  <si>
    <t>6 Year Average</t>
  </si>
  <si>
    <t>6 Year Median</t>
  </si>
  <si>
    <t>Calculation of Growth Rate</t>
  </si>
  <si>
    <t>ROIC</t>
  </si>
  <si>
    <t>Intrinsic Growth</t>
  </si>
  <si>
    <t>NOPAT</t>
  </si>
  <si>
    <t>Calculation of PV of FCFF</t>
  </si>
  <si>
    <t>Less: Reinvestment Rate</t>
  </si>
  <si>
    <t>Free Cash Flow to Firm (FCFF)</t>
  </si>
  <si>
    <t>Mid Year Convention</t>
  </si>
  <si>
    <t>Discounting Factor</t>
  </si>
  <si>
    <t>PV of FCFF</t>
  </si>
  <si>
    <t>Expected Growth</t>
  </si>
  <si>
    <t>Terminal Growth</t>
  </si>
  <si>
    <t>Calculation of Terminal Value</t>
  </si>
  <si>
    <t>FCFF (n+1)</t>
  </si>
  <si>
    <t>Terminal Value</t>
  </si>
  <si>
    <t>PV of Terminal Value</t>
  </si>
  <si>
    <t>Value of Operating Assets</t>
  </si>
  <si>
    <t>Add: Cash</t>
  </si>
  <si>
    <t>Less: Debt</t>
  </si>
  <si>
    <t>Value of Equity</t>
  </si>
  <si>
    <t>No. of Shares</t>
  </si>
  <si>
    <t>Calculation of Equity Value per Share</t>
  </si>
  <si>
    <t>Equity Value per Share</t>
  </si>
  <si>
    <t>Share Price</t>
  </si>
  <si>
    <t>Discount/Premium</t>
  </si>
  <si>
    <t>Comparable Company Valuation</t>
  </si>
  <si>
    <t>Ticker</t>
  </si>
  <si>
    <t>Share</t>
  </si>
  <si>
    <t>Price</t>
  </si>
  <si>
    <t>Sales Forecasting</t>
  </si>
  <si>
    <t>EBITDA Forecasting</t>
  </si>
  <si>
    <t>EPS Forecasting</t>
  </si>
  <si>
    <t>Shares</t>
  </si>
  <si>
    <t>Outstanding</t>
  </si>
  <si>
    <t>Value</t>
  </si>
  <si>
    <t>Net Debt</t>
  </si>
  <si>
    <t>Enterprise</t>
  </si>
  <si>
    <t>Market Data</t>
  </si>
  <si>
    <t>Revenue</t>
  </si>
  <si>
    <t>Net Income</t>
  </si>
  <si>
    <t>Financials</t>
  </si>
  <si>
    <t>Valuation</t>
  </si>
  <si>
    <t>S.No.</t>
  </si>
  <si>
    <t>CMP Rs.</t>
  </si>
  <si>
    <t>No. Eq. Shares Cr.</t>
  </si>
  <si>
    <t>Debt Rs.Cr.</t>
  </si>
  <si>
    <t>Cash End Rs.Cr.</t>
  </si>
  <si>
    <t>EV Rs.Cr.</t>
  </si>
  <si>
    <t>Sales Rs.Cr.</t>
  </si>
  <si>
    <t>NP 12M Rs.Cr.</t>
  </si>
  <si>
    <t>EV / EBITDA</t>
  </si>
  <si>
    <t>Dalmia BharatLtd</t>
  </si>
  <si>
    <t>ACC</t>
  </si>
  <si>
    <t>The Ramco Cement</t>
  </si>
  <si>
    <t>JSW Cement</t>
  </si>
  <si>
    <t>Nuvoco Vistas</t>
  </si>
  <si>
    <t>India Cements</t>
  </si>
  <si>
    <t>JK Lakshmi Cem.</t>
  </si>
  <si>
    <t>Star Cement</t>
  </si>
  <si>
    <t>Birla Corpn.</t>
  </si>
  <si>
    <t>Prism Johnson</t>
  </si>
  <si>
    <t>Heidelberg Cem.</t>
  </si>
  <si>
    <t>Orient Cement</t>
  </si>
  <si>
    <t>Sagar Cements</t>
  </si>
  <si>
    <t>K C P</t>
  </si>
  <si>
    <t>Mangalam Cement</t>
  </si>
  <si>
    <t>Sanghi Industrie</t>
  </si>
  <si>
    <t>Deccan Cements</t>
  </si>
  <si>
    <t>Sh. Digvijay Cem</t>
  </si>
  <si>
    <t>Saurashtra Cem.</t>
  </si>
  <si>
    <t>NCL Industries</t>
  </si>
  <si>
    <t>Market Cap</t>
  </si>
  <si>
    <t>EV/Revenue</t>
  </si>
  <si>
    <t>EV/EBITDA</t>
  </si>
  <si>
    <t>P/E Ratio</t>
  </si>
  <si>
    <t>High</t>
  </si>
  <si>
    <t>75th Percentile</t>
  </si>
  <si>
    <t>25th Percentile</t>
  </si>
  <si>
    <t>Low</t>
  </si>
  <si>
    <t>Implied Enterprise Value</t>
  </si>
  <si>
    <t>Implied Market Value</t>
  </si>
  <si>
    <t>Shares Outstanding</t>
  </si>
  <si>
    <t>Implied Value per Share</t>
  </si>
  <si>
    <t>Source: The Valuation School, Screener.in</t>
  </si>
  <si>
    <t>All figures are in INR Crore unless stated otherwise.</t>
  </si>
  <si>
    <t>Figures are in INR Crore</t>
  </si>
  <si>
    <t>Sensitivity Analysis</t>
  </si>
  <si>
    <t>Weighted Average Cost of Capital</t>
  </si>
  <si>
    <t xml:space="preserve"> </t>
  </si>
  <si>
    <t>UltraTech Cem. Comparable 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</si>
</sst>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&quot;₹&quot;\ #,##0.00"/>
    <numFmt numFmtId="167" formatCode="&quot;₹&quot;\ #,##0.00;\(&quot;₹&quot;\ #,##0.00\);\-"/>
    <numFmt numFmtId="168" formatCode="0.00&quot;x&quot;"/>
    <numFmt numFmtId="169" formatCode="#,##0.00;\(#,##0.00\);\-"/>
    <numFmt numFmtId="170" formatCode="0.00&quot; days&quot;"/>
    <numFmt numFmtId="171" formatCode="#.00&quot; :1&quot;"/>
    <numFmt numFmtId="172" formatCode="0.00\x"/>
    <numFmt numFmtId="173" formatCode="mmm/yyyy"/>
    <numFmt numFmtId="174" formatCode="mmm/yy\A"/>
    <numFmt numFmtId="175" formatCode="mmm/yy&quot;E&quot;"/>
    <numFmt numFmtId="176" formatCode="0.000"/>
    <numFmt numFmtId="177" formatCode="&quot;₹&quot;\ #,##0.00;\(&quot;₹&quot;\ #,##0.00\)"/>
    <numFmt numFmtId="178" formatCode="#,##0;\(#,##0\);&quot;-&quot;"/>
    <numFmt numFmtId="179" formatCode="#,##0.00;\(#,##0.00\);&quot;-&quot;"/>
    <numFmt numFmtId="180" formatCode="0.0\x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b/>
      <i/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22222F"/>
      <name val="Calibri"/>
      <family val="2"/>
      <scheme val="minor"/>
    </font>
    <font>
      <b/>
      <sz val="11"/>
      <color rgb="FF22222F"/>
      <name val="Calibri"/>
      <family val="2"/>
      <scheme val="minor"/>
    </font>
    <font>
      <sz val="11"/>
      <color rgb="FF0000FF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perscript"/>
      <sz val="11"/>
      <color rgb="FF0000FF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sz val="14"/>
      <color theme="6" tint="-0.499984740745262"/>
      <name val="Calibri"/>
      <family val="2"/>
      <scheme val="minor"/>
    </font>
    <font>
      <sz val="8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A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6" tint="-0.499984740745262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</cellStyleXfs>
  <cellXfs count="209">
    <xf numFmtId="0" fontId="0" fillId="0" borderId="0" xfId="0"/>
    <xf numFmtId="43" fontId="1" fillId="0" borderId="0" xfId="1" applyFont="1" applyBorder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Border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0" fillId="0" borderId="0" xfId="0" applyNumberFormat="1"/>
    <xf numFmtId="0" fontId="7" fillId="0" borderId="0" xfId="0" applyFont="1"/>
    <xf numFmtId="0" fontId="7" fillId="0" borderId="0" xfId="0" applyFont="1" applyAlignment="1">
      <alignment horizontal="right"/>
    </xf>
    <xf numFmtId="10" fontId="7" fillId="0" borderId="0" xfId="4" applyNumberFormat="1" applyFont="1" applyAlignment="1">
      <alignment horizontal="right"/>
    </xf>
    <xf numFmtId="10" fontId="7" fillId="0" borderId="0" xfId="4" applyNumberFormat="1" applyFont="1"/>
    <xf numFmtId="167" fontId="0" fillId="0" borderId="0" xfId="0" applyNumberFormat="1"/>
    <xf numFmtId="2" fontId="0" fillId="0" borderId="0" xfId="0" applyNumberFormat="1"/>
    <xf numFmtId="0" fontId="0" fillId="4" borderId="0" xfId="0" applyFill="1"/>
    <xf numFmtId="0" fontId="1" fillId="4" borderId="0" xfId="0" applyFont="1" applyFill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Font="1"/>
    <xf numFmtId="167" fontId="1" fillId="0" borderId="0" xfId="0" applyNumberFormat="1" applyFont="1"/>
    <xf numFmtId="167" fontId="0" fillId="0" borderId="0" xfId="0" applyNumberFormat="1" applyFont="1"/>
    <xf numFmtId="167" fontId="0" fillId="0" borderId="0" xfId="0" applyNumberFormat="1" applyAlignment="1">
      <alignment horizontal="right"/>
    </xf>
    <xf numFmtId="167" fontId="1" fillId="0" borderId="0" xfId="0" applyNumberFormat="1" applyFont="1" applyAlignment="1">
      <alignment horizontal="right"/>
    </xf>
    <xf numFmtId="167" fontId="0" fillId="0" borderId="0" xfId="0" applyNumberFormat="1" applyFont="1" applyAlignment="1">
      <alignment horizontal="right"/>
    </xf>
    <xf numFmtId="10" fontId="7" fillId="0" borderId="0" xfId="0" applyNumberFormat="1" applyFont="1" applyAlignment="1">
      <alignment horizontal="right"/>
    </xf>
    <xf numFmtId="167" fontId="7" fillId="0" borderId="0" xfId="0" applyNumberFormat="1" applyFont="1" applyAlignment="1">
      <alignment horizontal="right"/>
    </xf>
    <xf numFmtId="0" fontId="0" fillId="0" borderId="0" xfId="0" applyBorder="1"/>
    <xf numFmtId="10" fontId="0" fillId="0" borderId="0" xfId="4" applyNumberFormat="1" applyFont="1" applyBorder="1"/>
    <xf numFmtId="168" fontId="0" fillId="0" borderId="0" xfId="0" applyNumberFormat="1" applyBorder="1"/>
    <xf numFmtId="169" fontId="0" fillId="0" borderId="0" xfId="0" applyNumberFormat="1" applyBorder="1"/>
    <xf numFmtId="170" fontId="0" fillId="0" borderId="0" xfId="0" applyNumberFormat="1"/>
    <xf numFmtId="1" fontId="0" fillId="0" borderId="0" xfId="0" applyNumberFormat="1" applyBorder="1"/>
    <xf numFmtId="10" fontId="0" fillId="0" borderId="0" xfId="4" applyNumberFormat="1" applyFont="1"/>
    <xf numFmtId="10" fontId="1" fillId="0" borderId="0" xfId="4" applyNumberFormat="1" applyFont="1"/>
    <xf numFmtId="0" fontId="8" fillId="0" borderId="0" xfId="0" applyFont="1"/>
    <xf numFmtId="10" fontId="1" fillId="0" borderId="0" xfId="4" applyNumberFormat="1" applyFont="1" applyAlignment="1">
      <alignment horizontal="right"/>
    </xf>
    <xf numFmtId="10" fontId="9" fillId="0" borderId="0" xfId="4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0" fillId="0" borderId="0" xfId="0" applyFont="1"/>
    <xf numFmtId="10" fontId="11" fillId="0" borderId="0" xfId="4" applyNumberFormat="1" applyFont="1" applyAlignment="1">
      <alignment horizontal="right"/>
    </xf>
    <xf numFmtId="0" fontId="12" fillId="4" borderId="0" xfId="0" applyFont="1" applyFill="1" applyBorder="1" applyAlignment="1">
      <alignment horizontal="left"/>
    </xf>
    <xf numFmtId="17" fontId="1" fillId="4" borderId="0" xfId="0" applyNumberFormat="1" applyFont="1" applyFill="1" applyBorder="1" applyAlignment="1">
      <alignment horizontal="right"/>
    </xf>
    <xf numFmtId="166" fontId="8" fillId="0" borderId="0" xfId="0" applyNumberFormat="1" applyFont="1"/>
    <xf numFmtId="0" fontId="0" fillId="0" borderId="0" xfId="0" applyFill="1" applyBorder="1"/>
    <xf numFmtId="43" fontId="7" fillId="0" borderId="0" xfId="0" applyNumberFormat="1" applyFont="1"/>
    <xf numFmtId="171" fontId="0" fillId="0" borderId="0" xfId="4" applyNumberFormat="1" applyFont="1" applyBorder="1"/>
    <xf numFmtId="0" fontId="1" fillId="4" borderId="0" xfId="0" applyFont="1" applyFill="1" applyAlignment="1">
      <alignment horizontal="left"/>
    </xf>
    <xf numFmtId="49" fontId="0" fillId="0" borderId="0" xfId="0" applyNumberFormat="1" applyAlignment="1">
      <alignment horizontal="left"/>
    </xf>
    <xf numFmtId="173" fontId="1" fillId="4" borderId="0" xfId="0" applyNumberFormat="1" applyFont="1" applyFill="1" applyAlignment="1">
      <alignment horizontal="right"/>
    </xf>
    <xf numFmtId="0" fontId="14" fillId="0" borderId="0" xfId="0" applyFont="1"/>
    <xf numFmtId="0" fontId="1" fillId="0" borderId="2" xfId="0" applyFont="1" applyBorder="1" applyAlignment="1">
      <alignment horizontal="left"/>
    </xf>
    <xf numFmtId="167" fontId="1" fillId="0" borderId="2" xfId="0" applyNumberFormat="1" applyFont="1" applyBorder="1"/>
    <xf numFmtId="0" fontId="0" fillId="0" borderId="1" xfId="0" applyBorder="1"/>
    <xf numFmtId="10" fontId="0" fillId="0" borderId="1" xfId="4" applyNumberFormat="1" applyFont="1" applyBorder="1"/>
    <xf numFmtId="0" fontId="0" fillId="0" borderId="2" xfId="0" applyBorder="1"/>
    <xf numFmtId="10" fontId="0" fillId="0" borderId="2" xfId="4" applyNumberFormat="1" applyFont="1" applyBorder="1"/>
    <xf numFmtId="0" fontId="0" fillId="0" borderId="2" xfId="0" applyFill="1" applyBorder="1"/>
    <xf numFmtId="171" fontId="0" fillId="0" borderId="2" xfId="4" applyNumberFormat="1" applyFont="1" applyBorder="1"/>
    <xf numFmtId="0" fontId="0" fillId="0" borderId="1" xfId="0" applyFill="1" applyBorder="1"/>
    <xf numFmtId="171" fontId="0" fillId="0" borderId="1" xfId="4" applyNumberFormat="1" applyFont="1" applyBorder="1"/>
    <xf numFmtId="168" fontId="0" fillId="0" borderId="2" xfId="0" applyNumberFormat="1" applyBorder="1"/>
    <xf numFmtId="168" fontId="0" fillId="0" borderId="1" xfId="0" applyNumberFormat="1" applyBorder="1"/>
    <xf numFmtId="169" fontId="0" fillId="0" borderId="2" xfId="0" applyNumberFormat="1" applyBorder="1"/>
    <xf numFmtId="0" fontId="1" fillId="0" borderId="1" xfId="0" applyFont="1" applyBorder="1"/>
    <xf numFmtId="169" fontId="1" fillId="0" borderId="1" xfId="0" applyNumberFormat="1" applyFont="1" applyBorder="1"/>
    <xf numFmtId="0" fontId="0" fillId="0" borderId="3" xfId="0" applyBorder="1"/>
    <xf numFmtId="167" fontId="0" fillId="0" borderId="3" xfId="0" applyNumberFormat="1" applyBorder="1"/>
    <xf numFmtId="0" fontId="1" fillId="4" borderId="0" xfId="0" applyFont="1" applyFill="1" applyBorder="1"/>
    <xf numFmtId="0" fontId="0" fillId="4" borderId="0" xfId="0" applyFill="1" applyBorder="1"/>
    <xf numFmtId="0" fontId="16" fillId="4" borderId="0" xfId="0" applyFont="1" applyFill="1" applyBorder="1" applyAlignment="1">
      <alignment horizontal="left" vertical="center"/>
    </xf>
    <xf numFmtId="0" fontId="15" fillId="4" borderId="0" xfId="0" applyFont="1" applyFill="1" applyAlignment="1">
      <alignment horizontal="left" vertical="center"/>
    </xf>
    <xf numFmtId="0" fontId="15" fillId="4" borderId="0" xfId="0" applyFont="1" applyFill="1" applyBorder="1" applyAlignment="1">
      <alignment horizontal="left" vertical="center"/>
    </xf>
    <xf numFmtId="0" fontId="16" fillId="4" borderId="0" xfId="0" applyFont="1" applyFill="1" applyAlignment="1">
      <alignment horizontal="left" vertical="center"/>
    </xf>
    <xf numFmtId="0" fontId="1" fillId="0" borderId="3" xfId="0" applyFont="1" applyBorder="1" applyAlignment="1">
      <alignment horizontal="left"/>
    </xf>
    <xf numFmtId="167" fontId="1" fillId="0" borderId="3" xfId="0" applyNumberFormat="1" applyFont="1" applyBorder="1"/>
    <xf numFmtId="0" fontId="16" fillId="4" borderId="2" xfId="0" applyFont="1" applyFill="1" applyBorder="1" applyAlignment="1">
      <alignment horizontal="left" vertical="center"/>
    </xf>
    <xf numFmtId="0" fontId="9" fillId="7" borderId="0" xfId="0" applyFont="1" applyFill="1"/>
    <xf numFmtId="10" fontId="9" fillId="7" borderId="0" xfId="4" applyNumberFormat="1" applyFont="1" applyFill="1"/>
    <xf numFmtId="4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 applyAlignment="1">
      <alignment horizontal="right"/>
    </xf>
    <xf numFmtId="0" fontId="1" fillId="0" borderId="0" xfId="0" applyFont="1" applyBorder="1"/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right"/>
    </xf>
    <xf numFmtId="0" fontId="0" fillId="4" borderId="0" xfId="0" applyFont="1" applyFill="1" applyBorder="1" applyAlignment="1">
      <alignment horizontal="left"/>
    </xf>
    <xf numFmtId="0" fontId="0" fillId="0" borderId="0" xfId="0" applyFill="1" applyBorder="1" applyAlignment="1"/>
    <xf numFmtId="0" fontId="0" fillId="0" borderId="4" xfId="0" applyFill="1" applyBorder="1" applyAlignment="1"/>
    <xf numFmtId="0" fontId="9" fillId="0" borderId="5" xfId="0" applyFont="1" applyFill="1" applyBorder="1" applyAlignment="1">
      <alignment horizontal="center"/>
    </xf>
    <xf numFmtId="0" fontId="9" fillId="0" borderId="5" xfId="0" applyFont="1" applyFill="1" applyBorder="1" applyAlignment="1">
      <alignment horizontal="centerContinuous"/>
    </xf>
    <xf numFmtId="10" fontId="17" fillId="0" borderId="0" xfId="4" applyNumberFormat="1" applyFont="1"/>
    <xf numFmtId="2" fontId="17" fillId="0" borderId="0" xfId="0" applyNumberFormat="1" applyFont="1"/>
    <xf numFmtId="0" fontId="1" fillId="0" borderId="2" xfId="0" applyFont="1" applyBorder="1"/>
    <xf numFmtId="2" fontId="1" fillId="5" borderId="2" xfId="0" applyNumberFormat="1" applyFont="1" applyFill="1" applyBorder="1"/>
    <xf numFmtId="10" fontId="0" fillId="0" borderId="2" xfId="0" applyNumberFormat="1" applyBorder="1"/>
    <xf numFmtId="10" fontId="0" fillId="0" borderId="1" xfId="0" applyNumberFormat="1" applyBorder="1"/>
    <xf numFmtId="0" fontId="0" fillId="0" borderId="6" xfId="0" applyBorder="1"/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/>
    </xf>
    <xf numFmtId="167" fontId="0" fillId="0" borderId="6" xfId="0" applyNumberFormat="1" applyBorder="1"/>
    <xf numFmtId="10" fontId="0" fillId="0" borderId="0" xfId="0" applyNumberFormat="1"/>
    <xf numFmtId="10" fontId="1" fillId="5" borderId="0" xfId="4" applyNumberFormat="1" applyFont="1" applyFill="1"/>
    <xf numFmtId="0" fontId="0" fillId="0" borderId="1" xfId="0" applyFont="1" applyBorder="1"/>
    <xf numFmtId="0" fontId="2" fillId="8" borderId="0" xfId="0" applyFont="1" applyFill="1" applyAlignment="1">
      <alignment horizontal="left"/>
    </xf>
    <xf numFmtId="17" fontId="2" fillId="8" borderId="0" xfId="0" applyNumberFormat="1" applyFont="1" applyFill="1" applyAlignment="1">
      <alignment horizontal="right"/>
    </xf>
    <xf numFmtId="0" fontId="1" fillId="9" borderId="0" xfId="0" applyFont="1" applyFill="1" applyBorder="1"/>
    <xf numFmtId="0" fontId="0" fillId="9" borderId="0" xfId="0" applyFill="1" applyBorder="1"/>
    <xf numFmtId="0" fontId="1" fillId="10" borderId="0" xfId="0" applyFont="1" applyFill="1" applyBorder="1"/>
    <xf numFmtId="17" fontId="2" fillId="8" borderId="0" xfId="0" applyNumberFormat="1" applyFont="1" applyFill="1" applyAlignment="1">
      <alignment horizontal="center"/>
    </xf>
    <xf numFmtId="0" fontId="12" fillId="9" borderId="1" xfId="0" applyFont="1" applyFill="1" applyBorder="1" applyAlignment="1">
      <alignment horizontal="left"/>
    </xf>
    <xf numFmtId="17" fontId="1" fillId="9" borderId="1" xfId="0" applyNumberFormat="1" applyFont="1" applyFill="1" applyBorder="1" applyAlignment="1">
      <alignment horizontal="right"/>
    </xf>
    <xf numFmtId="0" fontId="1" fillId="9" borderId="2" xfId="0" applyFont="1" applyFill="1" applyBorder="1"/>
    <xf numFmtId="10" fontId="1" fillId="9" borderId="2" xfId="4" applyNumberFormat="1" applyFont="1" applyFill="1" applyBorder="1" applyAlignment="1">
      <alignment horizontal="right"/>
    </xf>
    <xf numFmtId="172" fontId="1" fillId="9" borderId="2" xfId="4" applyNumberFormat="1" applyFont="1" applyFill="1" applyBorder="1" applyAlignment="1">
      <alignment horizontal="right"/>
    </xf>
    <xf numFmtId="10" fontId="1" fillId="10" borderId="0" xfId="4" applyNumberFormat="1" applyFont="1" applyFill="1" applyBorder="1" applyAlignment="1">
      <alignment horizontal="right"/>
    </xf>
    <xf numFmtId="2" fontId="0" fillId="0" borderId="2" xfId="0" applyNumberFormat="1" applyBorder="1"/>
    <xf numFmtId="2" fontId="0" fillId="0" borderId="1" xfId="0" applyNumberFormat="1" applyBorder="1"/>
    <xf numFmtId="2" fontId="0" fillId="5" borderId="0" xfId="0" applyNumberFormat="1" applyFont="1" applyFill="1"/>
    <xf numFmtId="2" fontId="0" fillId="5" borderId="0" xfId="0" applyNumberFormat="1" applyFill="1"/>
    <xf numFmtId="10" fontId="0" fillId="5" borderId="0" xfId="4" applyNumberFormat="1" applyFont="1" applyFill="1"/>
    <xf numFmtId="10" fontId="0" fillId="5" borderId="0" xfId="0" applyNumberFormat="1" applyFill="1"/>
    <xf numFmtId="10" fontId="0" fillId="5" borderId="6" xfId="0" applyNumberFormat="1" applyFill="1" applyBorder="1"/>
    <xf numFmtId="0" fontId="2" fillId="8" borderId="0" xfId="0" applyFont="1" applyFill="1" applyAlignment="1">
      <alignment horizontal="right"/>
    </xf>
    <xf numFmtId="10" fontId="1" fillId="5" borderId="0" xfId="0" applyNumberFormat="1" applyFont="1" applyFill="1"/>
    <xf numFmtId="10" fontId="17" fillId="0" borderId="0" xfId="0" applyNumberFormat="1" applyFont="1" applyAlignment="1">
      <alignment horizontal="right"/>
    </xf>
    <xf numFmtId="10" fontId="0" fillId="4" borderId="0" xfId="0" applyNumberFormat="1" applyFont="1" applyFill="1"/>
    <xf numFmtId="3" fontId="0" fillId="0" borderId="0" xfId="0" applyNumberFormat="1"/>
    <xf numFmtId="0" fontId="1" fillId="0" borderId="6" xfId="0" applyFont="1" applyBorder="1"/>
    <xf numFmtId="0" fontId="5" fillId="8" borderId="0" xfId="0" applyFont="1" applyFill="1"/>
    <xf numFmtId="0" fontId="2" fillId="8" borderId="0" xfId="0" applyFont="1" applyFill="1"/>
    <xf numFmtId="17" fontId="0" fillId="0" borderId="0" xfId="0" applyNumberFormat="1"/>
    <xf numFmtId="0" fontId="1" fillId="0" borderId="3" xfId="0" applyFont="1" applyBorder="1"/>
    <xf numFmtId="17" fontId="2" fillId="8" borderId="0" xfId="0" applyNumberFormat="1" applyFont="1" applyFill="1"/>
    <xf numFmtId="0" fontId="1" fillId="9" borderId="1" xfId="0" applyFont="1" applyFill="1" applyBorder="1"/>
    <xf numFmtId="17" fontId="0" fillId="9" borderId="1" xfId="0" applyNumberFormat="1" applyFill="1" applyBorder="1"/>
    <xf numFmtId="0" fontId="9" fillId="0" borderId="0" xfId="0" applyFont="1" applyAlignment="1">
      <alignment horizontal="left" indent="1"/>
    </xf>
    <xf numFmtId="10" fontId="1" fillId="0" borderId="3" xfId="4" applyNumberFormat="1" applyFont="1" applyBorder="1"/>
    <xf numFmtId="0" fontId="1" fillId="5" borderId="0" xfId="0" applyFont="1" applyFill="1"/>
    <xf numFmtId="10" fontId="1" fillId="0" borderId="3" xfId="0" applyNumberFormat="1" applyFont="1" applyBorder="1"/>
    <xf numFmtId="0" fontId="0" fillId="0" borderId="0" xfId="0" applyFont="1" applyFill="1" applyBorder="1"/>
    <xf numFmtId="0" fontId="0" fillId="0" borderId="2" xfId="0" applyFont="1" applyBorder="1"/>
    <xf numFmtId="10" fontId="6" fillId="0" borderId="0" xfId="4" applyNumberFormat="1" applyFont="1"/>
    <xf numFmtId="174" fontId="2" fillId="8" borderId="0" xfId="0" applyNumberFormat="1" applyFont="1" applyFill="1"/>
    <xf numFmtId="175" fontId="2" fillId="8" borderId="0" xfId="0" applyNumberFormat="1" applyFont="1" applyFill="1"/>
    <xf numFmtId="167" fontId="0" fillId="0" borderId="0" xfId="0" applyNumberFormat="1" applyFont="1" applyBorder="1"/>
    <xf numFmtId="0" fontId="0" fillId="0" borderId="7" xfId="0" applyBorder="1"/>
    <xf numFmtId="0" fontId="1" fillId="0" borderId="7" xfId="0" applyFont="1" applyBorder="1"/>
    <xf numFmtId="10" fontId="1" fillId="5" borderId="6" xfId="0" applyNumberFormat="1" applyFont="1" applyFill="1" applyBorder="1"/>
    <xf numFmtId="10" fontId="1" fillId="5" borderId="6" xfId="4" applyNumberFormat="1" applyFont="1" applyFill="1" applyBorder="1"/>
    <xf numFmtId="2" fontId="1" fillId="5" borderId="6" xfId="0" applyNumberFormat="1" applyFont="1" applyFill="1" applyBorder="1"/>
    <xf numFmtId="0" fontId="0" fillId="5" borderId="0" xfId="0" applyFill="1"/>
    <xf numFmtId="10" fontId="17" fillId="5" borderId="0" xfId="0" applyNumberFormat="1" applyFont="1" applyFill="1"/>
    <xf numFmtId="0" fontId="17" fillId="0" borderId="0" xfId="0" applyFont="1"/>
    <xf numFmtId="0" fontId="6" fillId="0" borderId="0" xfId="0" applyFont="1"/>
    <xf numFmtId="176" fontId="0" fillId="0" borderId="0" xfId="0" applyNumberFormat="1"/>
    <xf numFmtId="2" fontId="0" fillId="0" borderId="0" xfId="0" applyNumberFormat="1" applyFont="1" applyBorder="1"/>
    <xf numFmtId="172" fontId="0" fillId="0" borderId="0" xfId="0" applyNumberFormat="1"/>
    <xf numFmtId="177" fontId="0" fillId="0" borderId="0" xfId="0" applyNumberFormat="1" applyFont="1"/>
    <xf numFmtId="177" fontId="1" fillId="0" borderId="3" xfId="0" applyNumberFormat="1" applyFont="1" applyBorder="1"/>
    <xf numFmtId="177" fontId="0" fillId="0" borderId="0" xfId="0" applyNumberFormat="1" applyBorder="1"/>
    <xf numFmtId="177" fontId="1" fillId="0" borderId="0" xfId="0" applyNumberFormat="1" applyFont="1"/>
    <xf numFmtId="177" fontId="9" fillId="0" borderId="0" xfId="0" applyNumberFormat="1" applyFont="1"/>
    <xf numFmtId="177" fontId="1" fillId="0" borderId="0" xfId="0" applyNumberFormat="1" applyFont="1" applyBorder="1"/>
    <xf numFmtId="177" fontId="0" fillId="0" borderId="0" xfId="0" applyNumberFormat="1"/>
    <xf numFmtId="177" fontId="0" fillId="9" borderId="1" xfId="0" applyNumberFormat="1" applyFill="1" applyBorder="1"/>
    <xf numFmtId="177" fontId="0" fillId="0" borderId="3" xfId="0" applyNumberFormat="1" applyBorder="1"/>
    <xf numFmtId="177" fontId="1" fillId="0" borderId="2" xfId="0" applyNumberFormat="1" applyFont="1" applyBorder="1"/>
    <xf numFmtId="177" fontId="1" fillId="5" borderId="0" xfId="0" applyNumberFormat="1" applyFont="1" applyFill="1"/>
    <xf numFmtId="0" fontId="0" fillId="8" borderId="0" xfId="0" applyFill="1"/>
    <xf numFmtId="167" fontId="17" fillId="0" borderId="0" xfId="0" applyNumberFormat="1" applyFont="1" applyBorder="1"/>
    <xf numFmtId="0" fontId="0" fillId="0" borderId="0" xfId="0" applyAlignment="1">
      <alignment horizontal="right"/>
    </xf>
    <xf numFmtId="174" fontId="0" fillId="0" borderId="0" xfId="0" applyNumberFormat="1" applyAlignment="1">
      <alignment horizontal="left"/>
    </xf>
    <xf numFmtId="174" fontId="6" fillId="9" borderId="0" xfId="0" applyNumberFormat="1" applyFont="1" applyFill="1"/>
    <xf numFmtId="0" fontId="6" fillId="9" borderId="0" xfId="0" applyFont="1" applyFill="1"/>
    <xf numFmtId="0" fontId="20" fillId="4" borderId="9" xfId="0" applyFont="1" applyFill="1" applyBorder="1"/>
    <xf numFmtId="178" fontId="0" fillId="0" borderId="0" xfId="0" applyNumberFormat="1" applyAlignment="1">
      <alignment horizontal="right"/>
    </xf>
    <xf numFmtId="169" fontId="17" fillId="0" borderId="0" xfId="0" applyNumberFormat="1" applyFont="1" applyAlignment="1">
      <alignment horizontal="right"/>
    </xf>
    <xf numFmtId="179" fontId="0" fillId="0" borderId="0" xfId="0" applyNumberFormat="1" applyFont="1" applyAlignment="1">
      <alignment horizontal="right"/>
    </xf>
    <xf numFmtId="179" fontId="0" fillId="0" borderId="2" xfId="0" applyNumberFormat="1" applyBorder="1"/>
    <xf numFmtId="179" fontId="0" fillId="0" borderId="0" xfId="0" applyNumberFormat="1"/>
    <xf numFmtId="179" fontId="1" fillId="0" borderId="3" xfId="0" applyNumberFormat="1" applyFont="1" applyBorder="1"/>
    <xf numFmtId="179" fontId="1" fillId="0" borderId="2" xfId="0" applyNumberFormat="1" applyFont="1" applyBorder="1"/>
    <xf numFmtId="179" fontId="0" fillId="0" borderId="0" xfId="0" applyNumberFormat="1" applyFont="1"/>
    <xf numFmtId="179" fontId="1" fillId="0" borderId="0" xfId="0" applyNumberFormat="1" applyFont="1"/>
    <xf numFmtId="179" fontId="1" fillId="0" borderId="7" xfId="0" applyNumberFormat="1" applyFont="1" applyBorder="1"/>
    <xf numFmtId="0" fontId="5" fillId="8" borderId="0" xfId="0" applyFont="1" applyFill="1" applyAlignment="1">
      <alignment horizontal="right"/>
    </xf>
    <xf numFmtId="180" fontId="0" fillId="4" borderId="0" xfId="0" applyNumberFormat="1" applyFont="1" applyFill="1"/>
    <xf numFmtId="180" fontId="1" fillId="5" borderId="0" xfId="0" applyNumberFormat="1" applyFont="1" applyFill="1"/>
    <xf numFmtId="180" fontId="0" fillId="5" borderId="0" xfId="0" applyNumberFormat="1" applyFont="1" applyFill="1"/>
    <xf numFmtId="0" fontId="20" fillId="5" borderId="10" xfId="0" applyFont="1" applyFill="1" applyBorder="1"/>
    <xf numFmtId="179" fontId="20" fillId="5" borderId="10" xfId="0" applyNumberFormat="1" applyFont="1" applyFill="1" applyBorder="1"/>
    <xf numFmtId="0" fontId="22" fillId="4" borderId="9" xfId="0" applyFont="1" applyFill="1" applyBorder="1"/>
    <xf numFmtId="0" fontId="7" fillId="4" borderId="0" xfId="0" applyFont="1" applyFill="1"/>
    <xf numFmtId="0" fontId="21" fillId="5" borderId="0" xfId="0" applyFont="1" applyFill="1"/>
    <xf numFmtId="179" fontId="21" fillId="5" borderId="0" xfId="0" applyNumberFormat="1" applyFont="1" applyFill="1" applyAlignment="1">
      <alignment horizontal="right"/>
    </xf>
    <xf numFmtId="180" fontId="21" fillId="5" borderId="0" xfId="0" applyNumberFormat="1" applyFont="1" applyFill="1"/>
    <xf numFmtId="0" fontId="20" fillId="4" borderId="0" xfId="0" applyFont="1" applyFill="1" applyBorder="1"/>
    <xf numFmtId="179" fontId="20" fillId="4" borderId="0" xfId="0" applyNumberFormat="1" applyFont="1" applyFill="1" applyBorder="1"/>
    <xf numFmtId="179" fontId="23" fillId="0" borderId="0" xfId="0" applyNumberFormat="1" applyFont="1"/>
    <xf numFmtId="10" fontId="1" fillId="0" borderId="0" xfId="0" applyNumberFormat="1" applyFont="1"/>
    <xf numFmtId="179" fontId="1" fillId="5" borderId="0" xfId="0" applyNumberFormat="1" applyFont="1" applyFill="1" applyAlignment="1">
      <alignment horizontal="right"/>
    </xf>
    <xf numFmtId="0" fontId="2" fillId="8" borderId="0" xfId="0" applyFont="1" applyFill="1" applyAlignment="1">
      <alignment horizontal="center"/>
    </xf>
    <xf numFmtId="0" fontId="13" fillId="8" borderId="0" xfId="0" applyFont="1" applyFill="1" applyAlignment="1">
      <alignment horizontal="center"/>
    </xf>
    <xf numFmtId="0" fontId="2" fillId="8" borderId="8" xfId="0" applyFont="1" applyFill="1" applyBorder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2" fillId="6" borderId="0" xfId="0" applyFont="1" applyFill="1" applyAlignment="1">
      <alignment horizontal="center"/>
    </xf>
  </cellXfs>
  <cellStyles count="5">
    <cellStyle name="Accent6" xfId="3" builtinId="49"/>
    <cellStyle name="Comma" xfId="1" builtinId="3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000FF"/>
      <color rgb="FFFFFFA3"/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150" baseline="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IN" sz="900" b="1" baseline="0">
                <a:solidFill>
                  <a:schemeClr val="tx1"/>
                </a:solidFill>
                <a:latin typeface="Calibri" panose="020F0502020204030204" pitchFamily="34" charset="0"/>
                <a:cs typeface="Calibri" panose="020F0502020204030204" pitchFamily="34" charset="0"/>
              </a:rPr>
              <a:t>Equity Multiplier (Last 4 Years)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150" baseline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75000"/>
              </a:schemeClr>
            </a:solidFill>
            <a:ln w="12700" cap="flat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31DD-4D04-B70A-2496078B834A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31DD-4D04-B70A-2496078B834A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31DD-4D04-B70A-2496078B834A}"/>
              </c:ext>
            </c:extLst>
          </c:dPt>
          <c:dLbls>
            <c:delete val="1"/>
          </c:dLbls>
          <c:cat>
            <c:numRef>
              <c:f>DuPont!$H$30:$K$30</c:f>
              <c:numCache>
                <c:formatCode>mmm/yyyy</c:formatCode>
                <c:ptCount val="4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</c:numCache>
            </c:numRef>
          </c:cat>
          <c:val>
            <c:numRef>
              <c:f>DuPont!$H$47:$K$47</c:f>
              <c:numCache>
                <c:formatCode>0.00\x</c:formatCode>
                <c:ptCount val="4"/>
                <c:pt idx="0">
                  <c:v>1.7967221206648982</c:v>
                </c:pt>
                <c:pt idx="1">
                  <c:v>1.6723191842367791</c:v>
                </c:pt>
                <c:pt idx="2">
                  <c:v>1.6776440083727899</c:v>
                </c:pt>
                <c:pt idx="3">
                  <c:v>1.790434282855708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CE-49CB-8576-D85D8A629F3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055550303"/>
        <c:axId val="1055568191"/>
      </c:barChart>
      <c:catAx>
        <c:axId val="1055550303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568191"/>
        <c:crosses val="autoZero"/>
        <c:auto val="0"/>
        <c:lblAlgn val="ctr"/>
        <c:lblOffset val="100"/>
        <c:noMultiLvlLbl val="0"/>
      </c:catAx>
      <c:valAx>
        <c:axId val="1055568191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055550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150" baseline="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IN" sz="900" b="1" baseline="0">
                <a:solidFill>
                  <a:schemeClr val="tx1"/>
                </a:solidFill>
                <a:latin typeface="Calibri" panose="020F0502020204030204" pitchFamily="34" charset="0"/>
                <a:cs typeface="Calibri" panose="020F0502020204030204" pitchFamily="34" charset="0"/>
              </a:rPr>
              <a:t>Sales (Last 4 Years)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150" baseline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75000"/>
              </a:schemeClr>
            </a:solidFill>
            <a:ln w="12700" cap="flat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65EC-46FC-92CE-4FE6FEF778FC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65EC-46FC-92CE-4FE6FEF778FC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65EC-46FC-92CE-4FE6FEF778FC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65EC-46FC-92CE-4FE6FEF778FC}"/>
              </c:ext>
            </c:extLst>
          </c:dPt>
          <c:dLbls>
            <c:delete val="1"/>
          </c:dLbls>
          <c:cat>
            <c:numRef>
              <c:f>DuPont!$H$30:$K$30</c:f>
              <c:numCache>
                <c:formatCode>mmm/yyyy</c:formatCode>
                <c:ptCount val="4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</c:numCache>
            </c:numRef>
          </c:cat>
          <c:val>
            <c:numRef>
              <c:f>DuPont!$H$38:$K$38</c:f>
              <c:numCache>
                <c:formatCode>"₹"\ #,##0.00;\("₹"\ #,##0.00\);\-</c:formatCode>
                <c:ptCount val="4"/>
                <c:pt idx="0">
                  <c:v>52598.83</c:v>
                </c:pt>
                <c:pt idx="1">
                  <c:v>63239.98</c:v>
                </c:pt>
                <c:pt idx="2">
                  <c:v>70908.14</c:v>
                </c:pt>
                <c:pt idx="3">
                  <c:v>75955.13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2B-457B-B17A-5789D32620D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055550303"/>
        <c:axId val="1055568191"/>
      </c:barChart>
      <c:catAx>
        <c:axId val="1055550303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568191"/>
        <c:crosses val="autoZero"/>
        <c:auto val="0"/>
        <c:lblAlgn val="ctr"/>
        <c:lblOffset val="100"/>
        <c:noMultiLvlLbl val="0"/>
      </c:catAx>
      <c:valAx>
        <c:axId val="1055568191"/>
        <c:scaling>
          <c:orientation val="minMax"/>
        </c:scaling>
        <c:delete val="1"/>
        <c:axPos val="l"/>
        <c:numFmt formatCode="&quot;₹&quot;\ #,##0.00;\(&quot;₹&quot;\ #,##0.00\);\-" sourceLinked="1"/>
        <c:majorTickMark val="none"/>
        <c:minorTickMark val="none"/>
        <c:tickLblPos val="nextTo"/>
        <c:crossAx val="1055550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150" baseline="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IN" sz="900" b="1" baseline="0">
                <a:solidFill>
                  <a:schemeClr val="tx1"/>
                </a:solidFill>
                <a:latin typeface="Calibri" panose="020F0502020204030204" pitchFamily="34" charset="0"/>
                <a:cs typeface="Calibri" panose="020F0502020204030204" pitchFamily="34" charset="0"/>
              </a:rPr>
              <a:t>ROE (Last 4 Years)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150" baseline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75000"/>
              </a:schemeClr>
            </a:solidFill>
            <a:ln w="12700" cap="flat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6DD7-4C38-82A4-CE2B93DD0665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6DD7-4C38-82A4-CE2B93DD0665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6DD7-4C38-82A4-CE2B93DD0665}"/>
              </c:ext>
            </c:extLst>
          </c:dPt>
          <c:dLbls>
            <c:delete val="1"/>
          </c:dLbls>
          <c:cat>
            <c:numRef>
              <c:f>DuPont!$H$30:$K$30</c:f>
              <c:numCache>
                <c:formatCode>mmm/yyyy</c:formatCode>
                <c:ptCount val="4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</c:numCache>
            </c:numRef>
          </c:cat>
          <c:val>
            <c:numRef>
              <c:f>DuPont!$H$33:$K$33</c:f>
              <c:numCache>
                <c:formatCode>0.00%</c:formatCode>
                <c:ptCount val="4"/>
                <c:pt idx="0">
                  <c:v>0.15504204367511029</c:v>
                </c:pt>
                <c:pt idx="1">
                  <c:v>9.6857754896653617E-2</c:v>
                </c:pt>
                <c:pt idx="2">
                  <c:v>0.12228435605063966</c:v>
                </c:pt>
                <c:pt idx="3">
                  <c:v>9.225454760690964E-2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16-4E4B-A4F6-B83D6E8FC4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055550303"/>
        <c:axId val="1055568191"/>
      </c:barChart>
      <c:catAx>
        <c:axId val="1055550303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568191"/>
        <c:crosses val="autoZero"/>
        <c:auto val="0"/>
        <c:lblAlgn val="ctr"/>
        <c:lblOffset val="100"/>
        <c:noMultiLvlLbl val="0"/>
      </c:catAx>
      <c:valAx>
        <c:axId val="1055568191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055550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150" baseline="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IN" sz="900" b="1" baseline="0">
                <a:solidFill>
                  <a:schemeClr val="tx1"/>
                </a:solidFill>
                <a:latin typeface="Calibri" panose="020F0502020204030204" pitchFamily="34" charset="0"/>
                <a:cs typeface="Calibri" panose="020F0502020204030204" pitchFamily="34" charset="0"/>
              </a:rPr>
              <a:t>ROA (Last 4 Years)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150" baseline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75000"/>
              </a:schemeClr>
            </a:solidFill>
            <a:ln w="12700" cap="flat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9747-4241-A2B7-8D5819EAD6E4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9747-4241-A2B7-8D5819EAD6E4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9747-4241-A2B7-8D5819EAD6E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9747-4241-A2B7-8D5819EAD6E4}"/>
              </c:ext>
            </c:extLst>
          </c:dPt>
          <c:dLbls>
            <c:delete val="1"/>
          </c:dLbls>
          <c:cat>
            <c:numRef>
              <c:f>DuPont!$H$54:$K$54</c:f>
              <c:numCache>
                <c:formatCode>mmm/yyyy</c:formatCode>
                <c:ptCount val="4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</c:numCache>
            </c:numRef>
          </c:cat>
          <c:val>
            <c:numRef>
              <c:f>DuPont!$H$57:$K$57</c:f>
              <c:numCache>
                <c:formatCode>0.00%</c:formatCode>
                <c:ptCount val="4"/>
                <c:pt idx="0">
                  <c:v>8.6291609532661157E-2</c:v>
                </c:pt>
                <c:pt idx="1">
                  <c:v>5.7918222675211385E-2</c:v>
                </c:pt>
                <c:pt idx="2">
                  <c:v>7.2890527096536914E-2</c:v>
                </c:pt>
                <c:pt idx="3">
                  <c:v>5.1526352287985362E-2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9-4EA0-9CF1-CB724B317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055550303"/>
        <c:axId val="1055568191"/>
      </c:barChart>
      <c:catAx>
        <c:axId val="1055550303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568191"/>
        <c:crosses val="autoZero"/>
        <c:auto val="0"/>
        <c:lblAlgn val="ctr"/>
        <c:lblOffset val="100"/>
        <c:noMultiLvlLbl val="0"/>
      </c:catAx>
      <c:valAx>
        <c:axId val="1055568191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055550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150" baseline="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IN" sz="900" b="1" baseline="0">
                <a:solidFill>
                  <a:schemeClr val="tx1"/>
                </a:solidFill>
                <a:latin typeface="Calibri" panose="020F0502020204030204" pitchFamily="34" charset="0"/>
                <a:cs typeface="Calibri" panose="020F0502020204030204" pitchFamily="34" charset="0"/>
              </a:rPr>
              <a:t>Net Margin (Last 4 Years)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150" baseline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75000"/>
              </a:schemeClr>
            </a:solidFill>
            <a:ln w="12700" cap="flat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99C2-4311-BFD2-790DDA3177BB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99C2-4311-BFD2-790DDA3177BB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99C2-4311-BFD2-790DDA3177BB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99C2-4311-BFD2-790DDA3177BB}"/>
              </c:ext>
            </c:extLst>
          </c:dPt>
          <c:dLbls>
            <c:delete val="1"/>
          </c:dLbls>
          <c:cat>
            <c:numRef>
              <c:f>DuPont!$H$36:$K$36</c:f>
              <c:numCache>
                <c:formatCode>mmm/yyyy</c:formatCode>
                <c:ptCount val="4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</c:numCache>
            </c:numRef>
          </c:cat>
          <c:val>
            <c:numRef>
              <c:f>DuPont!$H$39:$K$39</c:f>
              <c:numCache>
                <c:formatCode>0.00%</c:formatCode>
                <c:ptCount val="4"/>
                <c:pt idx="0">
                  <c:v>0.13943770232151551</c:v>
                </c:pt>
                <c:pt idx="1">
                  <c:v>8.0224566800938285E-2</c:v>
                </c:pt>
                <c:pt idx="2">
                  <c:v>9.8775119471473896E-2</c:v>
                </c:pt>
                <c:pt idx="3">
                  <c:v>7.9515893133222257E-2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42-45EA-BAC3-4BBAD9500EB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055550303"/>
        <c:axId val="1055568191"/>
      </c:barChart>
      <c:catAx>
        <c:axId val="1055550303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568191"/>
        <c:crosses val="autoZero"/>
        <c:auto val="0"/>
        <c:lblAlgn val="ctr"/>
        <c:lblOffset val="100"/>
        <c:noMultiLvlLbl val="0"/>
      </c:catAx>
      <c:valAx>
        <c:axId val="1055568191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055550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cap="all" spc="150" baseline="0">
                <a:solidFill>
                  <a:schemeClr val="tx1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IN" sz="900" b="1" baseline="0">
                <a:solidFill>
                  <a:schemeClr val="tx1"/>
                </a:solidFill>
                <a:latin typeface="Calibri" panose="020F0502020204030204" pitchFamily="34" charset="0"/>
                <a:cs typeface="Calibri" panose="020F0502020204030204" pitchFamily="34" charset="0"/>
              </a:rPr>
              <a:t>Asset Turnover ratio (Last 4 Years)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cap="all" spc="150" baseline="0">
              <a:solidFill>
                <a:schemeClr val="tx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75000"/>
              </a:schemeClr>
            </a:solidFill>
            <a:ln w="12700" cap="flat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E4A-4872-A467-6006A4698AA5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E4A-4872-A467-6006A4698AA5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AE4A-4872-A467-6006A4698AA5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AE4A-4872-A467-6006A4698AA5}"/>
              </c:ext>
            </c:extLst>
          </c:dPt>
          <c:dLbls>
            <c:delete val="1"/>
          </c:dLbls>
          <c:cat>
            <c:numRef>
              <c:f>DuPont!$H$36:$K$36</c:f>
              <c:numCache>
                <c:formatCode>mmm/yyyy</c:formatCode>
                <c:ptCount val="4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</c:numCache>
            </c:numRef>
          </c:cat>
          <c:val>
            <c:numRef>
              <c:f>DuPont!$H$43:$K$43</c:f>
              <c:numCache>
                <c:formatCode>0.00\x</c:formatCode>
                <c:ptCount val="4"/>
                <c:pt idx="0">
                  <c:v>0.61885421299965138</c:v>
                </c:pt>
                <c:pt idx="1">
                  <c:v>0.72195120503329391</c:v>
                </c:pt>
                <c:pt idx="2">
                  <c:v>0.73794420585426457</c:v>
                </c:pt>
                <c:pt idx="3">
                  <c:v>0.64800067329505118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A1-4F06-A1C4-5A11D22480F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1055550303"/>
        <c:axId val="1055568191"/>
      </c:barChart>
      <c:catAx>
        <c:axId val="1055550303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568191"/>
        <c:crosses val="autoZero"/>
        <c:auto val="0"/>
        <c:lblAlgn val="ctr"/>
        <c:lblOffset val="100"/>
        <c:noMultiLvlLbl val="0"/>
      </c:catAx>
      <c:valAx>
        <c:axId val="1055568191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055550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2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45199</xdr:colOff>
      <xdr:row>0</xdr:row>
      <xdr:rowOff>44935</xdr:rowOff>
    </xdr:from>
    <xdr:to>
      <xdr:col>12</xdr:col>
      <xdr:colOff>11862</xdr:colOff>
      <xdr:row>4</xdr:row>
      <xdr:rowOff>145567</xdr:rowOff>
    </xdr:to>
    <xdr:pic>
      <xdr:nvPicPr>
        <xdr:cNvPr id="7" name="Picture 6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CCC82A9F-33AD-4FD9-8188-D03EF47AE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56012" y="44935"/>
          <a:ext cx="883444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11911</xdr:colOff>
      <xdr:row>0</xdr:row>
      <xdr:rowOff>95250</xdr:rowOff>
    </xdr:from>
    <xdr:to>
      <xdr:col>7</xdr:col>
      <xdr:colOff>762000</xdr:colOff>
      <xdr:row>4</xdr:row>
      <xdr:rowOff>107156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40FCC4D3-37FA-4777-9B30-87402574C65E}"/>
            </a:ext>
          </a:extLst>
        </xdr:cNvPr>
        <xdr:cNvSpPr/>
      </xdr:nvSpPr>
      <xdr:spPr>
        <a:xfrm>
          <a:off x="11911" y="95250"/>
          <a:ext cx="7393777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259510</xdr:colOff>
      <xdr:row>0</xdr:row>
      <xdr:rowOff>47626</xdr:rowOff>
    </xdr:from>
    <xdr:to>
      <xdr:col>12</xdr:col>
      <xdr:colOff>1142954</xdr:colOff>
      <xdr:row>4</xdr:row>
      <xdr:rowOff>148258</xdr:rowOff>
    </xdr:to>
    <xdr:pic>
      <xdr:nvPicPr>
        <xdr:cNvPr id="3" name="Picture 2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07788D09-5D43-43A6-ABDC-F561FDB2A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84698" y="47626"/>
          <a:ext cx="883444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10</xdr:colOff>
      <xdr:row>0</xdr:row>
      <xdr:rowOff>86035</xdr:rowOff>
    </xdr:from>
    <xdr:to>
      <xdr:col>8</xdr:col>
      <xdr:colOff>35724</xdr:colOff>
      <xdr:row>4</xdr:row>
      <xdr:rowOff>97941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E460250A-AB52-4391-9743-BB8BF695540D}"/>
            </a:ext>
          </a:extLst>
        </xdr:cNvPr>
        <xdr:cNvSpPr/>
      </xdr:nvSpPr>
      <xdr:spPr>
        <a:xfrm>
          <a:off x="10" y="86035"/>
          <a:ext cx="7393777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45201</xdr:colOff>
      <xdr:row>0</xdr:row>
      <xdr:rowOff>59531</xdr:rowOff>
    </xdr:from>
    <xdr:to>
      <xdr:col>12</xdr:col>
      <xdr:colOff>11864</xdr:colOff>
      <xdr:row>4</xdr:row>
      <xdr:rowOff>160163</xdr:rowOff>
    </xdr:to>
    <xdr:pic>
      <xdr:nvPicPr>
        <xdr:cNvPr id="2" name="Picture 1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BA1C46CE-0575-4C48-89E6-6C6F7B6025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98826" y="59531"/>
          <a:ext cx="883444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3</xdr:colOff>
      <xdr:row>0</xdr:row>
      <xdr:rowOff>86034</xdr:rowOff>
    </xdr:from>
    <xdr:to>
      <xdr:col>7</xdr:col>
      <xdr:colOff>678655</xdr:colOff>
      <xdr:row>4</xdr:row>
      <xdr:rowOff>97940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270E41EC-AA05-4B0A-AE59-73E4C5D37C52}"/>
            </a:ext>
          </a:extLst>
        </xdr:cNvPr>
        <xdr:cNvSpPr/>
      </xdr:nvSpPr>
      <xdr:spPr>
        <a:xfrm>
          <a:off x="3" y="86034"/>
          <a:ext cx="7393777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69006</xdr:colOff>
      <xdr:row>0</xdr:row>
      <xdr:rowOff>47632</xdr:rowOff>
    </xdr:from>
    <xdr:to>
      <xdr:col>12</xdr:col>
      <xdr:colOff>952450</xdr:colOff>
      <xdr:row>4</xdr:row>
      <xdr:rowOff>148264</xdr:rowOff>
    </xdr:to>
    <xdr:pic>
      <xdr:nvPicPr>
        <xdr:cNvPr id="2" name="Picture 1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5D47F5D1-2558-41BD-B625-1C1BB9A14F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0381" y="47632"/>
          <a:ext cx="883444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3</xdr:colOff>
      <xdr:row>0</xdr:row>
      <xdr:rowOff>86041</xdr:rowOff>
    </xdr:from>
    <xdr:to>
      <xdr:col>7</xdr:col>
      <xdr:colOff>761999</xdr:colOff>
      <xdr:row>4</xdr:row>
      <xdr:rowOff>97947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484F402B-9BC2-4DE5-A4FF-4AF9B59ADC3E}"/>
            </a:ext>
          </a:extLst>
        </xdr:cNvPr>
        <xdr:cNvSpPr/>
      </xdr:nvSpPr>
      <xdr:spPr>
        <a:xfrm>
          <a:off x="3" y="86041"/>
          <a:ext cx="7393777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</xdr:colOff>
      <xdr:row>7</xdr:row>
      <xdr:rowOff>35718</xdr:rowOff>
    </xdr:from>
    <xdr:to>
      <xdr:col>10</xdr:col>
      <xdr:colOff>657225</xdr:colOff>
      <xdr:row>26</xdr:row>
      <xdr:rowOff>66675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pSpPr/>
      </xdr:nvGrpSpPr>
      <xdr:grpSpPr>
        <a:xfrm>
          <a:off x="261938" y="1440656"/>
          <a:ext cx="9551193" cy="3650457"/>
          <a:chOff x="314325" y="723900"/>
          <a:chExt cx="9077325" cy="3867150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00000000-0008-0000-0400-000006000000}"/>
              </a:ext>
            </a:extLst>
          </xdr:cNvPr>
          <xdr:cNvGraphicFramePr/>
        </xdr:nvGraphicFramePr>
        <xdr:xfrm>
          <a:off x="3657600" y="742951"/>
          <a:ext cx="2419350" cy="17716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GraphicFramePr>
            <a:graphicFrameLocks/>
          </xdr:cNvGraphicFramePr>
        </xdr:nvGraphicFramePr>
        <xdr:xfrm>
          <a:off x="361950" y="723900"/>
          <a:ext cx="2419350" cy="17716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8" name="Chart 7">
            <a:extLst>
              <a:ext uri="{FF2B5EF4-FFF2-40B4-BE49-F238E27FC236}">
                <a16:creationId xmlns:a16="http://schemas.microsoft.com/office/drawing/2014/main" id="{00000000-0008-0000-0400-000008000000}"/>
              </a:ext>
            </a:extLst>
          </xdr:cNvPr>
          <xdr:cNvGraphicFramePr>
            <a:graphicFrameLocks/>
          </xdr:cNvGraphicFramePr>
        </xdr:nvGraphicFramePr>
        <xdr:xfrm>
          <a:off x="6962775" y="742950"/>
          <a:ext cx="2419350" cy="17716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GraphicFramePr>
            <a:graphicFrameLocks/>
          </xdr:cNvGraphicFramePr>
        </xdr:nvGraphicFramePr>
        <xdr:xfrm>
          <a:off x="314325" y="2819400"/>
          <a:ext cx="2419350" cy="17716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10" name="Chart 9">
            <a:extLst>
              <a:ext uri="{FF2B5EF4-FFF2-40B4-BE49-F238E27FC236}">
                <a16:creationId xmlns:a16="http://schemas.microsoft.com/office/drawing/2014/main" id="{00000000-0008-0000-0400-00000A000000}"/>
              </a:ext>
            </a:extLst>
          </xdr:cNvPr>
          <xdr:cNvGraphicFramePr>
            <a:graphicFrameLocks/>
          </xdr:cNvGraphicFramePr>
        </xdr:nvGraphicFramePr>
        <xdr:xfrm>
          <a:off x="3638550" y="2790825"/>
          <a:ext cx="2419350" cy="17716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11" name="Chart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GraphicFramePr>
            <a:graphicFrameLocks/>
          </xdr:cNvGraphicFramePr>
        </xdr:nvGraphicFramePr>
        <xdr:xfrm>
          <a:off x="6972300" y="2743200"/>
          <a:ext cx="2419350" cy="17716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</xdr:grpSp>
    <xdr:clientData/>
  </xdr:twoCellAnchor>
  <xdr:twoCellAnchor editAs="oneCell">
    <xdr:from>
      <xdr:col>9</xdr:col>
      <xdr:colOff>759578</xdr:colOff>
      <xdr:row>0</xdr:row>
      <xdr:rowOff>47624</xdr:rowOff>
    </xdr:from>
    <xdr:to>
      <xdr:col>10</xdr:col>
      <xdr:colOff>857210</xdr:colOff>
      <xdr:row>4</xdr:row>
      <xdr:rowOff>148256</xdr:rowOff>
    </xdr:to>
    <xdr:pic>
      <xdr:nvPicPr>
        <xdr:cNvPr id="15" name="Picture 14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9C7287AF-80F7-42C5-9402-A827A13791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29672" y="47624"/>
          <a:ext cx="883444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3</xdr:colOff>
      <xdr:row>0</xdr:row>
      <xdr:rowOff>86033</xdr:rowOff>
    </xdr:from>
    <xdr:to>
      <xdr:col>7</xdr:col>
      <xdr:colOff>595311</xdr:colOff>
      <xdr:row>4</xdr:row>
      <xdr:rowOff>97939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C20CEE3E-20E2-48C2-A5EF-ED91C09756EB}"/>
            </a:ext>
          </a:extLst>
        </xdr:cNvPr>
        <xdr:cNvSpPr/>
      </xdr:nvSpPr>
      <xdr:spPr>
        <a:xfrm>
          <a:off x="3" y="86033"/>
          <a:ext cx="7393777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104733</xdr:colOff>
      <xdr:row>0</xdr:row>
      <xdr:rowOff>59531</xdr:rowOff>
    </xdr:from>
    <xdr:to>
      <xdr:col>9</xdr:col>
      <xdr:colOff>988177</xdr:colOff>
      <xdr:row>4</xdr:row>
      <xdr:rowOff>160163</xdr:rowOff>
    </xdr:to>
    <xdr:pic>
      <xdr:nvPicPr>
        <xdr:cNvPr id="2" name="Picture 1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238BAA74-FB0B-4012-BBE0-BBE7BE10BB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58171" y="59531"/>
          <a:ext cx="883444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0</xdr:row>
      <xdr:rowOff>97940</xdr:rowOff>
    </xdr:from>
    <xdr:to>
      <xdr:col>7</xdr:col>
      <xdr:colOff>773902</xdr:colOff>
      <xdr:row>4</xdr:row>
      <xdr:rowOff>109846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341649A6-2813-4DE8-8384-621800515C32}"/>
            </a:ext>
          </a:extLst>
        </xdr:cNvPr>
        <xdr:cNvSpPr/>
      </xdr:nvSpPr>
      <xdr:spPr>
        <a:xfrm>
          <a:off x="0" y="97940"/>
          <a:ext cx="7393777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 u="none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11899</xdr:colOff>
      <xdr:row>0</xdr:row>
      <xdr:rowOff>121751</xdr:rowOff>
    </xdr:from>
    <xdr:to>
      <xdr:col>11</xdr:col>
      <xdr:colOff>778659</xdr:colOff>
      <xdr:row>4</xdr:row>
      <xdr:rowOff>133657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56AE818E-5698-4EA8-8DF0-84F8AC433DEB}"/>
            </a:ext>
          </a:extLst>
        </xdr:cNvPr>
        <xdr:cNvSpPr/>
      </xdr:nvSpPr>
      <xdr:spPr>
        <a:xfrm>
          <a:off x="11899" y="121751"/>
          <a:ext cx="7970041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 u="none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  <xdr:twoCellAnchor editAs="oneCell">
    <xdr:from>
      <xdr:col>11</xdr:col>
      <xdr:colOff>795292</xdr:colOff>
      <xdr:row>0</xdr:row>
      <xdr:rowOff>107154</xdr:rowOff>
    </xdr:from>
    <xdr:to>
      <xdr:col>12</xdr:col>
      <xdr:colOff>864349</xdr:colOff>
      <xdr:row>5</xdr:row>
      <xdr:rowOff>17286</xdr:rowOff>
    </xdr:to>
    <xdr:pic>
      <xdr:nvPicPr>
        <xdr:cNvPr id="4" name="Picture 3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BB177DB1-4B08-4A60-96B4-C1BC7C02C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98573" y="107154"/>
          <a:ext cx="878682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</xdr:colOff>
      <xdr:row>0</xdr:row>
      <xdr:rowOff>109846</xdr:rowOff>
    </xdr:from>
    <xdr:to>
      <xdr:col>11</xdr:col>
      <xdr:colOff>838200</xdr:colOff>
      <xdr:row>4</xdr:row>
      <xdr:rowOff>121752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910A3795-8081-4E03-B53E-9984E49A4FCC}"/>
            </a:ext>
          </a:extLst>
        </xdr:cNvPr>
        <xdr:cNvSpPr/>
      </xdr:nvSpPr>
      <xdr:spPr>
        <a:xfrm>
          <a:off x="3" y="109846"/>
          <a:ext cx="7970041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 u="none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  <xdr:twoCellAnchor editAs="oneCell">
    <xdr:from>
      <xdr:col>12</xdr:col>
      <xdr:colOff>819109</xdr:colOff>
      <xdr:row>0</xdr:row>
      <xdr:rowOff>71437</xdr:rowOff>
    </xdr:from>
    <xdr:to>
      <xdr:col>14</xdr:col>
      <xdr:colOff>7104</xdr:colOff>
      <xdr:row>4</xdr:row>
      <xdr:rowOff>172069</xdr:rowOff>
    </xdr:to>
    <xdr:pic>
      <xdr:nvPicPr>
        <xdr:cNvPr id="5" name="Picture 4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032B4C38-3B98-44EB-8447-AA2C94A92F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39172" y="71437"/>
          <a:ext cx="878682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97939</xdr:rowOff>
    </xdr:from>
    <xdr:to>
      <xdr:col>13</xdr:col>
      <xdr:colOff>564353</xdr:colOff>
      <xdr:row>4</xdr:row>
      <xdr:rowOff>109845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7672BD68-6C9E-4779-89CE-3BA73DFB4083}"/>
            </a:ext>
          </a:extLst>
        </xdr:cNvPr>
        <xdr:cNvSpPr/>
      </xdr:nvSpPr>
      <xdr:spPr>
        <a:xfrm>
          <a:off x="0" y="97939"/>
          <a:ext cx="10541791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 u="none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  <xdr:twoCellAnchor editAs="oneCell">
    <xdr:from>
      <xdr:col>14</xdr:col>
      <xdr:colOff>735762</xdr:colOff>
      <xdr:row>0</xdr:row>
      <xdr:rowOff>83342</xdr:rowOff>
    </xdr:from>
    <xdr:to>
      <xdr:col>15</xdr:col>
      <xdr:colOff>804819</xdr:colOff>
      <xdr:row>4</xdr:row>
      <xdr:rowOff>183974</xdr:rowOff>
    </xdr:to>
    <xdr:pic>
      <xdr:nvPicPr>
        <xdr:cNvPr id="3" name="Picture 2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472A0895-16C0-4FC7-AD71-2750F3567F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70450" y="83342"/>
          <a:ext cx="878682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511929</xdr:colOff>
      <xdr:row>0</xdr:row>
      <xdr:rowOff>71439</xdr:rowOff>
    </xdr:from>
    <xdr:to>
      <xdr:col>16</xdr:col>
      <xdr:colOff>178555</xdr:colOff>
      <xdr:row>4</xdr:row>
      <xdr:rowOff>172071</xdr:rowOff>
    </xdr:to>
    <xdr:pic>
      <xdr:nvPicPr>
        <xdr:cNvPr id="2" name="Picture 1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CCD44C21-DE96-4324-AF60-A5934D0060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35" y="71439"/>
          <a:ext cx="881063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</xdr:colOff>
      <xdr:row>0</xdr:row>
      <xdr:rowOff>109848</xdr:rowOff>
    </xdr:from>
    <xdr:to>
      <xdr:col>12</xdr:col>
      <xdr:colOff>566735</xdr:colOff>
      <xdr:row>4</xdr:row>
      <xdr:rowOff>121754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4F083D0-4F76-4D69-B0C7-76DAB2EB82D3}"/>
            </a:ext>
          </a:extLst>
        </xdr:cNvPr>
        <xdr:cNvSpPr/>
      </xdr:nvSpPr>
      <xdr:spPr>
        <a:xfrm>
          <a:off x="2" y="109848"/>
          <a:ext cx="7365202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 u="none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</xdr:colOff>
      <xdr:row>0</xdr:row>
      <xdr:rowOff>97940</xdr:rowOff>
    </xdr:from>
    <xdr:to>
      <xdr:col>9</xdr:col>
      <xdr:colOff>457200</xdr:colOff>
      <xdr:row>4</xdr:row>
      <xdr:rowOff>109846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3762C730-94E4-4C26-9D8C-A3C5081A8252}"/>
            </a:ext>
          </a:extLst>
        </xdr:cNvPr>
        <xdr:cNvSpPr/>
      </xdr:nvSpPr>
      <xdr:spPr>
        <a:xfrm>
          <a:off x="3" y="97940"/>
          <a:ext cx="7970041" cy="773906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IN" sz="6000" b="1" u="none">
              <a:solidFill>
                <a:schemeClr val="accent3"/>
              </a:solidFill>
            </a:rPr>
            <a:t>Ultratech Cement Ltd.</a:t>
          </a:r>
        </a:p>
      </xdr:txBody>
    </xdr:sp>
    <xdr:clientData/>
  </xdr:twoCellAnchor>
  <xdr:twoCellAnchor editAs="oneCell">
    <xdr:from>
      <xdr:col>10</xdr:col>
      <xdr:colOff>438109</xdr:colOff>
      <xdr:row>0</xdr:row>
      <xdr:rowOff>47625</xdr:rowOff>
    </xdr:from>
    <xdr:to>
      <xdr:col>11</xdr:col>
      <xdr:colOff>340479</xdr:colOff>
      <xdr:row>4</xdr:row>
      <xdr:rowOff>148257</xdr:rowOff>
    </xdr:to>
    <xdr:pic>
      <xdr:nvPicPr>
        <xdr:cNvPr id="7" name="Picture 6" descr="UltraTech Cement Logo (Aditya Birla) - PNG Logo Vector Brand Downloads  (SVG, EPS)">
          <a:extLst>
            <a:ext uri="{FF2B5EF4-FFF2-40B4-BE49-F238E27FC236}">
              <a16:creationId xmlns:a16="http://schemas.microsoft.com/office/drawing/2014/main" id="{4FC08D6D-77A0-48EA-A025-A458B28A34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6297" y="47625"/>
          <a:ext cx="878682" cy="8626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www.screener.in/exce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112"/>
  <sheetViews>
    <sheetView showGridLines="0" tabSelected="1" zoomScale="80" zoomScaleNormal="80" zoomScaleSheetLayoutView="100" workbookViewId="0">
      <pane ySplit="7" topLeftCell="A82" activePane="bottomLeft" state="frozen"/>
      <selection pane="bottomLeft" activeCell="A102" sqref="A102"/>
    </sheetView>
  </sheetViews>
  <sheetFormatPr defaultRowHeight="15" x14ac:dyDescent="0.25"/>
  <cols>
    <col min="1" max="1" width="1.85546875" customWidth="1"/>
    <col min="2" max="2" width="29.140625" bestFit="1" customWidth="1"/>
    <col min="3" max="12" width="13.7109375" customWidth="1"/>
    <col min="13" max="13" width="9.7109375" bestFit="1" customWidth="1"/>
  </cols>
  <sheetData>
    <row r="6" spans="1:12" x14ac:dyDescent="0.25">
      <c r="B6" s="203" t="str">
        <f>"Financial Statements"&amp;" - "&amp;'Data Sheet'!B1</f>
        <v>Financial Statements - ULTRATECH CEMENT LTD</v>
      </c>
      <c r="C6" s="203"/>
      <c r="D6" s="203"/>
      <c r="E6" s="203"/>
      <c r="F6" s="203"/>
      <c r="G6" s="203"/>
      <c r="H6" s="203"/>
      <c r="I6" s="203"/>
      <c r="J6" s="203"/>
      <c r="K6" s="203"/>
      <c r="L6" s="203"/>
    </row>
    <row r="7" spans="1:12" x14ac:dyDescent="0.25">
      <c r="B7" s="105" t="s">
        <v>54</v>
      </c>
      <c r="C7" s="106">
        <f>'Data Sheet'!B16</f>
        <v>42460</v>
      </c>
      <c r="D7" s="106">
        <f>'Data Sheet'!C16</f>
        <v>42825</v>
      </c>
      <c r="E7" s="106">
        <f>'Data Sheet'!D16</f>
        <v>43190</v>
      </c>
      <c r="F7" s="106">
        <f>'Data Sheet'!E16</f>
        <v>43555</v>
      </c>
      <c r="G7" s="106">
        <f>'Data Sheet'!F16</f>
        <v>43921</v>
      </c>
      <c r="H7" s="106">
        <f>'Data Sheet'!G16</f>
        <v>44286</v>
      </c>
      <c r="I7" s="106">
        <f>'Data Sheet'!H16</f>
        <v>44651</v>
      </c>
      <c r="J7" s="106">
        <f>'Data Sheet'!I16</f>
        <v>45016</v>
      </c>
      <c r="K7" s="106">
        <f>'Data Sheet'!J16</f>
        <v>45382</v>
      </c>
      <c r="L7" s="106">
        <f>'Data Sheet'!K16</f>
        <v>45747</v>
      </c>
    </row>
    <row r="8" spans="1:12" s="28" customFormat="1" x14ac:dyDescent="0.25">
      <c r="A8" s="28" t="s">
        <v>56</v>
      </c>
      <c r="B8" s="107" t="s">
        <v>55</v>
      </c>
      <c r="C8" s="108"/>
      <c r="D8" s="108"/>
      <c r="E8" s="108"/>
      <c r="F8" s="108"/>
      <c r="G8" s="108"/>
      <c r="H8" s="108"/>
      <c r="I8" s="108"/>
      <c r="J8" s="108"/>
      <c r="K8" s="108"/>
      <c r="L8" s="108"/>
    </row>
    <row r="9" spans="1:12" x14ac:dyDescent="0.25">
      <c r="B9" s="19" t="s">
        <v>1</v>
      </c>
      <c r="C9" s="24">
        <f>IFERROR('Data Sheet'!B17,0)</f>
        <v>25153.24</v>
      </c>
      <c r="D9" s="24">
        <f>IFERROR('Data Sheet'!C17,0)</f>
        <v>25374.94</v>
      </c>
      <c r="E9" s="24">
        <f>IFERROR('Data Sheet'!D17,0)</f>
        <v>30978.62</v>
      </c>
      <c r="F9" s="24">
        <f>IFERROR('Data Sheet'!E17,0)</f>
        <v>41462.26</v>
      </c>
      <c r="G9" s="24">
        <f>IFERROR('Data Sheet'!F17,0)</f>
        <v>42429.89</v>
      </c>
      <c r="H9" s="24">
        <f>IFERROR('Data Sheet'!G17,0)</f>
        <v>44725.8</v>
      </c>
      <c r="I9" s="24">
        <f>IFERROR('Data Sheet'!H17,0)</f>
        <v>52598.83</v>
      </c>
      <c r="J9" s="24">
        <f>IFERROR('Data Sheet'!I17,0)</f>
        <v>63239.98</v>
      </c>
      <c r="K9" s="24">
        <f>IFERROR('Data Sheet'!J17,0)</f>
        <v>70908.14</v>
      </c>
      <c r="L9" s="24">
        <f>IFERROR('Data Sheet'!K17,0)</f>
        <v>75955.13</v>
      </c>
    </row>
    <row r="10" spans="1:12" x14ac:dyDescent="0.25">
      <c r="B10" s="9" t="str">
        <f>B9&amp;" Growth"</f>
        <v>Sales Growth</v>
      </c>
      <c r="C10" s="10" t="str">
        <f>IFERROR((C9/B9)-1,"-")</f>
        <v>-</v>
      </c>
      <c r="D10" s="11">
        <f t="shared" ref="D10:L10" si="0">IFERROR((D9/C9)-1,"-")</f>
        <v>8.8139738657921907E-3</v>
      </c>
      <c r="E10" s="11">
        <f t="shared" si="0"/>
        <v>0.22083520197486184</v>
      </c>
      <c r="F10" s="11">
        <f t="shared" si="0"/>
        <v>0.33841533289733383</v>
      </c>
      <c r="G10" s="11">
        <f t="shared" si="0"/>
        <v>2.3337608707291846E-2</v>
      </c>
      <c r="H10" s="11">
        <f t="shared" si="0"/>
        <v>5.4110675281034304E-2</v>
      </c>
      <c r="I10" s="11">
        <f t="shared" si="0"/>
        <v>0.17602882452633595</v>
      </c>
      <c r="J10" s="11">
        <f t="shared" si="0"/>
        <v>0.20230773194004503</v>
      </c>
      <c r="K10" s="11">
        <f t="shared" si="0"/>
        <v>0.12125494030833028</v>
      </c>
      <c r="L10" s="11">
        <f t="shared" si="0"/>
        <v>7.117645449450527E-2</v>
      </c>
    </row>
    <row r="11" spans="1:12" x14ac:dyDescent="0.25">
      <c r="B11" s="9"/>
      <c r="C11" s="10"/>
      <c r="D11" s="11"/>
      <c r="E11" s="11"/>
      <c r="F11" s="11"/>
      <c r="G11" s="11"/>
      <c r="H11" s="11"/>
      <c r="I11" s="11"/>
      <c r="J11" s="11"/>
      <c r="K11" s="11"/>
      <c r="L11" s="11"/>
    </row>
    <row r="12" spans="1:12" x14ac:dyDescent="0.25">
      <c r="B12" t="s">
        <v>57</v>
      </c>
      <c r="C12" s="23">
        <f>IFERROR(SUM('Data Sheet'!B18,'Data Sheet'!B20:B22)-1*('Data Sheet'!B19),0)</f>
        <v>12397.13</v>
      </c>
      <c r="D12" s="23">
        <f>IFERROR(SUM('Data Sheet'!C18,'Data Sheet'!C20:C22)-1*('Data Sheet'!C19),0)</f>
        <v>12303.62</v>
      </c>
      <c r="E12" s="23">
        <f>IFERROR(SUM('Data Sheet'!D18,'Data Sheet'!D20:D22)-1*('Data Sheet'!D19),0)</f>
        <v>15744.189999999999</v>
      </c>
      <c r="F12" s="23">
        <f>IFERROR(SUM('Data Sheet'!E18,'Data Sheet'!E20:E22)-1*('Data Sheet'!E19),0)</f>
        <v>21729.719999999998</v>
      </c>
      <c r="G12" s="23">
        <f>IFERROR(SUM('Data Sheet'!F18,'Data Sheet'!F20:F22)-1*('Data Sheet'!F19),0)</f>
        <v>20600.87</v>
      </c>
      <c r="H12" s="23">
        <f>IFERROR(SUM('Data Sheet'!G18,'Data Sheet'!G20:G22)-1*('Data Sheet'!G19),0)</f>
        <v>20847.700000000004</v>
      </c>
      <c r="I12" s="23">
        <f>IFERROR(SUM('Data Sheet'!H18,'Data Sheet'!H20:H22)-1*('Data Sheet'!H19),0)</f>
        <v>26536.920000000002</v>
      </c>
      <c r="J12" s="23">
        <f>IFERROR(SUM('Data Sheet'!I18,'Data Sheet'!I20:I22)-1*('Data Sheet'!I19),0)</f>
        <v>35301.93</v>
      </c>
      <c r="K12" s="23">
        <f>IFERROR(SUM('Data Sheet'!J18,'Data Sheet'!J20:J22)-1*('Data Sheet'!J19),0)</f>
        <v>38136.400000000001</v>
      </c>
      <c r="L12" s="23">
        <f>IFERROR(SUM('Data Sheet'!K18,'Data Sheet'!K20:K22)-1*('Data Sheet'!K19),0)</f>
        <v>41216.74</v>
      </c>
    </row>
    <row r="13" spans="1:12" x14ac:dyDescent="0.25">
      <c r="B13" s="9" t="str">
        <f>B12&amp;" % Sales"</f>
        <v>COGS % Sales</v>
      </c>
      <c r="C13" s="11">
        <f t="shared" ref="C13:L13" si="1">IFERROR(C12/C9,0)</f>
        <v>0.49286413996765421</v>
      </c>
      <c r="D13" s="11">
        <f t="shared" si="1"/>
        <v>0.48487287063535922</v>
      </c>
      <c r="E13" s="11">
        <f t="shared" si="1"/>
        <v>0.50822760988062088</v>
      </c>
      <c r="F13" s="11">
        <f t="shared" si="1"/>
        <v>0.5240843118537194</v>
      </c>
      <c r="G13" s="11">
        <f t="shared" si="1"/>
        <v>0.48552730162628277</v>
      </c>
      <c r="H13" s="11">
        <f t="shared" si="1"/>
        <v>0.46612246175585464</v>
      </c>
      <c r="I13" s="11">
        <f t="shared" si="1"/>
        <v>0.50451540462021682</v>
      </c>
      <c r="J13" s="11">
        <f t="shared" si="1"/>
        <v>0.55822171354260386</v>
      </c>
      <c r="K13" s="11">
        <f t="shared" si="1"/>
        <v>0.53782823805560265</v>
      </c>
      <c r="L13" s="11">
        <f t="shared" si="1"/>
        <v>0.54264590160006299</v>
      </c>
    </row>
    <row r="14" spans="1:12" x14ac:dyDescent="0.25">
      <c r="B14" s="9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spans="1:12" x14ac:dyDescent="0.25">
      <c r="B15" s="19" t="s">
        <v>58</v>
      </c>
      <c r="C15" s="24">
        <f t="shared" ref="C15:L15" si="2">IFERROR(C9-C12,0)</f>
        <v>12756.110000000002</v>
      </c>
      <c r="D15" s="24">
        <f t="shared" si="2"/>
        <v>13071.319999999998</v>
      </c>
      <c r="E15" s="24">
        <f t="shared" si="2"/>
        <v>15234.43</v>
      </c>
      <c r="F15" s="24">
        <f t="shared" si="2"/>
        <v>19732.540000000005</v>
      </c>
      <c r="G15" s="24">
        <f t="shared" si="2"/>
        <v>21829.02</v>
      </c>
      <c r="H15" s="24">
        <f t="shared" si="2"/>
        <v>23878.1</v>
      </c>
      <c r="I15" s="24">
        <f t="shared" si="2"/>
        <v>26061.91</v>
      </c>
      <c r="J15" s="24">
        <f t="shared" si="2"/>
        <v>27938.050000000003</v>
      </c>
      <c r="K15" s="24">
        <f t="shared" si="2"/>
        <v>32771.74</v>
      </c>
      <c r="L15" s="24">
        <f t="shared" si="2"/>
        <v>34738.390000000007</v>
      </c>
    </row>
    <row r="16" spans="1:12" x14ac:dyDescent="0.25">
      <c r="B16" s="9" t="str">
        <f>B15&amp;" % Sales"</f>
        <v>Gross Profit % Sales</v>
      </c>
      <c r="C16" s="11">
        <f t="shared" ref="C16:L16" si="3">IFERROR(C15/C9,0)</f>
        <v>0.50713586003234579</v>
      </c>
      <c r="D16" s="11">
        <f t="shared" si="3"/>
        <v>0.51512712936464078</v>
      </c>
      <c r="E16" s="11">
        <f t="shared" si="3"/>
        <v>0.49177239011937912</v>
      </c>
      <c r="F16" s="11">
        <f t="shared" si="3"/>
        <v>0.4759156881462806</v>
      </c>
      <c r="G16" s="11">
        <f t="shared" si="3"/>
        <v>0.51447269837371723</v>
      </c>
      <c r="H16" s="11">
        <f t="shared" si="3"/>
        <v>0.53387753824414541</v>
      </c>
      <c r="I16" s="11">
        <f t="shared" si="3"/>
        <v>0.49548459537978312</v>
      </c>
      <c r="J16" s="11">
        <f t="shared" si="3"/>
        <v>0.44177828645739614</v>
      </c>
      <c r="K16" s="11">
        <f t="shared" si="3"/>
        <v>0.46217176194439735</v>
      </c>
      <c r="L16" s="11">
        <f t="shared" si="3"/>
        <v>0.45735409839993696</v>
      </c>
    </row>
    <row r="17" spans="2:12" x14ac:dyDescent="0.25">
      <c r="B17" s="9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spans="2:12" x14ac:dyDescent="0.25">
      <c r="B18" t="s">
        <v>59</v>
      </c>
      <c r="C18" s="23">
        <f>IFERROR(SUM('Data Sheet'!B23:B24),0)</f>
        <v>7855.14</v>
      </c>
      <c r="D18" s="23">
        <f>IFERROR(SUM('Data Sheet'!C23:C24),0)</f>
        <v>7858.88</v>
      </c>
      <c r="E18" s="23">
        <f>IFERROR(SUM('Data Sheet'!D23:D24),0)</f>
        <v>9089.4000000000015</v>
      </c>
      <c r="F18" s="23">
        <f>IFERROR(SUM('Data Sheet'!E23:E24),0)</f>
        <v>12385.599999999999</v>
      </c>
      <c r="G18" s="23">
        <f>IFERROR(SUM('Data Sheet'!F23:F24),0)</f>
        <v>12583.05</v>
      </c>
      <c r="H18" s="23">
        <f>IFERROR(SUM('Data Sheet'!G23:G24),0)</f>
        <v>12310.19</v>
      </c>
      <c r="I18" s="23">
        <f>IFERROR(SUM('Data Sheet'!H23:H24),0)</f>
        <v>14547.56</v>
      </c>
      <c r="J18" s="23">
        <f>IFERROR(SUM('Data Sheet'!I23:I24),0)</f>
        <v>17318.2</v>
      </c>
      <c r="K18" s="23">
        <f>IFERROR(SUM('Data Sheet'!J23:J24),0)</f>
        <v>19793.18</v>
      </c>
      <c r="L18" s="23">
        <f>IFERROR(SUM('Data Sheet'!K23:K24),0)</f>
        <v>21941.510000000002</v>
      </c>
    </row>
    <row r="19" spans="2:12" x14ac:dyDescent="0.25">
      <c r="B19" s="9" t="str">
        <f>B18&amp;" % Sales"</f>
        <v>Selling &amp; Other Exp. % Sales</v>
      </c>
      <c r="C19" s="11">
        <f t="shared" ref="C19:L19" si="4">IFERROR(C18/C9,0)</f>
        <v>0.31229137876472374</v>
      </c>
      <c r="D19" s="11">
        <f t="shared" si="4"/>
        <v>0.30971028897014141</v>
      </c>
      <c r="E19" s="11">
        <f t="shared" si="4"/>
        <v>0.29340880904314015</v>
      </c>
      <c r="F19" s="11">
        <f t="shared" si="4"/>
        <v>0.29871984788094036</v>
      </c>
      <c r="G19" s="11">
        <f t="shared" si="4"/>
        <v>0.29656098566364419</v>
      </c>
      <c r="H19" s="11">
        <f t="shared" si="4"/>
        <v>0.27523688788126766</v>
      </c>
      <c r="I19" s="11">
        <f t="shared" si="4"/>
        <v>0.27657573371879185</v>
      </c>
      <c r="J19" s="11">
        <f t="shared" si="4"/>
        <v>0.27384891646075787</v>
      </c>
      <c r="K19" s="11">
        <f t="shared" si="4"/>
        <v>0.27913833306021002</v>
      </c>
      <c r="L19" s="11">
        <f t="shared" si="4"/>
        <v>0.28887462900794192</v>
      </c>
    </row>
    <row r="20" spans="2:12" x14ac:dyDescent="0.25">
      <c r="B20" s="9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spans="2:12" x14ac:dyDescent="0.25">
      <c r="B21" s="20" t="s">
        <v>60</v>
      </c>
      <c r="C21" s="25">
        <f>IFERROR(C15-C18,0)</f>
        <v>4900.9700000000021</v>
      </c>
      <c r="D21" s="25">
        <f t="shared" ref="D21:L21" si="5">IFERROR(D15-D18,0)</f>
        <v>5212.4399999999978</v>
      </c>
      <c r="E21" s="25">
        <f t="shared" si="5"/>
        <v>6145.0299999999988</v>
      </c>
      <c r="F21" s="25">
        <f t="shared" si="5"/>
        <v>7346.940000000006</v>
      </c>
      <c r="G21" s="25">
        <f t="shared" si="5"/>
        <v>9245.9700000000012</v>
      </c>
      <c r="H21" s="25">
        <f t="shared" si="5"/>
        <v>11567.909999999998</v>
      </c>
      <c r="I21" s="25">
        <f t="shared" si="5"/>
        <v>11514.35</v>
      </c>
      <c r="J21" s="25">
        <f t="shared" si="5"/>
        <v>10619.850000000002</v>
      </c>
      <c r="K21" s="25">
        <f t="shared" si="5"/>
        <v>12978.559999999998</v>
      </c>
      <c r="L21" s="25">
        <f t="shared" si="5"/>
        <v>12796.880000000005</v>
      </c>
    </row>
    <row r="22" spans="2:12" x14ac:dyDescent="0.25">
      <c r="B22" s="9" t="str">
        <f>B21&amp;" % Sales"</f>
        <v>EBITDA % Sales</v>
      </c>
      <c r="C22" s="11">
        <f t="shared" ref="C22:L22" si="6">IFERROR(C21/C9,0)</f>
        <v>0.19484448126762205</v>
      </c>
      <c r="D22" s="11">
        <f t="shared" si="6"/>
        <v>0.20541684039449937</v>
      </c>
      <c r="E22" s="11">
        <f t="shared" si="6"/>
        <v>0.198363581076239</v>
      </c>
      <c r="F22" s="11">
        <f t="shared" si="6"/>
        <v>0.17719584026534024</v>
      </c>
      <c r="G22" s="11">
        <f t="shared" si="6"/>
        <v>0.21791171271007304</v>
      </c>
      <c r="H22" s="11">
        <f t="shared" si="6"/>
        <v>0.25864065036287776</v>
      </c>
      <c r="I22" s="11">
        <f t="shared" si="6"/>
        <v>0.21890886166099133</v>
      </c>
      <c r="J22" s="11">
        <f t="shared" si="6"/>
        <v>0.16792936999663824</v>
      </c>
      <c r="K22" s="11">
        <f t="shared" si="6"/>
        <v>0.1830334288841873</v>
      </c>
      <c r="L22" s="11">
        <f t="shared" si="6"/>
        <v>0.16847946939199504</v>
      </c>
    </row>
    <row r="23" spans="2:12" x14ac:dyDescent="0.25">
      <c r="B23" s="9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 spans="2:12" x14ac:dyDescent="0.25">
      <c r="B24" t="s">
        <v>5</v>
      </c>
      <c r="C24" s="23">
        <f>IFERROR('Data Sheet'!B26,0)</f>
        <v>1377.17</v>
      </c>
      <c r="D24" s="23">
        <f>IFERROR('Data Sheet'!C26,0)</f>
        <v>1348.41</v>
      </c>
      <c r="E24" s="23">
        <f>IFERROR('Data Sheet'!D26,0)</f>
        <v>1847.93</v>
      </c>
      <c r="F24" s="23">
        <f>IFERROR('Data Sheet'!E26,0)</f>
        <v>2450.73</v>
      </c>
      <c r="G24" s="23">
        <f>IFERROR('Data Sheet'!F26,0)</f>
        <v>2722.66</v>
      </c>
      <c r="H24" s="23">
        <f>IFERROR('Data Sheet'!G26,0)</f>
        <v>2700.23</v>
      </c>
      <c r="I24" s="23">
        <f>IFERROR('Data Sheet'!H26,0)</f>
        <v>2714.75</v>
      </c>
      <c r="J24" s="23">
        <f>IFERROR('Data Sheet'!I26,0)</f>
        <v>2887.99</v>
      </c>
      <c r="K24" s="23">
        <f>IFERROR('Data Sheet'!J26,0)</f>
        <v>3145.3</v>
      </c>
      <c r="L24" s="23">
        <f>IFERROR('Data Sheet'!K26,0)</f>
        <v>4014.95</v>
      </c>
    </row>
    <row r="25" spans="2:12" x14ac:dyDescent="0.25">
      <c r="B25" s="9" t="str">
        <f>B24&amp;" % Sales"</f>
        <v>Depreciation % Sales</v>
      </c>
      <c r="C25" s="11">
        <f t="shared" ref="C25:L25" si="7">IFERROR(C24/C9,0)</f>
        <v>5.4751197062485789E-2</v>
      </c>
      <c r="D25" s="11">
        <f t="shared" si="7"/>
        <v>5.3139435994725509E-2</v>
      </c>
      <c r="E25" s="11">
        <f t="shared" si="7"/>
        <v>5.9651785650877934E-2</v>
      </c>
      <c r="F25" s="11">
        <f t="shared" si="7"/>
        <v>5.9107487146142057E-2</v>
      </c>
      <c r="G25" s="11">
        <f t="shared" si="7"/>
        <v>6.4168443519415197E-2</v>
      </c>
      <c r="H25" s="11">
        <f t="shared" si="7"/>
        <v>6.0372983825890202E-2</v>
      </c>
      <c r="I25" s="11">
        <f t="shared" si="7"/>
        <v>5.161236476172569E-2</v>
      </c>
      <c r="J25" s="11">
        <f t="shared" si="7"/>
        <v>4.566715549245904E-2</v>
      </c>
      <c r="K25" s="11">
        <f t="shared" si="7"/>
        <v>4.4357389715764653E-2</v>
      </c>
      <c r="L25" s="11">
        <f t="shared" si="7"/>
        <v>5.285949744276653E-2</v>
      </c>
    </row>
    <row r="26" spans="2:12" x14ac:dyDescent="0.25">
      <c r="B26" s="9"/>
      <c r="C26" s="11"/>
      <c r="D26" s="11"/>
      <c r="E26" s="11"/>
      <c r="F26" s="11"/>
      <c r="G26" s="11"/>
      <c r="H26" s="11"/>
      <c r="I26" s="11"/>
      <c r="J26" s="11"/>
      <c r="K26" s="11"/>
      <c r="L26" s="11"/>
    </row>
    <row r="27" spans="2:12" x14ac:dyDescent="0.25">
      <c r="B27" s="19" t="s">
        <v>99</v>
      </c>
      <c r="C27" s="24">
        <f>IFERROR(C21-C24,0)</f>
        <v>3523.800000000002</v>
      </c>
      <c r="D27" s="24">
        <f t="shared" ref="D27:L27" si="8">IFERROR(D21-D24,0)</f>
        <v>3864.0299999999979</v>
      </c>
      <c r="E27" s="24">
        <f t="shared" si="8"/>
        <v>4297.0999999999985</v>
      </c>
      <c r="F27" s="24">
        <f t="shared" si="8"/>
        <v>4896.2100000000064</v>
      </c>
      <c r="G27" s="24">
        <f t="shared" si="8"/>
        <v>6523.3100000000013</v>
      </c>
      <c r="H27" s="24">
        <f t="shared" si="8"/>
        <v>8867.6799999999985</v>
      </c>
      <c r="I27" s="24">
        <f t="shared" si="8"/>
        <v>8799.6</v>
      </c>
      <c r="J27" s="24">
        <f t="shared" si="8"/>
        <v>7731.8600000000024</v>
      </c>
      <c r="K27" s="24">
        <f t="shared" si="8"/>
        <v>9833.2599999999984</v>
      </c>
      <c r="L27" s="24">
        <f t="shared" si="8"/>
        <v>8781.9300000000039</v>
      </c>
    </row>
    <row r="28" spans="2:12" x14ac:dyDescent="0.25">
      <c r="B28" s="9" t="str">
        <f>B27&amp;" % Sales"</f>
        <v>EBIT % Sales</v>
      </c>
      <c r="C28" s="11">
        <f t="shared" ref="C28:L28" si="9">IFERROR(C27/C9,0)</f>
        <v>0.14009328420513628</v>
      </c>
      <c r="D28" s="11">
        <f t="shared" si="9"/>
        <v>0.15227740439977389</v>
      </c>
      <c r="E28" s="11">
        <f t="shared" si="9"/>
        <v>0.13871179542536105</v>
      </c>
      <c r="F28" s="11">
        <f t="shared" si="9"/>
        <v>0.11808835311919819</v>
      </c>
      <c r="G28" s="11">
        <f t="shared" si="9"/>
        <v>0.15374326919065784</v>
      </c>
      <c r="H28" s="11">
        <f t="shared" si="9"/>
        <v>0.19826766653698755</v>
      </c>
      <c r="I28" s="11">
        <f t="shared" si="9"/>
        <v>0.16729649689926562</v>
      </c>
      <c r="J28" s="11">
        <f t="shared" si="9"/>
        <v>0.12226221450417919</v>
      </c>
      <c r="K28" s="11">
        <f t="shared" si="9"/>
        <v>0.13867603916842267</v>
      </c>
      <c r="L28" s="11">
        <f t="shared" si="9"/>
        <v>0.11561997194922849</v>
      </c>
    </row>
    <row r="29" spans="2:12" x14ac:dyDescent="0.25">
      <c r="B29" s="9"/>
      <c r="C29" s="11"/>
      <c r="D29" s="11"/>
      <c r="E29" s="11"/>
      <c r="F29" s="11"/>
      <c r="G29" s="11"/>
      <c r="H29" s="11"/>
      <c r="I29" s="11"/>
      <c r="J29" s="11"/>
      <c r="K29" s="11"/>
      <c r="L29" s="11"/>
    </row>
    <row r="30" spans="2:12" x14ac:dyDescent="0.25">
      <c r="B30" t="s">
        <v>6</v>
      </c>
      <c r="C30" s="23">
        <f>IFERROR('Data Sheet'!B27,0)</f>
        <v>566.29999999999995</v>
      </c>
      <c r="D30" s="23">
        <f>IFERROR('Data Sheet'!C27,0)</f>
        <v>640.1</v>
      </c>
      <c r="E30" s="23">
        <f>IFERROR('Data Sheet'!D27,0)</f>
        <v>1237.5999999999999</v>
      </c>
      <c r="F30" s="23">
        <f>IFERROR('Data Sheet'!E27,0)</f>
        <v>1777.86</v>
      </c>
      <c r="G30" s="23">
        <f>IFERROR('Data Sheet'!F27,0)</f>
        <v>1991.65</v>
      </c>
      <c r="H30" s="23">
        <f>IFERROR('Data Sheet'!G27,0)</f>
        <v>1485.65</v>
      </c>
      <c r="I30" s="23">
        <f>IFERROR('Data Sheet'!H27,0)</f>
        <v>944.71</v>
      </c>
      <c r="J30" s="23">
        <f>IFERROR('Data Sheet'!I27,0)</f>
        <v>822.72</v>
      </c>
      <c r="K30" s="23">
        <f>IFERROR('Data Sheet'!J27,0)</f>
        <v>968</v>
      </c>
      <c r="L30" s="23">
        <f>IFERROR('Data Sheet'!K27,0)</f>
        <v>1650.54</v>
      </c>
    </row>
    <row r="31" spans="2:12" x14ac:dyDescent="0.25">
      <c r="B31" s="9" t="str">
        <f>B30&amp;" % Sales"</f>
        <v>Interest % Sales</v>
      </c>
      <c r="C31" s="11">
        <f t="shared" ref="C31:L31" si="10">IFERROR(C30/C9,0)</f>
        <v>2.2513998196653787E-2</v>
      </c>
      <c r="D31" s="11">
        <f t="shared" si="10"/>
        <v>2.5225675410464027E-2</v>
      </c>
      <c r="E31" s="11">
        <f t="shared" si="10"/>
        <v>3.9950133350033022E-2</v>
      </c>
      <c r="F31" s="11">
        <f t="shared" si="10"/>
        <v>4.2878994053869704E-2</v>
      </c>
      <c r="G31" s="11">
        <f t="shared" si="10"/>
        <v>4.6939787022780406E-2</v>
      </c>
      <c r="H31" s="11">
        <f t="shared" si="10"/>
        <v>3.3216845757929429E-2</v>
      </c>
      <c r="I31" s="11">
        <f t="shared" si="10"/>
        <v>1.7960665664996732E-2</v>
      </c>
      <c r="J31" s="11">
        <f t="shared" si="10"/>
        <v>1.3009491780357931E-2</v>
      </c>
      <c r="K31" s="11">
        <f t="shared" si="10"/>
        <v>1.3651465120929698E-2</v>
      </c>
      <c r="L31" s="11">
        <f t="shared" si="10"/>
        <v>2.1730461128826976E-2</v>
      </c>
    </row>
    <row r="32" spans="2:12" x14ac:dyDescent="0.25">
      <c r="B32" s="9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 spans="2:12" x14ac:dyDescent="0.25">
      <c r="B33" s="20" t="s">
        <v>4</v>
      </c>
      <c r="C33" s="25">
        <f>IFERROR('Data Sheet'!B25,0)</f>
        <v>463.81</v>
      </c>
      <c r="D33" s="25">
        <f>IFERROR('Data Sheet'!C25,0)</f>
        <v>648.12</v>
      </c>
      <c r="E33" s="25">
        <f>IFERROR('Data Sheet'!D25,0)</f>
        <v>241.97</v>
      </c>
      <c r="F33" s="25">
        <f>IFERROR('Data Sheet'!E25,0)</f>
        <v>350.1</v>
      </c>
      <c r="G33" s="25">
        <f>IFERROR('Data Sheet'!F25,0)</f>
        <v>651.05999999999995</v>
      </c>
      <c r="H33" s="25">
        <f>IFERROR('Data Sheet'!G25,0)</f>
        <v>618.52</v>
      </c>
      <c r="I33" s="25">
        <f>IFERROR('Data Sheet'!H25,0)</f>
        <v>669.43</v>
      </c>
      <c r="J33" s="25">
        <f>IFERROR('Data Sheet'!I25,0)</f>
        <v>507.11</v>
      </c>
      <c r="K33" s="25">
        <f>IFERROR('Data Sheet'!J25,0)</f>
        <v>556.96</v>
      </c>
      <c r="L33" s="25">
        <f>IFERROR('Data Sheet'!K25,0)</f>
        <v>396.74</v>
      </c>
    </row>
    <row r="34" spans="2:12" x14ac:dyDescent="0.25">
      <c r="B34" s="9" t="str">
        <f>B33&amp;" % Sales"</f>
        <v>Other Income % Sales</v>
      </c>
      <c r="C34" s="11">
        <f t="shared" ref="C34:L34" si="11">IFERROR(C33/C9,0)</f>
        <v>1.8439374013049611E-2</v>
      </c>
      <c r="D34" s="11">
        <f t="shared" si="11"/>
        <v>2.5541735271098178E-2</v>
      </c>
      <c r="E34" s="11">
        <f t="shared" si="11"/>
        <v>7.8108708522200152E-3</v>
      </c>
      <c r="F34" s="11">
        <f t="shared" si="11"/>
        <v>8.4438233709402243E-3</v>
      </c>
      <c r="G34" s="11">
        <f t="shared" si="11"/>
        <v>1.5344371621043561E-2</v>
      </c>
      <c r="H34" s="11">
        <f t="shared" si="11"/>
        <v>1.3829154537202239E-2</v>
      </c>
      <c r="I34" s="11">
        <f t="shared" si="11"/>
        <v>1.2727089176698415E-2</v>
      </c>
      <c r="J34" s="11">
        <f t="shared" si="11"/>
        <v>8.0188197402971985E-3</v>
      </c>
      <c r="K34" s="11">
        <f t="shared" si="11"/>
        <v>7.8546694356952541E-3</v>
      </c>
      <c r="L34" s="11">
        <f t="shared" si="11"/>
        <v>5.223346994468971E-3</v>
      </c>
    </row>
    <row r="35" spans="2:12" x14ac:dyDescent="0.25">
      <c r="B35" s="20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2:12" x14ac:dyDescent="0.25">
      <c r="B36" s="20" t="s">
        <v>61</v>
      </c>
      <c r="C36" s="23">
        <f>IFERROR(C27-C30+C33,0)</f>
        <v>3421.3100000000018</v>
      </c>
      <c r="D36" s="23">
        <f t="shared" ref="D36:K36" si="12">IFERROR(D27-D30+D33,0)</f>
        <v>3872.0499999999979</v>
      </c>
      <c r="E36" s="23">
        <f t="shared" si="12"/>
        <v>3301.4699999999984</v>
      </c>
      <c r="F36" s="23">
        <f t="shared" si="12"/>
        <v>3468.4500000000066</v>
      </c>
      <c r="G36" s="23">
        <f t="shared" si="12"/>
        <v>5182.7200000000012</v>
      </c>
      <c r="H36" s="23">
        <f t="shared" si="12"/>
        <v>8000.5499999999993</v>
      </c>
      <c r="I36" s="23">
        <f t="shared" si="12"/>
        <v>8524.32</v>
      </c>
      <c r="J36" s="23">
        <f t="shared" si="12"/>
        <v>7416.2500000000018</v>
      </c>
      <c r="K36" s="23">
        <f t="shared" si="12"/>
        <v>9422.2199999999975</v>
      </c>
      <c r="L36" s="23">
        <f>IFERROR(L27-L30+L33,0)</f>
        <v>7528.1300000000037</v>
      </c>
    </row>
    <row r="37" spans="2:12" x14ac:dyDescent="0.25">
      <c r="B37" s="9" t="str">
        <f>B36&amp;" % Sales"</f>
        <v>EBT % Sales</v>
      </c>
      <c r="C37" s="11">
        <f t="shared" ref="C37:L37" si="13">IFERROR(C36/C9,0)</f>
        <v>0.13601866002153207</v>
      </c>
      <c r="D37" s="11">
        <f t="shared" si="13"/>
        <v>0.15259346426040804</v>
      </c>
      <c r="E37" s="11">
        <f t="shared" si="13"/>
        <v>0.10657253292754805</v>
      </c>
      <c r="F37" s="11">
        <f t="shared" si="13"/>
        <v>8.3653182436268708E-2</v>
      </c>
      <c r="G37" s="11">
        <f t="shared" si="13"/>
        <v>0.122147853788921</v>
      </c>
      <c r="H37" s="11">
        <f t="shared" si="13"/>
        <v>0.17887997531626038</v>
      </c>
      <c r="I37" s="11">
        <f t="shared" si="13"/>
        <v>0.16206292041096731</v>
      </c>
      <c r="J37" s="11">
        <f t="shared" si="13"/>
        <v>0.11727154246411844</v>
      </c>
      <c r="K37" s="11">
        <f t="shared" si="13"/>
        <v>0.13287924348318822</v>
      </c>
      <c r="L37" s="11">
        <f t="shared" si="13"/>
        <v>9.9112857814870475E-2</v>
      </c>
    </row>
    <row r="38" spans="2:12" x14ac:dyDescent="0.25">
      <c r="B38" s="9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spans="2:12" x14ac:dyDescent="0.25">
      <c r="B39" t="s">
        <v>8</v>
      </c>
      <c r="C39" s="23">
        <f>IFERROR('Data Sheet'!B29,0)</f>
        <v>941.69</v>
      </c>
      <c r="D39" s="23">
        <f>IFERROR('Data Sheet'!C29,0)</f>
        <v>1158.54</v>
      </c>
      <c r="E39" s="23">
        <f>IFERROR('Data Sheet'!D29,0)</f>
        <v>1077.01</v>
      </c>
      <c r="F39" s="23">
        <f>IFERROR('Data Sheet'!E29,0)</f>
        <v>1068.07</v>
      </c>
      <c r="G39" s="23">
        <f>IFERROR('Data Sheet'!F29,0)</f>
        <v>-568.16</v>
      </c>
      <c r="H39" s="23">
        <f>IFERROR('Data Sheet'!G29,0)</f>
        <v>2538.6999999999998</v>
      </c>
      <c r="I39" s="23">
        <f>IFERROR('Data Sheet'!H29,0)</f>
        <v>1190.06</v>
      </c>
      <c r="J39" s="23">
        <f>IFERROR('Data Sheet'!I29,0)</f>
        <v>2342.85</v>
      </c>
      <c r="K39" s="23">
        <f>IFERROR('Data Sheet'!J29,0)</f>
        <v>2418.2600000000002</v>
      </c>
      <c r="L39" s="23">
        <f>IFERROR('Data Sheet'!K29,0)</f>
        <v>1488.49</v>
      </c>
    </row>
    <row r="40" spans="2:12" x14ac:dyDescent="0.25">
      <c r="B40" s="9" t="s">
        <v>62</v>
      </c>
      <c r="C40" s="11">
        <f>IFERROR(C39/C36,0)</f>
        <v>0.27524252406242039</v>
      </c>
      <c r="D40" s="11">
        <f t="shared" ref="D40:L40" si="14">IFERROR(D39/D36,0)</f>
        <v>0.29920584703193415</v>
      </c>
      <c r="E40" s="11">
        <f t="shared" si="14"/>
        <v>0.3262213498835369</v>
      </c>
      <c r="F40" s="11">
        <f t="shared" si="14"/>
        <v>0.30793870460868628</v>
      </c>
      <c r="G40" s="11">
        <f t="shared" si="14"/>
        <v>-0.10962583353914544</v>
      </c>
      <c r="H40" s="11">
        <f t="shared" si="14"/>
        <v>0.3173156845466874</v>
      </c>
      <c r="I40" s="11">
        <f t="shared" si="14"/>
        <v>0.13960761679523997</v>
      </c>
      <c r="J40" s="11">
        <f t="shared" si="14"/>
        <v>0.31590763526040777</v>
      </c>
      <c r="K40" s="11">
        <f t="shared" si="14"/>
        <v>0.25665501336203156</v>
      </c>
      <c r="L40" s="11">
        <f t="shared" si="14"/>
        <v>0.19772373750187619</v>
      </c>
    </row>
    <row r="41" spans="2:12" x14ac:dyDescent="0.25">
      <c r="B41" s="9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spans="2:12" x14ac:dyDescent="0.25">
      <c r="B42" s="19" t="s">
        <v>63</v>
      </c>
      <c r="C42" s="24">
        <f t="shared" ref="C42:L42" si="15">IFERROR(C36-C39,0)</f>
        <v>2479.6200000000017</v>
      </c>
      <c r="D42" s="24">
        <f t="shared" si="15"/>
        <v>2713.5099999999979</v>
      </c>
      <c r="E42" s="24">
        <f t="shared" si="15"/>
        <v>2224.4599999999982</v>
      </c>
      <c r="F42" s="24">
        <f t="shared" si="15"/>
        <v>2400.3800000000065</v>
      </c>
      <c r="G42" s="24">
        <f t="shared" si="15"/>
        <v>5750.880000000001</v>
      </c>
      <c r="H42" s="24">
        <f t="shared" si="15"/>
        <v>5461.8499999999995</v>
      </c>
      <c r="I42" s="24">
        <f t="shared" si="15"/>
        <v>7334.26</v>
      </c>
      <c r="J42" s="24">
        <f t="shared" si="15"/>
        <v>5073.4000000000015</v>
      </c>
      <c r="K42" s="24">
        <f t="shared" si="15"/>
        <v>7003.9599999999973</v>
      </c>
      <c r="L42" s="24">
        <f t="shared" si="15"/>
        <v>6039.640000000004</v>
      </c>
    </row>
    <row r="43" spans="2:12" x14ac:dyDescent="0.25">
      <c r="B43" s="9" t="str">
        <f>B42&amp;" % Sales"</f>
        <v>Net Profit % Sales</v>
      </c>
      <c r="C43" s="11">
        <f t="shared" ref="C43:L43" si="16">IFERROR(C42/C9,0)</f>
        <v>9.8580540717617349E-2</v>
      </c>
      <c r="D43" s="11">
        <f t="shared" si="16"/>
        <v>0.10693660753483547</v>
      </c>
      <c r="E43" s="11">
        <f t="shared" si="16"/>
        <v>7.1806297375415634E-2</v>
      </c>
      <c r="F43" s="11">
        <f t="shared" si="16"/>
        <v>5.7893129800450006E-2</v>
      </c>
      <c r="G43" s="11">
        <f t="shared" si="16"/>
        <v>0.13553841407554912</v>
      </c>
      <c r="H43" s="11">
        <f t="shared" si="16"/>
        <v>0.12211855349708667</v>
      </c>
      <c r="I43" s="11">
        <f t="shared" si="16"/>
        <v>0.13943770232151551</v>
      </c>
      <c r="J43" s="11">
        <f t="shared" si="16"/>
        <v>8.0224566800938285E-2</v>
      </c>
      <c r="K43" s="11">
        <f t="shared" si="16"/>
        <v>9.8775119471473896E-2</v>
      </c>
      <c r="L43" s="11">
        <f t="shared" si="16"/>
        <v>7.9515893133222257E-2</v>
      </c>
    </row>
    <row r="44" spans="2:12" x14ac:dyDescent="0.25">
      <c r="B44" s="9"/>
      <c r="C44" s="12"/>
      <c r="D44" s="12"/>
      <c r="E44" s="12"/>
      <c r="F44" s="12"/>
      <c r="G44" s="12"/>
      <c r="H44" s="12"/>
      <c r="I44" s="12"/>
      <c r="J44" s="12"/>
      <c r="K44" s="12"/>
      <c r="L44" s="12"/>
    </row>
    <row r="45" spans="2:12" x14ac:dyDescent="0.25">
      <c r="B45" t="s">
        <v>38</v>
      </c>
      <c r="C45" s="14">
        <f>IFERROR('Data Sheet'!B93,0)</f>
        <v>27.44</v>
      </c>
      <c r="D45">
        <f>IFERROR('Data Sheet'!C93,0)</f>
        <v>27.45</v>
      </c>
      <c r="E45">
        <f>IFERROR('Data Sheet'!D93,0)</f>
        <v>27.46</v>
      </c>
      <c r="F45">
        <f>IFERROR('Data Sheet'!E93,0)</f>
        <v>27.46</v>
      </c>
      <c r="G45">
        <f>IFERROR('Data Sheet'!F93,0)</f>
        <v>28.86</v>
      </c>
      <c r="H45">
        <f>IFERROR('Data Sheet'!G93,0)</f>
        <v>28.87</v>
      </c>
      <c r="I45">
        <f>IFERROR('Data Sheet'!H93,0)</f>
        <v>28.87</v>
      </c>
      <c r="J45">
        <f>IFERROR('Data Sheet'!I93,0)</f>
        <v>28.87</v>
      </c>
      <c r="K45">
        <f>IFERROR('Data Sheet'!J93,0)</f>
        <v>28.87</v>
      </c>
      <c r="L45">
        <f>IFERROR('Data Sheet'!K93,0)</f>
        <v>29.47</v>
      </c>
    </row>
    <row r="47" spans="2:12" x14ac:dyDescent="0.25">
      <c r="B47" t="s">
        <v>64</v>
      </c>
      <c r="C47" s="25">
        <f>IFERROR(C42/C45,0)</f>
        <v>90.365160349854293</v>
      </c>
      <c r="D47" s="25">
        <f t="shared" ref="D47" si="17">IFERROR(D42/D45,0)</f>
        <v>98.852823315118329</v>
      </c>
      <c r="E47" s="25">
        <f t="shared" ref="E47:L47" si="18">IFERROR(E42/E45,0)</f>
        <v>81.007283321194393</v>
      </c>
      <c r="F47" s="25">
        <f t="shared" si="18"/>
        <v>87.41369264384582</v>
      </c>
      <c r="G47" s="25">
        <f t="shared" si="18"/>
        <v>199.26819126819132</v>
      </c>
      <c r="H47" s="25">
        <f t="shared" si="18"/>
        <v>189.18773813647383</v>
      </c>
      <c r="I47" s="25">
        <f t="shared" si="18"/>
        <v>254.04433668167647</v>
      </c>
      <c r="J47" s="25">
        <f t="shared" si="18"/>
        <v>175.73259438863877</v>
      </c>
      <c r="K47" s="25">
        <f t="shared" si="18"/>
        <v>242.60339452719074</v>
      </c>
      <c r="L47" s="25">
        <f t="shared" si="18"/>
        <v>204.94197488971849</v>
      </c>
    </row>
    <row r="48" spans="2:12" x14ac:dyDescent="0.25">
      <c r="B48" s="9" t="str">
        <f>B47&amp;" Growth"</f>
        <v>Earnings Per Share Growth</v>
      </c>
      <c r="C48" s="11" t="str">
        <f>IFERROR(C47/ABS(B47-1),"-")</f>
        <v>-</v>
      </c>
      <c r="D48" s="11">
        <f t="shared" ref="D48:L48" si="19">IFERROR(D47/C47-1,"-")</f>
        <v>9.3926275706295748E-2</v>
      </c>
      <c r="E48" s="11">
        <f t="shared" si="19"/>
        <v>-0.18052635620772073</v>
      </c>
      <c r="F48" s="11">
        <f t="shared" si="19"/>
        <v>7.9084362047421974E-2</v>
      </c>
      <c r="G48" s="11">
        <f>IFERROR(G47/F47-1,"-")</f>
        <v>1.2795992852067255</v>
      </c>
      <c r="H48" s="11">
        <f t="shared" si="19"/>
        <v>-5.0587367043194553E-2</v>
      </c>
      <c r="I48" s="11">
        <f t="shared" si="19"/>
        <v>0.34281607880113896</v>
      </c>
      <c r="J48" s="11">
        <f t="shared" si="19"/>
        <v>-0.30826013803710239</v>
      </c>
      <c r="K48" s="11">
        <f t="shared" si="19"/>
        <v>0.38052588008041832</v>
      </c>
      <c r="L48" s="11">
        <f t="shared" si="19"/>
        <v>-0.15523863427744078</v>
      </c>
    </row>
    <row r="49" spans="1:15" x14ac:dyDescent="0.25">
      <c r="B49" s="9"/>
      <c r="C49" s="11"/>
      <c r="D49" s="11" t="str">
        <f>IFERROR(IF(AND(C47&lt;0,D47&gt;0),"Profit Swing",IF(AND(C47&gt;0,D47&lt;0),"Loss-Making",IF(C47=0,"-","-"))),0)</f>
        <v>-</v>
      </c>
      <c r="E49" s="11" t="str">
        <f t="shared" ref="E49:L49" si="20">IFERROR(IF(AND(D47&lt;0,E47&gt;0),"Profit Swing",IF(AND(D47&gt;0,E47&lt;0),"Loss-Making",IF(D47=0,"-","-"))),0)</f>
        <v>-</v>
      </c>
      <c r="F49" s="11" t="str">
        <f t="shared" si="20"/>
        <v>-</v>
      </c>
      <c r="G49" s="11" t="str">
        <f t="shared" si="20"/>
        <v>-</v>
      </c>
      <c r="H49" s="11" t="str">
        <f t="shared" si="20"/>
        <v>-</v>
      </c>
      <c r="I49" s="11" t="str">
        <f t="shared" si="20"/>
        <v>-</v>
      </c>
      <c r="J49" s="11" t="str">
        <f t="shared" si="20"/>
        <v>-</v>
      </c>
      <c r="K49" s="11" t="str">
        <f t="shared" si="20"/>
        <v>-</v>
      </c>
      <c r="L49" s="11" t="str">
        <f t="shared" si="20"/>
        <v>-</v>
      </c>
    </row>
    <row r="50" spans="1:15" x14ac:dyDescent="0.25">
      <c r="C50" s="14"/>
      <c r="D50" s="14"/>
      <c r="E50" s="14"/>
      <c r="F50" s="14"/>
      <c r="G50" s="14"/>
      <c r="H50" s="14"/>
      <c r="I50" s="14"/>
      <c r="J50" s="14"/>
      <c r="K50" s="14"/>
      <c r="L50" s="14"/>
    </row>
    <row r="51" spans="1:15" x14ac:dyDescent="0.25">
      <c r="B51" t="s">
        <v>65</v>
      </c>
      <c r="C51" s="22">
        <f>IFERROR('Data Sheet'!B31/Historical_FS!C45,0)</f>
        <v>9.5010932944606399</v>
      </c>
      <c r="D51" s="22">
        <f>IFERROR('Data Sheet'!C31/Historical_FS!D45,0)</f>
        <v>10.000364298724955</v>
      </c>
      <c r="E51" s="22">
        <f>IFERROR('Data Sheet'!D31/Historical_FS!E45,0)</f>
        <v>10.500364166059722</v>
      </c>
      <c r="F51" s="22">
        <f>IFERROR('Data Sheet'!E31/Historical_FS!F45,0)</f>
        <v>11.501820830298614</v>
      </c>
      <c r="G51" s="22">
        <f>IFERROR('Data Sheet'!F31/Historical_FS!G45,0)</f>
        <v>13.001386001386003</v>
      </c>
      <c r="H51" s="22">
        <f>IFERROR('Data Sheet'!G31/Historical_FS!H45,0)</f>
        <v>36.993418773813644</v>
      </c>
      <c r="I51" s="22">
        <f>IFERROR('Data Sheet'!H31/Historical_FS!I45,0)</f>
        <v>37.996189816418429</v>
      </c>
      <c r="J51" s="22">
        <f>IFERROR('Data Sheet'!I31/Historical_FS!J45,0)</f>
        <v>37.998614478697611</v>
      </c>
      <c r="K51" s="22">
        <f>IFERROR('Data Sheet'!J31/Historical_FS!K45,0)</f>
        <v>69.997575337720818</v>
      </c>
      <c r="L51" s="22">
        <f>IFERROR('Data Sheet'!K31/Historical_FS!L45,0)</f>
        <v>77.494740413980324</v>
      </c>
    </row>
    <row r="52" spans="1:15" x14ac:dyDescent="0.25">
      <c r="B52" s="9" t="s">
        <v>66</v>
      </c>
      <c r="C52" s="12">
        <f>IFERROR(C51/C47,0)</f>
        <v>0.10514111033142166</v>
      </c>
      <c r="D52" s="12">
        <f t="shared" ref="D52" si="21">IFERROR(D51/D47,0)</f>
        <v>0.10116417481417066</v>
      </c>
      <c r="E52" s="12">
        <f t="shared" ref="E52:L52" si="22">IFERROR(E51/E47,0)</f>
        <v>0.12962247017253636</v>
      </c>
      <c r="F52" s="12">
        <f t="shared" si="22"/>
        <v>0.13157916663194957</v>
      </c>
      <c r="G52" s="12">
        <f t="shared" si="22"/>
        <v>6.5245666750132145E-2</v>
      </c>
      <c r="H52" s="12">
        <f t="shared" si="22"/>
        <v>0.19553814183838811</v>
      </c>
      <c r="I52" s="12">
        <f t="shared" si="22"/>
        <v>0.14956519130764387</v>
      </c>
      <c r="J52" s="12">
        <f t="shared" si="22"/>
        <v>0.21622974730949654</v>
      </c>
      <c r="K52" s="12">
        <f t="shared" si="22"/>
        <v>0.28852677628084694</v>
      </c>
      <c r="L52" s="12">
        <f t="shared" si="22"/>
        <v>0.37813015345285456</v>
      </c>
    </row>
    <row r="53" spans="1:15" x14ac:dyDescent="0.25">
      <c r="B53" s="9" t="s">
        <v>67</v>
      </c>
      <c r="C53" s="12">
        <f t="shared" ref="C53:L53" si="23">IFERROR(IF(C47&gt;C51,1-C52,0),0)</f>
        <v>0.89485888966857829</v>
      </c>
      <c r="D53" s="12">
        <f t="shared" si="23"/>
        <v>0.89883582518582938</v>
      </c>
      <c r="E53" s="12">
        <f t="shared" si="23"/>
        <v>0.87037752982746364</v>
      </c>
      <c r="F53" s="12">
        <f t="shared" si="23"/>
        <v>0.86842083336805043</v>
      </c>
      <c r="G53" s="12">
        <f t="shared" si="23"/>
        <v>0.9347543332498679</v>
      </c>
      <c r="H53" s="12">
        <f t="shared" si="23"/>
        <v>0.80446185816161186</v>
      </c>
      <c r="I53" s="12">
        <f t="shared" si="23"/>
        <v>0.8504348086923561</v>
      </c>
      <c r="J53" s="12">
        <f t="shared" si="23"/>
        <v>0.78377025269050349</v>
      </c>
      <c r="K53" s="12">
        <f t="shared" si="23"/>
        <v>0.711473223719153</v>
      </c>
      <c r="L53" s="12">
        <f t="shared" si="23"/>
        <v>0.6218698465471455</v>
      </c>
    </row>
    <row r="54" spans="1:15" x14ac:dyDescent="0.25">
      <c r="O54" s="20"/>
    </row>
    <row r="55" spans="1:15" s="28" customFormat="1" x14ac:dyDescent="0.25">
      <c r="A55" s="28" t="s">
        <v>56</v>
      </c>
      <c r="B55" s="107" t="s">
        <v>68</v>
      </c>
      <c r="C55" s="108"/>
      <c r="D55" s="108"/>
      <c r="E55" s="108"/>
      <c r="F55" s="108"/>
      <c r="G55" s="108"/>
      <c r="H55" s="108"/>
      <c r="I55" s="108"/>
      <c r="J55" s="108"/>
      <c r="K55" s="108"/>
      <c r="L55" s="108"/>
    </row>
    <row r="56" spans="1:15" s="15" customFormat="1" x14ac:dyDescent="0.25">
      <c r="B56" s="16" t="s">
        <v>70</v>
      </c>
    </row>
    <row r="57" spans="1:15" x14ac:dyDescent="0.25">
      <c r="B57" s="49" t="s">
        <v>10</v>
      </c>
      <c r="C57" s="13">
        <f>IFERROR('Data Sheet'!B57,0)</f>
        <v>274.43</v>
      </c>
      <c r="D57" s="13">
        <f>IFERROR('Data Sheet'!C57,0)</f>
        <v>274.51</v>
      </c>
      <c r="E57" s="13">
        <f>IFERROR('Data Sheet'!D57,0)</f>
        <v>274.61</v>
      </c>
      <c r="F57" s="13">
        <f>IFERROR('Data Sheet'!E57,0)</f>
        <v>274.64</v>
      </c>
      <c r="G57" s="13">
        <f>IFERROR('Data Sheet'!F57,0)</f>
        <v>288.63</v>
      </c>
      <c r="H57" s="13">
        <f>IFERROR('Data Sheet'!G57,0)</f>
        <v>288.64999999999998</v>
      </c>
      <c r="I57" s="13">
        <f>IFERROR('Data Sheet'!H57,0)</f>
        <v>288.67</v>
      </c>
      <c r="J57" s="13">
        <f>IFERROR('Data Sheet'!I57,0)</f>
        <v>288.69</v>
      </c>
      <c r="K57" s="13">
        <f>IFERROR('Data Sheet'!J57,0)</f>
        <v>288.69</v>
      </c>
      <c r="L57" s="13">
        <f>IFERROR('Data Sheet'!K57,0)</f>
        <v>294.68</v>
      </c>
    </row>
    <row r="58" spans="1:15" x14ac:dyDescent="0.25">
      <c r="B58" s="49" t="s">
        <v>11</v>
      </c>
      <c r="C58" s="13">
        <f>IFERROR('Data Sheet'!B58,0)</f>
        <v>21671.200000000001</v>
      </c>
      <c r="D58" s="13">
        <f>IFERROR('Data Sheet'!C58,0)</f>
        <v>24117.38</v>
      </c>
      <c r="E58" s="13">
        <f>IFERROR('Data Sheet'!D58,0)</f>
        <v>26106.55</v>
      </c>
      <c r="F58" s="13">
        <f>IFERROR('Data Sheet'!E58,0)</f>
        <v>33476.01</v>
      </c>
      <c r="G58" s="13">
        <f>IFERROR('Data Sheet'!F58,0)</f>
        <v>38755.129999999997</v>
      </c>
      <c r="H58" s="13">
        <f>IFERROR('Data Sheet'!G58,0)</f>
        <v>43886.03</v>
      </c>
      <c r="I58" s="13">
        <f>IFERROR('Data Sheet'!H58,0)</f>
        <v>50146.6</v>
      </c>
      <c r="J58" s="13">
        <f>IFERROR('Data Sheet'!I58,0)</f>
        <v>54035.85</v>
      </c>
      <c r="K58" s="13">
        <f>IFERROR('Data Sheet'!J58,0)</f>
        <v>59938.79</v>
      </c>
      <c r="L58" s="13">
        <f>IFERROR('Data Sheet'!K58,0)</f>
        <v>70412.09</v>
      </c>
      <c r="M58" s="8"/>
    </row>
    <row r="59" spans="1:15" x14ac:dyDescent="0.25">
      <c r="B59" s="49" t="s">
        <v>35</v>
      </c>
      <c r="C59" s="13">
        <f>IFERROR('Data Sheet'!B59,0)</f>
        <v>10615.99</v>
      </c>
      <c r="D59" s="13">
        <f>IFERROR('Data Sheet'!C59,0)</f>
        <v>8474.49</v>
      </c>
      <c r="E59" s="13">
        <f>IFERROR('Data Sheet'!D59,0)</f>
        <v>19480.22</v>
      </c>
      <c r="F59" s="13">
        <f>IFERROR('Data Sheet'!E59,0)</f>
        <v>25337</v>
      </c>
      <c r="G59" s="13">
        <f>IFERROR('Data Sheet'!F59,0)</f>
        <v>23018.959999999999</v>
      </c>
      <c r="H59" s="13">
        <f>IFERROR('Data Sheet'!G59,0)</f>
        <v>21719.39</v>
      </c>
      <c r="I59" s="13">
        <f>IFERROR('Data Sheet'!H59,0)</f>
        <v>11298.8</v>
      </c>
      <c r="J59" s="13">
        <f>IFERROR('Data Sheet'!I59,0)</f>
        <v>11057.74</v>
      </c>
      <c r="K59" s="13">
        <f>IFERROR('Data Sheet'!J59,0)</f>
        <v>11402.95</v>
      </c>
      <c r="L59" s="13">
        <f>IFERROR('Data Sheet'!K59,0)</f>
        <v>24102.18</v>
      </c>
    </row>
    <row r="60" spans="1:15" x14ac:dyDescent="0.25">
      <c r="B60" s="49" t="s">
        <v>36</v>
      </c>
      <c r="C60" s="13">
        <f>IFERROR('Data Sheet'!B60,0)</f>
        <v>8631.49</v>
      </c>
      <c r="D60" s="13">
        <f>IFERROR('Data Sheet'!C60,0)</f>
        <v>9342.73</v>
      </c>
      <c r="E60" s="13">
        <f>IFERROR('Data Sheet'!D60,0)</f>
        <v>11279.71</v>
      </c>
      <c r="F60" s="13">
        <f>IFERROR('Data Sheet'!E60,0)</f>
        <v>17437.72</v>
      </c>
      <c r="G60" s="13">
        <f>IFERROR('Data Sheet'!F60,0)</f>
        <v>17151.09</v>
      </c>
      <c r="H60" s="13">
        <f>IFERROR('Data Sheet'!G60,0)</f>
        <v>20282.28</v>
      </c>
      <c r="I60" s="13">
        <f>IFERROR('Data Sheet'!H60,0)</f>
        <v>22077.37</v>
      </c>
      <c r="J60" s="13">
        <f>IFERROR('Data Sheet'!I60,0)</f>
        <v>25998.12</v>
      </c>
      <c r="K60" s="13">
        <f>IFERROR('Data Sheet'!J60,0)</f>
        <v>29166.68</v>
      </c>
      <c r="L60" s="13">
        <f>IFERROR('Data Sheet'!K60,0)</f>
        <v>38823.11</v>
      </c>
    </row>
    <row r="61" spans="1:15" x14ac:dyDescent="0.25">
      <c r="B61" s="52" t="s">
        <v>69</v>
      </c>
      <c r="C61" s="53">
        <f>IFERROR(SUM(C57:C60),0)</f>
        <v>41193.11</v>
      </c>
      <c r="D61" s="53">
        <f t="shared" ref="D61:L61" si="24">IFERROR(SUM(D57:D60),0)</f>
        <v>42209.11</v>
      </c>
      <c r="E61" s="53">
        <f t="shared" si="24"/>
        <v>57141.090000000004</v>
      </c>
      <c r="F61" s="53">
        <f t="shared" si="24"/>
        <v>76525.37</v>
      </c>
      <c r="G61" s="53">
        <f t="shared" si="24"/>
        <v>79213.81</v>
      </c>
      <c r="H61" s="53">
        <f t="shared" si="24"/>
        <v>86176.35</v>
      </c>
      <c r="I61" s="53">
        <f t="shared" si="24"/>
        <v>83811.439999999988</v>
      </c>
      <c r="J61" s="53">
        <f t="shared" si="24"/>
        <v>91380.4</v>
      </c>
      <c r="K61" s="53">
        <f t="shared" si="24"/>
        <v>100797.11000000002</v>
      </c>
      <c r="L61" s="53">
        <f t="shared" si="24"/>
        <v>133632.06</v>
      </c>
    </row>
    <row r="63" spans="1:15" x14ac:dyDescent="0.25">
      <c r="B63" s="17" t="s">
        <v>71</v>
      </c>
    </row>
    <row r="64" spans="1:15" x14ac:dyDescent="0.25">
      <c r="B64" s="18" t="s">
        <v>13</v>
      </c>
      <c r="C64" s="13">
        <f>IFERROR('Data Sheet'!B62,0)</f>
        <v>25309.42</v>
      </c>
      <c r="D64" s="13">
        <f>IFERROR('Data Sheet'!C62,0)</f>
        <v>25903.75</v>
      </c>
      <c r="E64" s="13">
        <f>IFERROR('Data Sheet'!D62,0)</f>
        <v>39715.300000000003</v>
      </c>
      <c r="F64" s="13">
        <f>IFERROR('Data Sheet'!E62,0)</f>
        <v>56644.62</v>
      </c>
      <c r="G64" s="13">
        <f>IFERROR('Data Sheet'!F62,0)</f>
        <v>57150.96</v>
      </c>
      <c r="H64" s="13">
        <f>IFERROR('Data Sheet'!G62,0)</f>
        <v>55411.61</v>
      </c>
      <c r="I64" s="13">
        <f>IFERROR('Data Sheet'!H62,0)</f>
        <v>55487.57</v>
      </c>
      <c r="J64" s="13">
        <f>IFERROR('Data Sheet'!I62,0)</f>
        <v>59579</v>
      </c>
      <c r="K64" s="13">
        <f>IFERROR('Data Sheet'!J62,0)</f>
        <v>62877.61</v>
      </c>
      <c r="L64" s="13">
        <f>IFERROR('Data Sheet'!K62,0)</f>
        <v>94564.22</v>
      </c>
    </row>
    <row r="65" spans="1:13" x14ac:dyDescent="0.25">
      <c r="B65" s="18" t="s">
        <v>14</v>
      </c>
      <c r="C65" s="13">
        <f>IFERROR('Data Sheet'!B63,0)</f>
        <v>1469.09</v>
      </c>
      <c r="D65" s="13">
        <f>IFERROR('Data Sheet'!C63,0)</f>
        <v>921.48</v>
      </c>
      <c r="E65" s="13">
        <f>IFERROR('Data Sheet'!D63,0)</f>
        <v>1511.21</v>
      </c>
      <c r="F65" s="13">
        <f>IFERROR('Data Sheet'!E63,0)</f>
        <v>1153.32</v>
      </c>
      <c r="G65" s="13">
        <f>IFERROR('Data Sheet'!F63,0)</f>
        <v>919.59</v>
      </c>
      <c r="H65" s="13">
        <f>IFERROR('Data Sheet'!G63,0)</f>
        <v>1686.68</v>
      </c>
      <c r="I65" s="13">
        <f>IFERROR('Data Sheet'!H63,0)</f>
        <v>4784.67</v>
      </c>
      <c r="J65" s="13">
        <f>IFERROR('Data Sheet'!I63,0)</f>
        <v>4040.39</v>
      </c>
      <c r="K65" s="13">
        <f>IFERROR('Data Sheet'!J63,0)</f>
        <v>6811.18</v>
      </c>
      <c r="L65" s="13">
        <f>IFERROR('Data Sheet'!K63,0)</f>
        <v>6234.19</v>
      </c>
    </row>
    <row r="66" spans="1:13" x14ac:dyDescent="0.25">
      <c r="B66" s="18" t="s">
        <v>15</v>
      </c>
      <c r="C66" s="13">
        <f>IFERROR('Data Sheet'!B64,0)</f>
        <v>5095.18</v>
      </c>
      <c r="D66" s="13">
        <f>IFERROR('Data Sheet'!C64,0)</f>
        <v>6690.51</v>
      </c>
      <c r="E66" s="13">
        <f>IFERROR('Data Sheet'!D64,0)</f>
        <v>5446.9</v>
      </c>
      <c r="F66" s="13">
        <f>IFERROR('Data Sheet'!E64,0)</f>
        <v>2921.33</v>
      </c>
      <c r="G66" s="13">
        <f>IFERROR('Data Sheet'!F64,0)</f>
        <v>5928.69</v>
      </c>
      <c r="H66" s="13">
        <f>IFERROR('Data Sheet'!G64,0)</f>
        <v>12178.11</v>
      </c>
      <c r="I66" s="13">
        <f>IFERROR('Data Sheet'!H64,0)</f>
        <v>6335.77</v>
      </c>
      <c r="J66" s="13">
        <f>IFERROR('Data Sheet'!I64,0)</f>
        <v>7296.95</v>
      </c>
      <c r="K66" s="13">
        <f>IFERROR('Data Sheet'!J64,0)</f>
        <v>8248.9500000000007</v>
      </c>
      <c r="L66" s="13">
        <f>IFERROR('Data Sheet'!K64,0)</f>
        <v>5156.47</v>
      </c>
    </row>
    <row r="67" spans="1:13" x14ac:dyDescent="0.25">
      <c r="B67" s="18" t="s">
        <v>37</v>
      </c>
      <c r="C67" s="13">
        <f>IFERROR('Data Sheet'!B65-SUM('Data Sheet'!B67:B69),0)</f>
        <v>2669.67</v>
      </c>
      <c r="D67" s="13">
        <f>IFERROR('Data Sheet'!C65-SUM('Data Sheet'!C67:C69),0)</f>
        <v>2286.8600000000006</v>
      </c>
      <c r="E67" s="13">
        <f>IFERROR('Data Sheet'!D65-SUM('Data Sheet'!D67:D69),0)</f>
        <v>4760.3900000000003</v>
      </c>
      <c r="F67" s="13">
        <f>IFERROR('Data Sheet'!E65-SUM('Data Sheet'!E67:E69),0)</f>
        <v>8180.43</v>
      </c>
      <c r="G67" s="13">
        <f>IFERROR('Data Sheet'!F65-SUM('Data Sheet'!F67:F69),0)</f>
        <v>8108.09</v>
      </c>
      <c r="H67" s="13">
        <f>IFERROR('Data Sheet'!G65-SUM('Data Sheet'!G67:G69),0)</f>
        <v>8302.7000000000007</v>
      </c>
      <c r="I67" s="13">
        <f>IFERROR('Data Sheet'!H65-SUM('Data Sheet'!H67:H69),0)</f>
        <v>8177.0599999999995</v>
      </c>
      <c r="J67" s="13">
        <f>IFERROR('Data Sheet'!I65-SUM('Data Sheet'!I67:I69),0)</f>
        <v>8835.6200000000008</v>
      </c>
      <c r="K67" s="13">
        <f>IFERROR('Data Sheet'!J65-SUM('Data Sheet'!J67:J69),0)</f>
        <v>9468.2599999999984</v>
      </c>
      <c r="L67" s="13">
        <f>IFERROR('Data Sheet'!K65-SUM('Data Sheet'!K67:K69),0)</f>
        <v>10550.630000000001</v>
      </c>
    </row>
    <row r="68" spans="1:13" x14ac:dyDescent="0.25">
      <c r="B68" s="52" t="s">
        <v>72</v>
      </c>
      <c r="C68" s="53">
        <f>IFERROR(SUM(C64:C67),0)</f>
        <v>34543.360000000001</v>
      </c>
      <c r="D68" s="53">
        <f t="shared" ref="D68:L68" si="25">IFERROR(SUM(D64:D67),0)</f>
        <v>35802.6</v>
      </c>
      <c r="E68" s="53">
        <f t="shared" si="25"/>
        <v>51433.8</v>
      </c>
      <c r="F68" s="53">
        <f t="shared" si="25"/>
        <v>68899.700000000012</v>
      </c>
      <c r="G68" s="53">
        <f t="shared" si="25"/>
        <v>72107.33</v>
      </c>
      <c r="H68" s="53">
        <f t="shared" si="25"/>
        <v>77579.099999999991</v>
      </c>
      <c r="I68" s="53">
        <f t="shared" si="25"/>
        <v>74785.069999999992</v>
      </c>
      <c r="J68" s="53">
        <f t="shared" si="25"/>
        <v>79751.959999999992</v>
      </c>
      <c r="K68" s="53">
        <f t="shared" si="25"/>
        <v>87406</v>
      </c>
      <c r="L68" s="53">
        <f t="shared" si="25"/>
        <v>116505.51000000001</v>
      </c>
    </row>
    <row r="69" spans="1:13" x14ac:dyDescent="0.25">
      <c r="D69" s="34"/>
    </row>
    <row r="70" spans="1:13" x14ac:dyDescent="0.25">
      <c r="B70" s="17" t="s">
        <v>73</v>
      </c>
    </row>
    <row r="71" spans="1:13" x14ac:dyDescent="0.25">
      <c r="B71" s="18" t="s">
        <v>42</v>
      </c>
      <c r="C71" s="13">
        <f>IFERROR('Data Sheet'!B67,0)</f>
        <v>1928.21</v>
      </c>
      <c r="D71" s="13">
        <f>IFERROR('Data Sheet'!C67,0)</f>
        <v>1757.09</v>
      </c>
      <c r="E71" s="13">
        <f>IFERROR('Data Sheet'!D67,0)</f>
        <v>2220.63</v>
      </c>
      <c r="F71" s="13">
        <f>IFERROR('Data Sheet'!E67,0)</f>
        <v>2787.03</v>
      </c>
      <c r="G71" s="13">
        <f>IFERROR('Data Sheet'!F67,0)</f>
        <v>2383.2199999999998</v>
      </c>
      <c r="H71" s="13">
        <f>IFERROR('Data Sheet'!G67,0)</f>
        <v>2571.73</v>
      </c>
      <c r="I71" s="13">
        <f>IFERROR('Data Sheet'!H67,0)</f>
        <v>3071.61</v>
      </c>
      <c r="J71" s="13">
        <f>IFERROR('Data Sheet'!I67,0)</f>
        <v>3867.02</v>
      </c>
      <c r="K71" s="13">
        <f>IFERROR('Data Sheet'!J67,0)</f>
        <v>4278.16</v>
      </c>
      <c r="L71" s="13">
        <f>IFERROR('Data Sheet'!K67,0)</f>
        <v>5890.25</v>
      </c>
    </row>
    <row r="72" spans="1:13" x14ac:dyDescent="0.25">
      <c r="B72" s="18" t="s">
        <v>29</v>
      </c>
      <c r="C72" s="13">
        <f>IFERROR('Data Sheet'!B68,0)</f>
        <v>2454.58</v>
      </c>
      <c r="D72" s="13">
        <f>IFERROR('Data Sheet'!C68,0)</f>
        <v>2400.64</v>
      </c>
      <c r="E72" s="13">
        <f>IFERROR('Data Sheet'!D68,0)</f>
        <v>3267.59</v>
      </c>
      <c r="F72" s="13">
        <f>IFERROR('Data Sheet'!E68,0)</f>
        <v>4098.96</v>
      </c>
      <c r="G72" s="13">
        <f>IFERROR('Data Sheet'!F68,0)</f>
        <v>4183.3500000000004</v>
      </c>
      <c r="H72" s="13">
        <f>IFERROR('Data Sheet'!G68,0)</f>
        <v>4017.97</v>
      </c>
      <c r="I72" s="13">
        <f>IFERROR('Data Sheet'!H68,0)</f>
        <v>5595.58</v>
      </c>
      <c r="J72" s="13">
        <f>IFERROR('Data Sheet'!I68,0)</f>
        <v>6611.83</v>
      </c>
      <c r="K72" s="13">
        <f>IFERROR('Data Sheet'!J68,0)</f>
        <v>8329.74</v>
      </c>
      <c r="L72" s="13">
        <f>IFERROR('Data Sheet'!K68,0)</f>
        <v>9562.98</v>
      </c>
      <c r="M72" s="8"/>
    </row>
    <row r="73" spans="1:13" x14ac:dyDescent="0.25">
      <c r="B73" s="18" t="s">
        <v>51</v>
      </c>
      <c r="C73" s="13">
        <f>IFERROR('Data Sheet'!B69,0)</f>
        <v>2266.96</v>
      </c>
      <c r="D73" s="13">
        <f>IFERROR('Data Sheet'!C69,0)</f>
        <v>2248.7800000000002</v>
      </c>
      <c r="E73" s="13">
        <f>IFERROR('Data Sheet'!D69,0)</f>
        <v>219.07</v>
      </c>
      <c r="F73" s="13">
        <f>IFERROR('Data Sheet'!E69,0)</f>
        <v>739.68</v>
      </c>
      <c r="G73" s="13">
        <f>IFERROR('Data Sheet'!F69,0)</f>
        <v>539.91</v>
      </c>
      <c r="H73" s="13">
        <f>IFERROR('Data Sheet'!G69,0)</f>
        <v>2007.55</v>
      </c>
      <c r="I73" s="13">
        <f>IFERROR('Data Sheet'!H69,0)</f>
        <v>359.18</v>
      </c>
      <c r="J73" s="13">
        <f>IFERROR('Data Sheet'!I69,0)</f>
        <v>1149.5899999999999</v>
      </c>
      <c r="K73" s="13">
        <f>IFERROR('Data Sheet'!J69,0)</f>
        <v>783.21</v>
      </c>
      <c r="L73" s="13">
        <f>IFERROR('Data Sheet'!K69,0)</f>
        <v>1673.32</v>
      </c>
    </row>
    <row r="74" spans="1:13" x14ac:dyDescent="0.25">
      <c r="B74" s="52" t="s">
        <v>74</v>
      </c>
      <c r="C74" s="53">
        <f>IFERROR(SUM(C71:C73),0)</f>
        <v>6649.75</v>
      </c>
      <c r="D74" s="53">
        <f t="shared" ref="D74:L74" si="26">IFERROR(SUM(D71:D73),0)</f>
        <v>6406.51</v>
      </c>
      <c r="E74" s="53">
        <f t="shared" si="26"/>
        <v>5707.29</v>
      </c>
      <c r="F74" s="53">
        <f t="shared" si="26"/>
        <v>7625.67</v>
      </c>
      <c r="G74" s="53">
        <f t="shared" si="26"/>
        <v>7106.48</v>
      </c>
      <c r="H74" s="53">
        <f t="shared" si="26"/>
        <v>8597.25</v>
      </c>
      <c r="I74" s="53">
        <f t="shared" si="26"/>
        <v>9026.3700000000008</v>
      </c>
      <c r="J74" s="53">
        <f t="shared" si="26"/>
        <v>11628.44</v>
      </c>
      <c r="K74" s="53">
        <f t="shared" si="26"/>
        <v>13391.11</v>
      </c>
      <c r="L74" s="53">
        <f t="shared" si="26"/>
        <v>17126.55</v>
      </c>
    </row>
    <row r="75" spans="1:13" x14ac:dyDescent="0.25">
      <c r="C75" s="13"/>
      <c r="D75" s="13"/>
      <c r="E75" s="13"/>
      <c r="F75" s="13"/>
      <c r="G75" s="13"/>
      <c r="H75" s="13"/>
      <c r="I75" s="13"/>
      <c r="J75" s="13"/>
      <c r="K75" s="13"/>
      <c r="L75" s="13"/>
    </row>
    <row r="76" spans="1:13" x14ac:dyDescent="0.25">
      <c r="B76" s="75" t="s">
        <v>75</v>
      </c>
      <c r="C76" s="76">
        <f>IFERROR(C68+C74,0)</f>
        <v>41193.11</v>
      </c>
      <c r="D76" s="76">
        <f t="shared" ref="D76:L76" si="27">IFERROR(D68+D74,0)</f>
        <v>42209.11</v>
      </c>
      <c r="E76" s="76">
        <f t="shared" si="27"/>
        <v>57141.090000000004</v>
      </c>
      <c r="F76" s="76">
        <f t="shared" si="27"/>
        <v>76525.37000000001</v>
      </c>
      <c r="G76" s="76">
        <f t="shared" si="27"/>
        <v>79213.81</v>
      </c>
      <c r="H76" s="76">
        <f t="shared" si="27"/>
        <v>86176.349999999991</v>
      </c>
      <c r="I76" s="76">
        <f t="shared" si="27"/>
        <v>83811.439999999988</v>
      </c>
      <c r="J76" s="76">
        <f t="shared" si="27"/>
        <v>91380.4</v>
      </c>
      <c r="K76" s="76">
        <f t="shared" si="27"/>
        <v>100797.11</v>
      </c>
      <c r="L76" s="76">
        <f t="shared" si="27"/>
        <v>133632.06</v>
      </c>
    </row>
    <row r="78" spans="1:13" x14ac:dyDescent="0.25">
      <c r="B78" s="36" t="s">
        <v>76</v>
      </c>
      <c r="C78" s="36" t="b">
        <f>C61=C76</f>
        <v>1</v>
      </c>
      <c r="D78" s="36" t="b">
        <f t="shared" ref="D78:L78" si="28">D61=D76</f>
        <v>1</v>
      </c>
      <c r="E78" s="36" t="b">
        <f t="shared" si="28"/>
        <v>1</v>
      </c>
      <c r="F78" s="36" t="b">
        <f t="shared" si="28"/>
        <v>1</v>
      </c>
      <c r="G78" s="36" t="b">
        <f t="shared" si="28"/>
        <v>1</v>
      </c>
      <c r="H78" s="36" t="b">
        <f t="shared" si="28"/>
        <v>1</v>
      </c>
      <c r="I78" s="36" t="b">
        <f t="shared" si="28"/>
        <v>1</v>
      </c>
      <c r="J78" s="36" t="b">
        <f t="shared" si="28"/>
        <v>1</v>
      </c>
      <c r="K78" s="36" t="b">
        <f t="shared" si="28"/>
        <v>1</v>
      </c>
      <c r="L78" s="36" t="b">
        <f t="shared" si="28"/>
        <v>1</v>
      </c>
    </row>
    <row r="80" spans="1:13" x14ac:dyDescent="0.25">
      <c r="A80" t="s">
        <v>56</v>
      </c>
      <c r="B80" s="107" t="s">
        <v>77</v>
      </c>
      <c r="C80" s="108"/>
      <c r="D80" s="108"/>
      <c r="E80" s="108"/>
      <c r="F80" s="108"/>
      <c r="G80" s="108"/>
      <c r="H80" s="108"/>
      <c r="I80" s="108"/>
      <c r="J80" s="108"/>
      <c r="K80" s="108"/>
      <c r="L80" s="108"/>
    </row>
    <row r="81" spans="2:15" s="15" customFormat="1" x14ac:dyDescent="0.25">
      <c r="B81" s="69"/>
      <c r="C81" s="70"/>
      <c r="D81" s="70"/>
      <c r="E81" s="70"/>
      <c r="F81" s="70"/>
      <c r="G81" s="70"/>
      <c r="H81" s="70"/>
      <c r="I81" s="70"/>
      <c r="J81" s="70"/>
      <c r="K81" s="70"/>
      <c r="L81" s="70"/>
    </row>
    <row r="82" spans="2:15" x14ac:dyDescent="0.25">
      <c r="B82" s="67" t="s">
        <v>17</v>
      </c>
      <c r="C82" s="68">
        <f>C83+C89+C90</f>
        <v>4525</v>
      </c>
      <c r="D82" s="68">
        <f t="shared" ref="D82:L82" si="29">D83+D89+D90</f>
        <v>5005</v>
      </c>
      <c r="E82" s="68">
        <f t="shared" si="29"/>
        <v>3888</v>
      </c>
      <c r="F82" s="68">
        <f t="shared" si="29"/>
        <v>5956</v>
      </c>
      <c r="G82" s="68">
        <f t="shared" si="29"/>
        <v>8973</v>
      </c>
      <c r="H82" s="68">
        <f t="shared" si="29"/>
        <v>12500</v>
      </c>
      <c r="I82" s="68">
        <f t="shared" si="29"/>
        <v>9283</v>
      </c>
      <c r="J82" s="68">
        <f t="shared" si="29"/>
        <v>9069</v>
      </c>
      <c r="K82" s="68">
        <f t="shared" si="29"/>
        <v>10897</v>
      </c>
      <c r="L82" s="68">
        <f t="shared" si="29"/>
        <v>10673</v>
      </c>
    </row>
    <row r="83" spans="2:15" x14ac:dyDescent="0.25">
      <c r="B83" s="71" t="s">
        <v>127</v>
      </c>
      <c r="C83" s="21">
        <v>4948</v>
      </c>
      <c r="D83" s="21">
        <v>5220</v>
      </c>
      <c r="E83" s="21">
        <v>5986</v>
      </c>
      <c r="F83" s="21">
        <v>7362</v>
      </c>
      <c r="G83" s="21">
        <v>9348</v>
      </c>
      <c r="H83" s="21">
        <v>11465</v>
      </c>
      <c r="I83" s="21">
        <v>11311</v>
      </c>
      <c r="J83" s="21">
        <v>10530</v>
      </c>
      <c r="K83" s="21">
        <v>13029</v>
      </c>
      <c r="L83" s="21">
        <v>12645</v>
      </c>
    </row>
    <row r="84" spans="2:15" x14ac:dyDescent="0.25">
      <c r="B84" s="72" t="s">
        <v>42</v>
      </c>
      <c r="C84" s="13">
        <v>-287</v>
      </c>
      <c r="D84" s="13">
        <v>156</v>
      </c>
      <c r="E84" s="13">
        <v>-454</v>
      </c>
      <c r="F84" s="13">
        <v>-279</v>
      </c>
      <c r="G84" s="13">
        <v>473</v>
      </c>
      <c r="H84" s="13">
        <v>-201</v>
      </c>
      <c r="I84" s="13">
        <v>-495</v>
      </c>
      <c r="J84" s="13">
        <v>-752</v>
      </c>
      <c r="K84" s="13">
        <v>-421</v>
      </c>
      <c r="L84" s="13">
        <v>-608</v>
      </c>
    </row>
    <row r="85" spans="2:15" x14ac:dyDescent="0.25">
      <c r="B85" s="72" t="s">
        <v>29</v>
      </c>
      <c r="C85" s="13">
        <v>374</v>
      </c>
      <c r="D85" s="13">
        <v>54</v>
      </c>
      <c r="E85" s="13">
        <v>-623</v>
      </c>
      <c r="F85" s="13">
        <v>-15</v>
      </c>
      <c r="G85" s="13">
        <v>-64</v>
      </c>
      <c r="H85" s="13">
        <v>165</v>
      </c>
      <c r="I85" s="13">
        <v>-1579</v>
      </c>
      <c r="J85" s="13">
        <v>-992</v>
      </c>
      <c r="K85" s="13">
        <v>-1712</v>
      </c>
      <c r="L85" s="13">
        <v>-317</v>
      </c>
    </row>
    <row r="86" spans="2:15" x14ac:dyDescent="0.25">
      <c r="B86" s="72" t="s">
        <v>128</v>
      </c>
      <c r="C86" s="13">
        <v>310</v>
      </c>
      <c r="D86" s="13">
        <v>482</v>
      </c>
      <c r="E86" s="13">
        <v>346</v>
      </c>
      <c r="F86" s="13">
        <v>766</v>
      </c>
      <c r="G86" s="13">
        <v>279</v>
      </c>
      <c r="H86" s="13">
        <v>2868</v>
      </c>
      <c r="I86" s="13">
        <v>2077</v>
      </c>
      <c r="J86" s="13">
        <v>1869</v>
      </c>
      <c r="K86" s="13">
        <v>1959</v>
      </c>
      <c r="L86" s="13">
        <v>-476</v>
      </c>
      <c r="O86" s="20"/>
    </row>
    <row r="87" spans="2:15" x14ac:dyDescent="0.25">
      <c r="B87" s="72" t="s">
        <v>129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0</v>
      </c>
      <c r="L87" s="13">
        <v>0</v>
      </c>
    </row>
    <row r="88" spans="2:15" x14ac:dyDescent="0.25">
      <c r="B88" s="73" t="s">
        <v>130</v>
      </c>
      <c r="C88" s="13">
        <v>32</v>
      </c>
      <c r="D88" s="13">
        <v>-162</v>
      </c>
      <c r="E88" s="13">
        <v>-525</v>
      </c>
      <c r="F88" s="13">
        <v>-1167</v>
      </c>
      <c r="G88" s="13">
        <v>-172</v>
      </c>
      <c r="H88" s="13">
        <v>-505</v>
      </c>
      <c r="I88" s="13">
        <v>-476</v>
      </c>
      <c r="J88" s="13">
        <v>-461</v>
      </c>
      <c r="K88" s="13">
        <v>-308</v>
      </c>
      <c r="L88" s="13">
        <v>729</v>
      </c>
    </row>
    <row r="89" spans="2:15" x14ac:dyDescent="0.25">
      <c r="B89" s="71" t="s">
        <v>131</v>
      </c>
      <c r="C89" s="21">
        <v>429</v>
      </c>
      <c r="D89" s="21">
        <v>529</v>
      </c>
      <c r="E89" s="21">
        <v>-1255</v>
      </c>
      <c r="F89" s="21">
        <v>-696</v>
      </c>
      <c r="G89" s="21">
        <v>516</v>
      </c>
      <c r="H89" s="21">
        <v>2326</v>
      </c>
      <c r="I89" s="21">
        <v>-473</v>
      </c>
      <c r="J89" s="21">
        <v>-337</v>
      </c>
      <c r="K89" s="21">
        <v>-481</v>
      </c>
      <c r="L89" s="21">
        <v>-671</v>
      </c>
    </row>
    <row r="90" spans="2:15" x14ac:dyDescent="0.25">
      <c r="B90" s="74" t="s">
        <v>132</v>
      </c>
      <c r="C90" s="21">
        <v>-852</v>
      </c>
      <c r="D90" s="21">
        <v>-744</v>
      </c>
      <c r="E90" s="21">
        <v>-843</v>
      </c>
      <c r="F90" s="21">
        <v>-710</v>
      </c>
      <c r="G90" s="21">
        <v>-891</v>
      </c>
      <c r="H90" s="21">
        <v>-1291</v>
      </c>
      <c r="I90" s="21">
        <v>-1555</v>
      </c>
      <c r="J90" s="21">
        <v>-1124</v>
      </c>
      <c r="K90" s="21">
        <v>-1651</v>
      </c>
      <c r="L90" s="21">
        <v>-1301</v>
      </c>
    </row>
    <row r="91" spans="2:15" x14ac:dyDescent="0.25">
      <c r="B91" s="72" t="s">
        <v>213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</row>
    <row r="92" spans="2:15" x14ac:dyDescent="0.25">
      <c r="B92" s="67" t="s">
        <v>18</v>
      </c>
      <c r="C92" s="68">
        <f>SUM(C93:C103)</f>
        <v>-3675</v>
      </c>
      <c r="D92" s="68">
        <f t="shared" ref="D92:L92" si="30">SUM(D93:D103)</f>
        <v>-2501</v>
      </c>
      <c r="E92" s="68">
        <f t="shared" si="30"/>
        <v>1866</v>
      </c>
      <c r="F92" s="68">
        <f t="shared" si="30"/>
        <v>1164</v>
      </c>
      <c r="G92" s="68">
        <f t="shared" si="30"/>
        <v>-4193</v>
      </c>
      <c r="H92" s="68">
        <f t="shared" si="30"/>
        <v>-8856</v>
      </c>
      <c r="I92" s="68">
        <f t="shared" si="30"/>
        <v>2322</v>
      </c>
      <c r="J92" s="68">
        <f t="shared" si="30"/>
        <v>-7187</v>
      </c>
      <c r="K92" s="68">
        <f t="shared" si="30"/>
        <v>-8788</v>
      </c>
      <c r="L92" s="68">
        <f t="shared" si="30"/>
        <v>-15835</v>
      </c>
      <c r="N92" s="20"/>
    </row>
    <row r="93" spans="2:15" x14ac:dyDescent="0.25">
      <c r="B93" t="s">
        <v>133</v>
      </c>
      <c r="C93" s="13">
        <v>-2150</v>
      </c>
      <c r="D93" s="13">
        <v>-1402</v>
      </c>
      <c r="E93" s="13">
        <v>-2103</v>
      </c>
      <c r="F93" s="13">
        <v>-1808</v>
      </c>
      <c r="G93" s="13">
        <v>-1766</v>
      </c>
      <c r="H93" s="13">
        <v>-1925</v>
      </c>
      <c r="I93" s="13">
        <v>-5613</v>
      </c>
      <c r="J93" s="13">
        <v>-6200</v>
      </c>
      <c r="K93" s="13">
        <v>-9006</v>
      </c>
      <c r="L93" s="13">
        <v>-9129</v>
      </c>
      <c r="N93" s="20"/>
    </row>
    <row r="94" spans="2:15" x14ac:dyDescent="0.25">
      <c r="B94" t="s">
        <v>134</v>
      </c>
      <c r="C94" s="13">
        <v>18</v>
      </c>
      <c r="D94" s="13">
        <v>35</v>
      </c>
      <c r="E94" s="13">
        <v>220</v>
      </c>
      <c r="F94" s="13">
        <v>160</v>
      </c>
      <c r="G94" s="13">
        <v>79</v>
      </c>
      <c r="H94" s="13">
        <v>86</v>
      </c>
      <c r="I94" s="13">
        <v>73</v>
      </c>
      <c r="J94" s="13">
        <v>95</v>
      </c>
      <c r="K94" s="13">
        <v>122</v>
      </c>
      <c r="L94" s="13">
        <v>179</v>
      </c>
      <c r="N94" s="20"/>
    </row>
    <row r="95" spans="2:15" x14ac:dyDescent="0.25">
      <c r="B95" t="s">
        <v>135</v>
      </c>
      <c r="C95" s="13">
        <v>-2698</v>
      </c>
      <c r="D95" s="13">
        <v>-3377</v>
      </c>
      <c r="E95" s="13">
        <v>-3960</v>
      </c>
      <c r="F95" s="13">
        <v>-1700</v>
      </c>
      <c r="G95" s="13">
        <v>-6086</v>
      </c>
      <c r="H95" s="13">
        <v>-12689</v>
      </c>
      <c r="I95" s="13">
        <v>-7795</v>
      </c>
      <c r="J95" s="13">
        <v>-7260</v>
      </c>
      <c r="K95" s="13">
        <v>-7750</v>
      </c>
      <c r="L95" s="13">
        <v>-15885</v>
      </c>
      <c r="N95" s="20"/>
    </row>
    <row r="96" spans="2:15" x14ac:dyDescent="0.25">
      <c r="B96" t="s">
        <v>136</v>
      </c>
      <c r="C96" s="13">
        <v>2948</v>
      </c>
      <c r="D96" s="13">
        <v>2228</v>
      </c>
      <c r="E96" s="13">
        <v>5588</v>
      </c>
      <c r="F96" s="13">
        <v>4478</v>
      </c>
      <c r="G96" s="13">
        <v>3443</v>
      </c>
      <c r="H96" s="13">
        <v>7101</v>
      </c>
      <c r="I96" s="13">
        <v>13965</v>
      </c>
      <c r="J96" s="13">
        <v>7156</v>
      </c>
      <c r="K96" s="13">
        <v>7164</v>
      </c>
      <c r="L96" s="13">
        <v>19115</v>
      </c>
      <c r="N96" s="20"/>
    </row>
    <row r="97" spans="2:14" x14ac:dyDescent="0.25">
      <c r="B97" t="s">
        <v>137</v>
      </c>
      <c r="C97" s="13">
        <v>59</v>
      </c>
      <c r="D97" s="13">
        <v>47</v>
      </c>
      <c r="E97" s="13">
        <v>67</v>
      </c>
      <c r="F97" s="13">
        <v>78</v>
      </c>
      <c r="G97" s="13">
        <v>89</v>
      </c>
      <c r="H97" s="13">
        <v>77</v>
      </c>
      <c r="I97" s="13">
        <v>174</v>
      </c>
      <c r="J97" s="13">
        <v>283</v>
      </c>
      <c r="K97" s="13">
        <v>161</v>
      </c>
      <c r="L97" s="13">
        <v>342</v>
      </c>
      <c r="N97" s="20"/>
    </row>
    <row r="98" spans="2:14" x14ac:dyDescent="0.25">
      <c r="B98" t="s">
        <v>138</v>
      </c>
      <c r="C98" s="13">
        <v>0</v>
      </c>
      <c r="D98" s="13">
        <v>0</v>
      </c>
      <c r="E98" s="13">
        <v>0</v>
      </c>
      <c r="F98" s="13">
        <v>22</v>
      </c>
      <c r="G98" s="13">
        <v>32</v>
      </c>
      <c r="H98" s="13">
        <v>0</v>
      </c>
      <c r="I98" s="13">
        <v>0</v>
      </c>
      <c r="J98" s="13">
        <v>0</v>
      </c>
      <c r="K98" s="13">
        <v>0</v>
      </c>
      <c r="L98" s="13">
        <v>1</v>
      </c>
      <c r="N98" s="20"/>
    </row>
    <row r="99" spans="2:14" x14ac:dyDescent="0.25">
      <c r="B99" t="s">
        <v>139</v>
      </c>
      <c r="C99" s="13">
        <v>-13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N99" s="20"/>
    </row>
    <row r="100" spans="2:14" x14ac:dyDescent="0.25">
      <c r="B100" t="s">
        <v>214</v>
      </c>
      <c r="C100" s="13">
        <v>0</v>
      </c>
      <c r="D100" s="13">
        <v>0</v>
      </c>
      <c r="E100" s="13">
        <v>-1</v>
      </c>
      <c r="F100" s="13">
        <v>-8</v>
      </c>
      <c r="G100" s="13">
        <v>-6</v>
      </c>
      <c r="H100" s="13">
        <v>-3</v>
      </c>
      <c r="I100" s="13">
        <v>0</v>
      </c>
      <c r="J100" s="13">
        <v>0</v>
      </c>
      <c r="K100" s="13">
        <v>0</v>
      </c>
      <c r="L100" s="13">
        <v>0</v>
      </c>
      <c r="N100" s="20"/>
    </row>
    <row r="101" spans="2:14" x14ac:dyDescent="0.25">
      <c r="B101" t="s">
        <v>215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3</v>
      </c>
      <c r="K101" s="13">
        <v>0</v>
      </c>
      <c r="L101" s="13">
        <v>36</v>
      </c>
      <c r="N101" s="20"/>
    </row>
    <row r="102" spans="2:14" x14ac:dyDescent="0.25">
      <c r="B102" t="s">
        <v>216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-847</v>
      </c>
      <c r="K102" s="13">
        <v>-60</v>
      </c>
      <c r="L102" s="13">
        <v>-10262</v>
      </c>
      <c r="N102" s="20"/>
    </row>
    <row r="103" spans="2:14" x14ac:dyDescent="0.25">
      <c r="B103" t="s">
        <v>140</v>
      </c>
      <c r="C103" s="13">
        <v>-1839</v>
      </c>
      <c r="D103" s="13">
        <v>-32</v>
      </c>
      <c r="E103" s="13">
        <v>2055</v>
      </c>
      <c r="F103" s="13">
        <v>-58</v>
      </c>
      <c r="G103" s="13">
        <v>22</v>
      </c>
      <c r="H103" s="13">
        <v>-1503</v>
      </c>
      <c r="I103" s="13">
        <v>1518</v>
      </c>
      <c r="J103" s="13">
        <v>-417</v>
      </c>
      <c r="K103" s="13">
        <v>581</v>
      </c>
      <c r="L103" s="13">
        <v>-232</v>
      </c>
      <c r="N103" s="20"/>
    </row>
    <row r="104" spans="2:14" x14ac:dyDescent="0.25">
      <c r="B104" s="67" t="s">
        <v>19</v>
      </c>
      <c r="C104" s="68">
        <f>SUM(C105:C111)</f>
        <v>-843</v>
      </c>
      <c r="D104" s="68">
        <f t="shared" ref="D104:L104" si="31">SUM(D105:D111)</f>
        <v>-2535</v>
      </c>
      <c r="E104" s="68">
        <f t="shared" si="31"/>
        <v>-5735</v>
      </c>
      <c r="F104" s="68">
        <f t="shared" si="31"/>
        <v>-6757</v>
      </c>
      <c r="G104" s="68">
        <f t="shared" si="31"/>
        <v>-5076</v>
      </c>
      <c r="H104" s="68">
        <f t="shared" si="31"/>
        <v>-4356</v>
      </c>
      <c r="I104" s="68">
        <f t="shared" si="31"/>
        <v>-12497</v>
      </c>
      <c r="J104" s="68">
        <f t="shared" si="31"/>
        <v>-1631</v>
      </c>
      <c r="K104" s="68">
        <f t="shared" si="31"/>
        <v>-1925</v>
      </c>
      <c r="L104" s="68">
        <f t="shared" si="31"/>
        <v>5076</v>
      </c>
    </row>
    <row r="105" spans="2:14" x14ac:dyDescent="0.25">
      <c r="B105" s="72" t="s">
        <v>141</v>
      </c>
      <c r="C105" s="22">
        <v>3</v>
      </c>
      <c r="D105" s="13">
        <v>7</v>
      </c>
      <c r="E105" s="13">
        <v>16</v>
      </c>
      <c r="F105" s="13">
        <v>5</v>
      </c>
      <c r="G105" s="13">
        <v>3</v>
      </c>
      <c r="H105" s="13">
        <v>14</v>
      </c>
      <c r="I105" s="13">
        <v>13</v>
      </c>
      <c r="J105" s="13">
        <v>13</v>
      </c>
      <c r="K105" s="13">
        <v>18</v>
      </c>
      <c r="L105" s="13">
        <v>33</v>
      </c>
    </row>
    <row r="106" spans="2:14" x14ac:dyDescent="0.25">
      <c r="B106" s="72" t="s">
        <v>142</v>
      </c>
      <c r="C106" s="13">
        <v>2821</v>
      </c>
      <c r="D106" s="13">
        <v>3656</v>
      </c>
      <c r="E106" s="13">
        <v>15775</v>
      </c>
      <c r="F106" s="13">
        <v>9772</v>
      </c>
      <c r="G106" s="13">
        <v>1510</v>
      </c>
      <c r="H106" s="13">
        <v>4103</v>
      </c>
      <c r="I106" s="13">
        <v>175</v>
      </c>
      <c r="J106" s="13">
        <v>1032</v>
      </c>
      <c r="K106" s="13">
        <v>1399</v>
      </c>
      <c r="L106" s="13">
        <v>9410</v>
      </c>
    </row>
    <row r="107" spans="2:14" x14ac:dyDescent="0.25">
      <c r="B107" s="72" t="s">
        <v>143</v>
      </c>
      <c r="C107" s="13">
        <v>-2775</v>
      </c>
      <c r="D107" s="13">
        <v>-5272</v>
      </c>
      <c r="E107" s="13">
        <v>-19982</v>
      </c>
      <c r="F107" s="13">
        <v>-14420</v>
      </c>
      <c r="G107" s="13">
        <v>-4154</v>
      </c>
      <c r="H107" s="13">
        <v>-6499</v>
      </c>
      <c r="I107" s="13">
        <v>-10346</v>
      </c>
      <c r="J107" s="13">
        <v>-579</v>
      </c>
      <c r="K107" s="13">
        <v>-1069</v>
      </c>
      <c r="L107" s="13">
        <v>-550</v>
      </c>
    </row>
    <row r="108" spans="2:14" x14ac:dyDescent="0.25">
      <c r="B108" s="72" t="s">
        <v>144</v>
      </c>
      <c r="C108" s="13">
        <v>-596</v>
      </c>
      <c r="D108" s="13">
        <v>-614</v>
      </c>
      <c r="E108" s="13">
        <v>-1210</v>
      </c>
      <c r="F108" s="13">
        <v>-1685</v>
      </c>
      <c r="G108" s="13">
        <v>-1950</v>
      </c>
      <c r="H108" s="13">
        <v>-1481</v>
      </c>
      <c r="I108" s="13">
        <v>-1026</v>
      </c>
      <c r="J108" s="13">
        <v>-765</v>
      </c>
      <c r="K108" s="13">
        <v>-917</v>
      </c>
      <c r="L108" s="13">
        <v>-1540</v>
      </c>
    </row>
    <row r="109" spans="2:14" x14ac:dyDescent="0.25">
      <c r="B109" s="72" t="s">
        <v>145</v>
      </c>
      <c r="C109" s="13">
        <v>-297</v>
      </c>
      <c r="D109" s="13">
        <v>-312</v>
      </c>
      <c r="E109" s="13">
        <v>-334</v>
      </c>
      <c r="F109" s="13">
        <v>-346</v>
      </c>
      <c r="G109" s="13">
        <v>-380</v>
      </c>
      <c r="H109" s="13">
        <v>-375</v>
      </c>
      <c r="I109" s="13">
        <v>-1065</v>
      </c>
      <c r="J109" s="13">
        <v>-1091</v>
      </c>
      <c r="K109" s="13">
        <v>-1094</v>
      </c>
      <c r="L109" s="13">
        <v>-2012</v>
      </c>
    </row>
    <row r="110" spans="2:14" x14ac:dyDescent="0.25">
      <c r="B110" s="72" t="s">
        <v>146</v>
      </c>
      <c r="C110" s="13">
        <v>0</v>
      </c>
      <c r="D110" s="13">
        <v>0</v>
      </c>
      <c r="E110" s="13">
        <v>0</v>
      </c>
      <c r="F110" s="13">
        <v>0</v>
      </c>
      <c r="G110" s="13">
        <v>-101</v>
      </c>
      <c r="H110" s="13">
        <v>-118</v>
      </c>
      <c r="I110" s="13">
        <v>-157</v>
      </c>
      <c r="J110" s="13">
        <v>-126</v>
      </c>
      <c r="K110" s="13">
        <v>-162</v>
      </c>
      <c r="L110" s="13">
        <v>-165</v>
      </c>
    </row>
    <row r="111" spans="2:14" x14ac:dyDescent="0.25">
      <c r="B111" s="72" t="s">
        <v>147</v>
      </c>
      <c r="C111" s="13">
        <v>1</v>
      </c>
      <c r="D111" s="13">
        <v>0</v>
      </c>
      <c r="E111" s="13">
        <v>0</v>
      </c>
      <c r="F111" s="13">
        <v>-83</v>
      </c>
      <c r="G111" s="13">
        <v>-4</v>
      </c>
      <c r="H111" s="13">
        <v>0</v>
      </c>
      <c r="I111" s="13">
        <v>-91</v>
      </c>
      <c r="J111" s="13">
        <v>-115</v>
      </c>
      <c r="K111" s="13">
        <v>-100</v>
      </c>
      <c r="L111" s="13">
        <v>-100</v>
      </c>
    </row>
    <row r="112" spans="2:14" x14ac:dyDescent="0.25">
      <c r="B112" s="77" t="s">
        <v>20</v>
      </c>
      <c r="C112" s="53">
        <f t="shared" ref="C112:L112" si="32">C104+C92+C82</f>
        <v>7</v>
      </c>
      <c r="D112" s="53">
        <f t="shared" si="32"/>
        <v>-31</v>
      </c>
      <c r="E112" s="53">
        <f t="shared" si="32"/>
        <v>19</v>
      </c>
      <c r="F112" s="53">
        <f t="shared" si="32"/>
        <v>363</v>
      </c>
      <c r="G112" s="53">
        <f t="shared" si="32"/>
        <v>-296</v>
      </c>
      <c r="H112" s="53">
        <f t="shared" si="32"/>
        <v>-712</v>
      </c>
      <c r="I112" s="53">
        <f t="shared" si="32"/>
        <v>-892</v>
      </c>
      <c r="J112" s="53">
        <f t="shared" si="32"/>
        <v>251</v>
      </c>
      <c r="K112" s="53">
        <f t="shared" si="32"/>
        <v>184</v>
      </c>
      <c r="L112" s="53">
        <f t="shared" si="32"/>
        <v>-86</v>
      </c>
    </row>
  </sheetData>
  <mergeCells count="1">
    <mergeCell ref="B6:L6"/>
  </mergeCells>
  <pageMargins left="0.25" right="0.25" top="0.75" bottom="0.75" header="0.3" footer="0.3"/>
  <pageSetup scale="59" orientation="portrait" horizontalDpi="1200" verticalDpi="1200" r:id="rId1"/>
  <colBreaks count="1" manualBreakCount="1">
    <brk id="12" max="1048575" man="1"/>
  </colBreaks>
  <ignoredErrors>
    <ignoredError sqref="C18:L18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6:M55"/>
  <sheetViews>
    <sheetView showGridLines="0" zoomScale="80" zoomScaleNormal="80" workbookViewId="0">
      <pane ySplit="7" topLeftCell="A8" activePane="bottomLeft" state="frozen"/>
      <selection pane="bottomLeft" activeCell="D1" sqref="D1"/>
    </sheetView>
  </sheetViews>
  <sheetFormatPr defaultRowHeight="15" x14ac:dyDescent="0.25"/>
  <cols>
    <col min="1" max="1" width="1.85546875" customWidth="1"/>
    <col min="2" max="2" width="26.140625" bestFit="1" customWidth="1"/>
    <col min="3" max="12" width="13.7109375" customWidth="1"/>
    <col min="13" max="13" width="17.140625" customWidth="1"/>
  </cols>
  <sheetData>
    <row r="6" spans="2:13" x14ac:dyDescent="0.25">
      <c r="B6" s="203" t="str">
        <f>"Ratio Analysis"&amp;" - "&amp;'Data Sheet'!B1</f>
        <v>Ratio Analysis - ULTRATECH CEMENT LTD</v>
      </c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2:13" x14ac:dyDescent="0.25">
      <c r="B7" s="105" t="s">
        <v>54</v>
      </c>
      <c r="C7" s="106">
        <f>'Data Sheet'!B16</f>
        <v>42460</v>
      </c>
      <c r="D7" s="106">
        <f>'Data Sheet'!C16</f>
        <v>42825</v>
      </c>
      <c r="E7" s="106">
        <f>'Data Sheet'!D16</f>
        <v>43190</v>
      </c>
      <c r="F7" s="106">
        <f>'Data Sheet'!E16</f>
        <v>43555</v>
      </c>
      <c r="G7" s="106">
        <f>'Data Sheet'!F16</f>
        <v>43921</v>
      </c>
      <c r="H7" s="106">
        <f>'Data Sheet'!G16</f>
        <v>44286</v>
      </c>
      <c r="I7" s="106">
        <f>'Data Sheet'!H16</f>
        <v>44651</v>
      </c>
      <c r="J7" s="106">
        <f>'Data Sheet'!I16</f>
        <v>45016</v>
      </c>
      <c r="K7" s="106">
        <f>'Data Sheet'!J16</f>
        <v>45382</v>
      </c>
      <c r="L7" s="106">
        <f>'Data Sheet'!K16</f>
        <v>45747</v>
      </c>
      <c r="M7" s="110" t="s">
        <v>115</v>
      </c>
    </row>
    <row r="8" spans="2:13" x14ac:dyDescent="0.25">
      <c r="D8" s="26"/>
      <c r="E8" s="26"/>
      <c r="F8" s="26"/>
      <c r="G8" s="26"/>
      <c r="H8" s="26"/>
      <c r="I8" s="26"/>
      <c r="J8" s="26"/>
      <c r="K8" s="26"/>
      <c r="L8" s="26"/>
    </row>
    <row r="9" spans="2:13" x14ac:dyDescent="0.25">
      <c r="B9" s="56" t="s">
        <v>108</v>
      </c>
      <c r="C9" s="57">
        <f>IFERROR(Historical_FS!C16,0)</f>
        <v>0.50713586003234579</v>
      </c>
      <c r="D9" s="57">
        <f>IFERROR(Historical_FS!D16,0)</f>
        <v>0.51512712936464078</v>
      </c>
      <c r="E9" s="57">
        <f>IFERROR(Historical_FS!E16,0)</f>
        <v>0.49177239011937912</v>
      </c>
      <c r="F9" s="57">
        <f>IFERROR(Historical_FS!F16,0)</f>
        <v>0.4759156881462806</v>
      </c>
      <c r="G9" s="57">
        <f>IFERROR(Historical_FS!G16,0)</f>
        <v>0.51447269837371723</v>
      </c>
      <c r="H9" s="57">
        <f>IFERROR(Historical_FS!H16,0)</f>
        <v>0.53387753824414541</v>
      </c>
      <c r="I9" s="57">
        <f>IFERROR(Historical_FS!I16,0)</f>
        <v>0.49548459537978312</v>
      </c>
      <c r="J9" s="57">
        <f>IFERROR(Historical_FS!J16,0)</f>
        <v>0.44177828645739614</v>
      </c>
      <c r="K9" s="57">
        <f>IFERROR(Historical_FS!K16,0)</f>
        <v>0.46217176194439735</v>
      </c>
      <c r="L9" s="57">
        <f>IFERROR(Historical_FS!L16,0)</f>
        <v>0.45735409839993696</v>
      </c>
      <c r="M9" s="56"/>
    </row>
    <row r="10" spans="2:13" x14ac:dyDescent="0.25">
      <c r="B10" s="28" t="s">
        <v>78</v>
      </c>
      <c r="C10" s="29">
        <f>IFERROR(Historical_FS!C22,0)</f>
        <v>0.19484448126762205</v>
      </c>
      <c r="D10" s="29">
        <f>IFERROR(Historical_FS!D22,0)</f>
        <v>0.20541684039449937</v>
      </c>
      <c r="E10" s="29">
        <f>IFERROR(Historical_FS!E22,0)</f>
        <v>0.198363581076239</v>
      </c>
      <c r="F10" s="29">
        <f>IFERROR(Historical_FS!F22,0)</f>
        <v>0.17719584026534024</v>
      </c>
      <c r="G10" s="29">
        <f>IFERROR(Historical_FS!G22,0)</f>
        <v>0.21791171271007304</v>
      </c>
      <c r="H10" s="29">
        <f>IFERROR(Historical_FS!H22,0)</f>
        <v>0.25864065036287776</v>
      </c>
      <c r="I10" s="29">
        <f>IFERROR(Historical_FS!I22,0)</f>
        <v>0.21890886166099133</v>
      </c>
      <c r="J10" s="29">
        <f>IFERROR(Historical_FS!J22,0)</f>
        <v>0.16792936999663824</v>
      </c>
      <c r="K10" s="29">
        <f>IFERROR(Historical_FS!K22,0)</f>
        <v>0.1830334288841873</v>
      </c>
      <c r="L10" s="29">
        <f>IFERROR(Historical_FS!L22,0)</f>
        <v>0.16847946939199504</v>
      </c>
      <c r="M10" s="28"/>
    </row>
    <row r="11" spans="2:13" x14ac:dyDescent="0.25">
      <c r="B11" s="28" t="s">
        <v>79</v>
      </c>
      <c r="C11" s="29">
        <f>IFERROR(Historical_FS!C28,)</f>
        <v>0.14009328420513628</v>
      </c>
      <c r="D11" s="29">
        <f>IFERROR(Historical_FS!D28,)</f>
        <v>0.15227740439977389</v>
      </c>
      <c r="E11" s="29">
        <f>IFERROR(Historical_FS!E28,)</f>
        <v>0.13871179542536105</v>
      </c>
      <c r="F11" s="29">
        <f>IFERROR(Historical_FS!F28,)</f>
        <v>0.11808835311919819</v>
      </c>
      <c r="G11" s="29">
        <f>IFERROR(Historical_FS!G28,)</f>
        <v>0.15374326919065784</v>
      </c>
      <c r="H11" s="29">
        <f>IFERROR(Historical_FS!H28,)</f>
        <v>0.19826766653698755</v>
      </c>
      <c r="I11" s="29">
        <f>IFERROR(Historical_FS!I28,)</f>
        <v>0.16729649689926562</v>
      </c>
      <c r="J11" s="29">
        <f>IFERROR(Historical_FS!J28,)</f>
        <v>0.12226221450417919</v>
      </c>
      <c r="K11" s="29">
        <f>IFERROR(Historical_FS!K28,)</f>
        <v>0.13867603916842267</v>
      </c>
      <c r="L11" s="29">
        <f>IFERROR(Historical_FS!L28,)</f>
        <v>0.11561997194922849</v>
      </c>
      <c r="M11" s="28"/>
    </row>
    <row r="12" spans="2:13" x14ac:dyDescent="0.25">
      <c r="B12" s="28" t="s">
        <v>80</v>
      </c>
      <c r="C12" s="29">
        <f>IFERROR(Historical_FS!C37,0)</f>
        <v>0.13601866002153207</v>
      </c>
      <c r="D12" s="29">
        <f>IFERROR(Historical_FS!D37,0)</f>
        <v>0.15259346426040804</v>
      </c>
      <c r="E12" s="29">
        <f>IFERROR(Historical_FS!E37,0)</f>
        <v>0.10657253292754805</v>
      </c>
      <c r="F12" s="29">
        <f>IFERROR(Historical_FS!F37,0)</f>
        <v>8.3653182436268708E-2</v>
      </c>
      <c r="G12" s="29">
        <f>IFERROR(Historical_FS!G37,0)</f>
        <v>0.122147853788921</v>
      </c>
      <c r="H12" s="29">
        <f>IFERROR(Historical_FS!H37,0)</f>
        <v>0.17887997531626038</v>
      </c>
      <c r="I12" s="29">
        <f>IFERROR(Historical_FS!I37,0)</f>
        <v>0.16206292041096731</v>
      </c>
      <c r="J12" s="29">
        <f>IFERROR(Historical_FS!J37,0)</f>
        <v>0.11727154246411844</v>
      </c>
      <c r="K12" s="29">
        <f>IFERROR(Historical_FS!K37,0)</f>
        <v>0.13287924348318822</v>
      </c>
      <c r="L12" s="29">
        <f>IFERROR(Historical_FS!L37,0)</f>
        <v>9.9112857814870475E-2</v>
      </c>
      <c r="M12" s="28"/>
    </row>
    <row r="13" spans="2:13" x14ac:dyDescent="0.25">
      <c r="B13" s="54" t="s">
        <v>81</v>
      </c>
      <c r="C13" s="55">
        <f>IFERROR(Historical_FS!C43,)</f>
        <v>9.8580540717617349E-2</v>
      </c>
      <c r="D13" s="55">
        <f>IFERROR(Historical_FS!D43,)</f>
        <v>0.10693660753483547</v>
      </c>
      <c r="E13" s="55">
        <f>IFERROR(Historical_FS!E43,)</f>
        <v>7.1806297375415634E-2</v>
      </c>
      <c r="F13" s="55">
        <f>IFERROR(Historical_FS!F43,)</f>
        <v>5.7893129800450006E-2</v>
      </c>
      <c r="G13" s="55">
        <f>IFERROR(Historical_FS!G43,)</f>
        <v>0.13553841407554912</v>
      </c>
      <c r="H13" s="55">
        <f>IFERROR(Historical_FS!H43,)</f>
        <v>0.12211855349708667</v>
      </c>
      <c r="I13" s="55">
        <f>IFERROR(Historical_FS!I43,)</f>
        <v>0.13943770232151551</v>
      </c>
      <c r="J13" s="55">
        <f>IFERROR(Historical_FS!J43,)</f>
        <v>8.0224566800938285E-2</v>
      </c>
      <c r="K13" s="55">
        <f>IFERROR(Historical_FS!K43,)</f>
        <v>9.8775119471473896E-2</v>
      </c>
      <c r="L13" s="55">
        <f>IFERROR(Historical_FS!L43,)</f>
        <v>7.9515893133222257E-2</v>
      </c>
      <c r="M13" s="54"/>
    </row>
    <row r="14" spans="2:13" x14ac:dyDescent="0.25">
      <c r="B14" s="28"/>
      <c r="C14" s="29"/>
      <c r="D14" s="29"/>
      <c r="E14" s="29"/>
      <c r="F14" s="29"/>
      <c r="G14" s="29"/>
      <c r="H14" s="29"/>
      <c r="I14" s="29"/>
      <c r="J14" s="29"/>
      <c r="K14" s="29"/>
      <c r="L14" s="29"/>
    </row>
    <row r="15" spans="2:13" x14ac:dyDescent="0.25">
      <c r="B15" s="58" t="s">
        <v>109</v>
      </c>
      <c r="C15" s="59">
        <f>IFERROR(Historical_FS!C74/Historical_FS!C60,0)</f>
        <v>0.77040580479152498</v>
      </c>
      <c r="D15" s="59">
        <f>IFERROR(Historical_FS!D74/Historical_FS!D60,0)</f>
        <v>0.68572141119351626</v>
      </c>
      <c r="E15" s="59">
        <f>IFERROR(Historical_FS!E74/Historical_FS!E60,0)</f>
        <v>0.50597843384271413</v>
      </c>
      <c r="F15" s="59">
        <f>IFERROR(Historical_FS!F74/Historical_FS!F60,0)</f>
        <v>0.43730889130000938</v>
      </c>
      <c r="G15" s="59">
        <f>IFERROR(Historical_FS!G74/Historical_FS!G60,0)</f>
        <v>0.41434567715521287</v>
      </c>
      <c r="H15" s="59">
        <f>IFERROR(Historical_FS!H74/Historical_FS!H60,0)</f>
        <v>0.4238798596607482</v>
      </c>
      <c r="I15" s="59">
        <f>IFERROR(Historical_FS!I74/Historical_FS!I60,0)</f>
        <v>0.40885168840310243</v>
      </c>
      <c r="J15" s="59">
        <f>IFERROR(Historical_FS!J74/Historical_FS!J60,0)</f>
        <v>0.44728003409477307</v>
      </c>
      <c r="K15" s="59">
        <f>IFERROR(Historical_FS!K74/Historical_FS!K60,0)</f>
        <v>0.45912356154351475</v>
      </c>
      <c r="L15" s="59">
        <f>IFERROR(Historical_FS!L74/Historical_FS!L60,0)</f>
        <v>0.44114317477399412</v>
      </c>
      <c r="M15" s="56"/>
    </row>
    <row r="16" spans="2:13" x14ac:dyDescent="0.25">
      <c r="B16" s="45" t="s">
        <v>110</v>
      </c>
      <c r="C16" s="47">
        <f>IFERROR((Historical_FS!C74-Historical_FS!C72)/Historical_FS!C60,0)</f>
        <v>0.48603080117106084</v>
      </c>
      <c r="D16" s="47">
        <f>IFERROR((Historical_FS!D74-Historical_FS!D72)/Historical_FS!D60,0)</f>
        <v>0.42876867896214493</v>
      </c>
      <c r="E16" s="47">
        <f>IFERROR((Historical_FS!E74-Historical_FS!E72)/Historical_FS!E60,0)</f>
        <v>0.21629102166633718</v>
      </c>
      <c r="F16" s="47">
        <f>IFERROR((Historical_FS!F74-Historical_FS!F72)/Historical_FS!F60,0)</f>
        <v>0.20224605051577843</v>
      </c>
      <c r="G16" s="47">
        <f>IFERROR((Historical_FS!G74-Historical_FS!G72)/Historical_FS!G60,0)</f>
        <v>0.17043406570661102</v>
      </c>
      <c r="H16" s="47">
        <f>IFERROR((Historical_FS!H74-Historical_FS!H72)/Historical_FS!H60,0)</f>
        <v>0.2257773780856985</v>
      </c>
      <c r="I16" s="47">
        <f>IFERROR((Historical_FS!I74-Historical_FS!I72)/Historical_FS!I60,0)</f>
        <v>0.15539849175875572</v>
      </c>
      <c r="J16" s="47">
        <f>IFERROR((Historical_FS!J74-Historical_FS!J72)/Historical_FS!J60,0)</f>
        <v>0.1929604909893485</v>
      </c>
      <c r="K16" s="47">
        <f>IFERROR((Historical_FS!K74-Historical_FS!K72)/Historical_FS!K60,0)</f>
        <v>0.17353260638509424</v>
      </c>
      <c r="L16" s="47">
        <f>IFERROR((Historical_FS!L74-Historical_FS!L72)/Historical_FS!L60,0)</f>
        <v>0.19482133193347981</v>
      </c>
      <c r="M16" s="28"/>
    </row>
    <row r="17" spans="2:13" x14ac:dyDescent="0.25">
      <c r="B17" s="60" t="s">
        <v>111</v>
      </c>
      <c r="C17" s="61">
        <f>IFERROR(Historical_FS!C73/Historical_FS!C60,0)</f>
        <v>0.26263831621191708</v>
      </c>
      <c r="D17" s="61">
        <f>IFERROR(Historical_FS!D73/Historical_FS!D60,0)</f>
        <v>0.24069838259266835</v>
      </c>
      <c r="E17" s="61">
        <f>IFERROR(Historical_FS!E73/Historical_FS!E60,0)</f>
        <v>1.9421598604928675E-2</v>
      </c>
      <c r="F17" s="61">
        <f>IFERROR(Historical_FS!F73/Historical_FS!F60,0)</f>
        <v>4.2418389560103034E-2</v>
      </c>
      <c r="G17" s="61">
        <f>IFERROR(Historical_FS!G73/Historical_FS!G60,0)</f>
        <v>3.1479631906776766E-2</v>
      </c>
      <c r="H17" s="61">
        <f>IFERROR(Historical_FS!H73/Historical_FS!H60,0)</f>
        <v>9.898048937298963E-2</v>
      </c>
      <c r="I17" s="61">
        <f>IFERROR(Historical_FS!I73/Historical_FS!I60,0)</f>
        <v>1.6269148000871481E-2</v>
      </c>
      <c r="J17" s="61">
        <f>IFERROR(Historical_FS!J73/Historical_FS!J60,0)</f>
        <v>4.421819731580591E-2</v>
      </c>
      <c r="K17" s="61">
        <f>IFERROR(Historical_FS!K73/Historical_FS!K60,0)</f>
        <v>2.6852902010101938E-2</v>
      </c>
      <c r="L17" s="61">
        <f>IFERROR(Historical_FS!L73/Historical_FS!L60,0)</f>
        <v>4.3101132289504886E-2</v>
      </c>
      <c r="M17" s="54"/>
    </row>
    <row r="18" spans="2:13" x14ac:dyDescent="0.25">
      <c r="B18" s="45"/>
      <c r="C18" s="29"/>
      <c r="D18" s="29"/>
      <c r="E18" s="29"/>
      <c r="F18" s="29"/>
      <c r="G18" s="29"/>
      <c r="H18" s="29"/>
      <c r="I18" s="29"/>
      <c r="J18" s="29"/>
      <c r="K18" s="29"/>
      <c r="L18" s="29"/>
    </row>
    <row r="19" spans="2:13" x14ac:dyDescent="0.25">
      <c r="B19" s="58" t="s">
        <v>113</v>
      </c>
      <c r="C19" s="62">
        <f>IFERROR(SUM(Historical_FS!C59:C60)/SUM(Historical_FS!C57:C58),0)</f>
        <v>0.8770529713660532</v>
      </c>
      <c r="D19" s="62">
        <f>IFERROR(SUM(Historical_FS!D59:D60)/SUM(Historical_FS!D57:D58),0)</f>
        <v>0.73045672147586771</v>
      </c>
      <c r="E19" s="62">
        <f>IFERROR(SUM(Historical_FS!E59:E60)/SUM(Historical_FS!E57:E58),0)</f>
        <v>1.1659809500416207</v>
      </c>
      <c r="F19" s="62">
        <f>IFERROR(SUM(Historical_FS!F59:F60)/SUM(Historical_FS!F57:F58),0)</f>
        <v>1.2673747024131388</v>
      </c>
      <c r="G19" s="62">
        <f>IFERROR(SUM(Historical_FS!G59:G60)/SUM(Historical_FS!G57:G58),0)</f>
        <v>1.0288468631094958</v>
      </c>
      <c r="H19" s="62">
        <f>IFERROR(SUM(Historical_FS!H59:H60)/SUM(Historical_FS!H57:H58),0)</f>
        <v>0.95080869855763528</v>
      </c>
      <c r="I19" s="62">
        <f>IFERROR(SUM(Historical_FS!I59:I60)/SUM(Historical_FS!I57:I58),0)</f>
        <v>0.66176249279522048</v>
      </c>
      <c r="J19" s="62">
        <f>IFERROR(SUM(Historical_FS!J59:J60)/SUM(Historical_FS!J57:J58),0)</f>
        <v>0.6821200879013426</v>
      </c>
      <c r="K19" s="62">
        <f>IFERROR(SUM(Historical_FS!K59:K60)/SUM(Historical_FS!K57:K58),0)</f>
        <v>0.67360663271981502</v>
      </c>
      <c r="L19" s="62">
        <f>IFERROR(SUM(Historical_FS!L59:L60)/SUM(Historical_FS!L57:L58),0)</f>
        <v>0.88994717196104434</v>
      </c>
      <c r="M19" s="56"/>
    </row>
    <row r="20" spans="2:13" x14ac:dyDescent="0.25">
      <c r="B20" s="45" t="s">
        <v>112</v>
      </c>
      <c r="C20" s="30">
        <f>IFERROR(SUM(Historical_FS!C59:C60)/Historical_FS!C76,0)</f>
        <v>0.46724998428135189</v>
      </c>
      <c r="D20" s="30">
        <f>IFERROR(SUM(Historical_FS!D59:D60)/Historical_FS!D76,0)</f>
        <v>0.42211787929193489</v>
      </c>
      <c r="E20" s="30">
        <f>IFERROR(SUM(Historical_FS!E59:E60)/Historical_FS!E76,0)</f>
        <v>0.53831542240443786</v>
      </c>
      <c r="F20" s="30">
        <f>IFERROR(SUM(Historical_FS!F59:F60)/Historical_FS!F76,0)</f>
        <v>0.55896129610350132</v>
      </c>
      <c r="G20" s="30">
        <f>IFERROR(SUM(Historical_FS!G59:G60)/Historical_FS!G76,0)</f>
        <v>0.50710917704879999</v>
      </c>
      <c r="H20" s="30">
        <f>IFERROR(SUM(Historical_FS!H59:H60)/Historical_FS!H76,0)</f>
        <v>0.48739207450768107</v>
      </c>
      <c r="I20" s="30">
        <f>IFERROR(SUM(Historical_FS!I59:I60)/Historical_FS!I76,0)</f>
        <v>0.39822928707584554</v>
      </c>
      <c r="J20" s="30">
        <f>IFERROR(SUM(Historical_FS!J59:J60)/Historical_FS!J76,0)</f>
        <v>0.40551212294977917</v>
      </c>
      <c r="K20" s="30">
        <f>IFERROR(SUM(Historical_FS!K59:K60)/Historical_FS!K76,0)</f>
        <v>0.40248802768253977</v>
      </c>
      <c r="L20" s="30">
        <f>IFERROR(SUM(Historical_FS!L59:L60)/Historical_FS!L76,0)</f>
        <v>0.47088468141552259</v>
      </c>
      <c r="M20" s="28"/>
    </row>
    <row r="21" spans="2:13" x14ac:dyDescent="0.25">
      <c r="B21" s="54" t="s">
        <v>86</v>
      </c>
      <c r="C21" s="63">
        <f>IFERROR(Historical_FS!C27/Historical_FS!C30,0)</f>
        <v>6.2224969097651464</v>
      </c>
      <c r="D21" s="63">
        <f>IFERROR(Historical_FS!D27/Historical_FS!D30,0)</f>
        <v>6.036603655678797</v>
      </c>
      <c r="E21" s="63">
        <f>IFERROR(Historical_FS!E27/Historical_FS!E30,0)</f>
        <v>3.4721234647705228</v>
      </c>
      <c r="F21" s="63">
        <f>IFERROR(Historical_FS!F27/Historical_FS!F30,0)</f>
        <v>2.753990752927681</v>
      </c>
      <c r="G21" s="63">
        <f>IFERROR(Historical_FS!G27/Historical_FS!G30,0)</f>
        <v>3.2753295006652778</v>
      </c>
      <c r="H21" s="63">
        <f>IFERROR(Historical_FS!H27/Historical_FS!H30,0)</f>
        <v>5.9688890384680091</v>
      </c>
      <c r="I21" s="63">
        <f>IFERROR(Historical_FS!I27/Historical_FS!I30,0)</f>
        <v>9.3146044817986464</v>
      </c>
      <c r="J21" s="63">
        <f>IFERROR(Historical_FS!J27/Historical_FS!J30,0)</f>
        <v>9.397923959548816</v>
      </c>
      <c r="K21" s="63">
        <f>IFERROR(Historical_FS!K27/Historical_FS!K30,0)</f>
        <v>10.15832644628099</v>
      </c>
      <c r="L21" s="63">
        <f>IFERROR(Historical_FS!L27/Historical_FS!L30,0)</f>
        <v>5.3206405176487719</v>
      </c>
      <c r="M21" s="54"/>
    </row>
    <row r="22" spans="2:13" x14ac:dyDescent="0.25">
      <c r="E22" s="20"/>
    </row>
    <row r="23" spans="2:13" x14ac:dyDescent="0.25">
      <c r="B23" s="56" t="s">
        <v>82</v>
      </c>
      <c r="C23" s="57">
        <f>IFERROR(Historical_FS!C27/SUM(Historical_FS!C57:C59),0)</f>
        <v>0.10821943134278951</v>
      </c>
      <c r="D23" s="57">
        <f>IFERROR(Historical_FS!D27/SUM(Historical_FS!D57:D59),0)</f>
        <v>0.11756786113955958</v>
      </c>
      <c r="E23" s="57">
        <f>IFERROR(Historical_FS!E27/SUM(Historical_FS!E57:E59),0)</f>
        <v>9.3697572990607741E-2</v>
      </c>
      <c r="F23" s="57">
        <f>IFERROR(Historical_FS!F27/SUM(Historical_FS!F57:F59),0)</f>
        <v>8.2863508702749333E-2</v>
      </c>
      <c r="G23" s="57">
        <f>IFERROR(Historical_FS!G27/SUM(Historical_FS!G57:G59),0)</f>
        <v>0.10510834845781819</v>
      </c>
      <c r="H23" s="57">
        <f>IFERROR(Historical_FS!H27/SUM(Historical_FS!H57:H59),0)</f>
        <v>0.13457478040133197</v>
      </c>
      <c r="I23" s="57">
        <f>IFERROR(Historical_FS!I27/SUM(Historical_FS!I57:I59),0)</f>
        <v>0.14254041568942402</v>
      </c>
      <c r="J23" s="57">
        <f>IFERROR(Historical_FS!J27/SUM(Historical_FS!J57:J59),0)</f>
        <v>0.11825620030381324</v>
      </c>
      <c r="K23" s="57">
        <f>IFERROR(Historical_FS!K27/SUM(Historical_FS!K57:K59),0)</f>
        <v>0.13727769050109007</v>
      </c>
      <c r="L23" s="57">
        <f>IFERROR(Historical_FS!L27/SUM(Historical_FS!L57:L59),0)</f>
        <v>9.2627647495305096E-2</v>
      </c>
      <c r="M23" s="56"/>
    </row>
    <row r="24" spans="2:13" x14ac:dyDescent="0.25">
      <c r="B24" s="28" t="s">
        <v>83</v>
      </c>
      <c r="C24" s="29">
        <f>IFERROR(Historical_FS!C53,0)</f>
        <v>0.89485888966857829</v>
      </c>
      <c r="D24" s="29">
        <f>IFERROR(Historical_FS!D53,0)</f>
        <v>0.89883582518582938</v>
      </c>
      <c r="E24" s="29">
        <f>IFERROR(Historical_FS!E53,0)</f>
        <v>0.87037752982746364</v>
      </c>
      <c r="F24" s="29">
        <f>IFERROR(Historical_FS!F53,0)</f>
        <v>0.86842083336805043</v>
      </c>
      <c r="G24" s="29">
        <f>IFERROR(Historical_FS!G53,0)</f>
        <v>0.9347543332498679</v>
      </c>
      <c r="H24" s="29">
        <f>IFERROR(Historical_FS!H53,0)</f>
        <v>0.80446185816161186</v>
      </c>
      <c r="I24" s="29">
        <f>IFERROR(Historical_FS!I53,0)</f>
        <v>0.8504348086923561</v>
      </c>
      <c r="J24" s="29">
        <f>IFERROR(Historical_FS!J53,0)</f>
        <v>0.78377025269050349</v>
      </c>
      <c r="K24" s="29">
        <f>IFERROR(Historical_FS!K53,0)</f>
        <v>0.711473223719153</v>
      </c>
      <c r="L24" s="29">
        <f>IFERROR(Historical_FS!L53,0)</f>
        <v>0.6218698465471455</v>
      </c>
      <c r="M24" s="28"/>
    </row>
    <row r="25" spans="2:13" x14ac:dyDescent="0.25">
      <c r="B25" s="28" t="s">
        <v>84</v>
      </c>
      <c r="C25" s="29">
        <f>IFERROR(Historical_FS!C42/SUM(Historical_FS!C57:C58),0)</f>
        <v>0.11298923749284033</v>
      </c>
      <c r="D25" s="29">
        <f>IFERROR(Historical_FS!D42/SUM(Historical_FS!D57:D58),0)</f>
        <v>0.11124640198033027</v>
      </c>
      <c r="E25" s="29">
        <f>IFERROR(Historical_FS!E42/SUM(Historical_FS!E57:E58),0)</f>
        <v>8.4320022318957855E-2</v>
      </c>
      <c r="F25" s="29">
        <f>IFERROR(Historical_FS!F42/SUM(Historical_FS!F57:F58),0)</f>
        <v>7.1121000632580603E-2</v>
      </c>
      <c r="G25" s="29">
        <f>IFERROR(Historical_FS!G42/SUM(Historical_FS!G57:G58),0)</f>
        <v>0.14729319102463498</v>
      </c>
      <c r="H25" s="29">
        <f>IFERROR(Historical_FS!H42/SUM(Historical_FS!H57:H58),0)</f>
        <v>0.12364209542661089</v>
      </c>
      <c r="I25" s="29">
        <f>IFERROR(Historical_FS!I42/SUM(Historical_FS!I57:I58),0)</f>
        <v>0.1454192671120825</v>
      </c>
      <c r="J25" s="29">
        <f>IFERROR(Historical_FS!J42/SUM(Historical_FS!J57:J58),0)</f>
        <v>9.3390574499112214E-2</v>
      </c>
      <c r="K25" s="29">
        <f>IFERROR(Historical_FS!K42/SUM(Historical_FS!K57:K58),0)</f>
        <v>0.11629176581852664</v>
      </c>
      <c r="L25" s="29">
        <f>IFERROR(Historical_FS!L42/SUM(Historical_FS!L57:L58),0)</f>
        <v>8.5418128985385769E-2</v>
      </c>
      <c r="M25" s="28"/>
    </row>
    <row r="26" spans="2:13" x14ac:dyDescent="0.25">
      <c r="B26" s="54" t="s">
        <v>85</v>
      </c>
      <c r="C26" s="55">
        <f>IFERROR(C25*C24,0)</f>
        <v>0.10110942360734239</v>
      </c>
      <c r="D26" s="55">
        <f t="shared" ref="D26:L26" si="0">IFERROR(D25*D24,0)</f>
        <v>9.9992251522944636E-2</v>
      </c>
      <c r="E26" s="55">
        <f t="shared" si="0"/>
        <v>7.3390252740971135E-2</v>
      </c>
      <c r="F26" s="55">
        <f t="shared" si="0"/>
        <v>6.1762958639315288E-2</v>
      </c>
      <c r="G26" s="55">
        <f t="shared" si="0"/>
        <v>0.1376829485684781</v>
      </c>
      <c r="H26" s="55">
        <f t="shared" si="0"/>
        <v>9.9465349833886732E-2</v>
      </c>
      <c r="I26" s="55">
        <f t="shared" si="0"/>
        <v>0.12366960660664651</v>
      </c>
      <c r="J26" s="55">
        <f t="shared" si="0"/>
        <v>7.3196754174080475E-2</v>
      </c>
      <c r="K26" s="55">
        <f t="shared" si="0"/>
        <v>8.2738477518899955E-2</v>
      </c>
      <c r="L26" s="55">
        <f t="shared" si="0"/>
        <v>5.3118958764486128E-2</v>
      </c>
      <c r="M26" s="54"/>
    </row>
    <row r="28" spans="2:13" x14ac:dyDescent="0.25">
      <c r="B28" s="56" t="s">
        <v>88</v>
      </c>
      <c r="C28" s="62">
        <f>IFERROR(Historical_FS!C9/Historical_FS!C71,0)</f>
        <v>13.044865445153796</v>
      </c>
      <c r="D28" s="62">
        <f>IFERROR(Historical_FS!D9/Historical_FS!D71,0)</f>
        <v>14.441457182045314</v>
      </c>
      <c r="E28" s="62">
        <f>IFERROR(Historical_FS!E9/Historical_FS!E71,0)</f>
        <v>13.950374443288615</v>
      </c>
      <c r="F28" s="62">
        <f>IFERROR(Historical_FS!F9/Historical_FS!F71,0)</f>
        <v>14.876861748886807</v>
      </c>
      <c r="G28" s="62">
        <f>IFERROR(Historical_FS!G9/Historical_FS!G71,0)</f>
        <v>17.803597653594718</v>
      </c>
      <c r="H28" s="62">
        <f>IFERROR(Historical_FS!H9/Historical_FS!H71,0)</f>
        <v>17.391328016549171</v>
      </c>
      <c r="I28" s="62">
        <f>IFERROR(Historical_FS!I9/Historical_FS!I71,0)</f>
        <v>17.124188943257771</v>
      </c>
      <c r="J28" s="62">
        <f>IFERROR(Historical_FS!J9/Historical_FS!J71,0)</f>
        <v>16.353672854032304</v>
      </c>
      <c r="K28" s="62">
        <f>IFERROR(Historical_FS!K9/Historical_FS!K71,0)</f>
        <v>16.574447893486919</v>
      </c>
      <c r="L28" s="62">
        <f>IFERROR(Historical_FS!L9/Historical_FS!L71,0)</f>
        <v>12.895060481303851</v>
      </c>
      <c r="M28" s="56"/>
    </row>
    <row r="29" spans="2:13" x14ac:dyDescent="0.25">
      <c r="B29" s="28" t="s">
        <v>87</v>
      </c>
      <c r="C29" s="30">
        <f>IFERROR((Historical_FS!C12+Historical_FS!C72)/Historical_FS!C60,0)</f>
        <v>1.7206426700372703</v>
      </c>
      <c r="D29" s="30">
        <f>IFERROR((Historical_FS!D12+Historical_FS!D72)/Historical_FS!D60,0)</f>
        <v>1.5738718768497004</v>
      </c>
      <c r="E29" s="30">
        <f>IFERROR((Historical_FS!E12+Historical_FS!E72)/Historical_FS!E60,0)</f>
        <v>1.685484821861555</v>
      </c>
      <c r="F29" s="30">
        <f>IFERROR((Historical_FS!F12+Historical_FS!F72)/Historical_FS!F60,0)</f>
        <v>1.4811959361659663</v>
      </c>
      <c r="G29" s="30">
        <f>IFERROR((Historical_FS!G12+Historical_FS!G72)/Historical_FS!G60,0)</f>
        <v>1.4450521803570502</v>
      </c>
      <c r="H29" s="30">
        <f>IFERROR((Historical_FS!H12+Historical_FS!H72)/Historical_FS!H60,0)</f>
        <v>1.2259800180255873</v>
      </c>
      <c r="I29" s="30">
        <f>IFERROR((Historical_FS!I12+Historical_FS!I72)/Historical_FS!I60,0)</f>
        <v>1.4554496300963384</v>
      </c>
      <c r="J29" s="30">
        <f>IFERROR((Historical_FS!J12+Historical_FS!J72)/Historical_FS!J60,0)</f>
        <v>1.6121842656315151</v>
      </c>
      <c r="K29" s="30">
        <f>IFERROR((Historical_FS!K12+Historical_FS!K72)/Historical_FS!K60,0)</f>
        <v>1.5931240717147099</v>
      </c>
      <c r="L29" s="30">
        <f>IFERROR((Historical_FS!L12+Historical_FS!L72)/Historical_FS!L60,0)</f>
        <v>1.307976614959492</v>
      </c>
      <c r="M29" s="28"/>
    </row>
    <row r="30" spans="2:13" x14ac:dyDescent="0.25">
      <c r="B30" s="28" t="s">
        <v>89</v>
      </c>
      <c r="C30" s="30">
        <f>IFERROR(Historical_FS!C12/Historical_FS!C72,0)</f>
        <v>5.0506115099120823</v>
      </c>
      <c r="D30" s="30">
        <f>IFERROR(Historical_FS!D12/Historical_FS!D72,0)</f>
        <v>5.1251416288989606</v>
      </c>
      <c r="E30" s="30">
        <f>IFERROR(Historical_FS!E12/Historical_FS!E72,0)</f>
        <v>4.8182880961197698</v>
      </c>
      <c r="F30" s="30">
        <f>IFERROR(Historical_FS!F12/Historical_FS!F72,0)</f>
        <v>5.3012764213361434</v>
      </c>
      <c r="G30" s="30">
        <f>IFERROR(Historical_FS!G12/Historical_FS!G72,0)</f>
        <v>4.9244911374855072</v>
      </c>
      <c r="H30" s="30">
        <f>IFERROR(Historical_FS!H12/Historical_FS!H72,0)</f>
        <v>5.1886151464545547</v>
      </c>
      <c r="I30" s="30">
        <f>IFERROR(Historical_FS!I12/Historical_FS!I72,0)</f>
        <v>4.7424788851200415</v>
      </c>
      <c r="J30" s="30">
        <f>IFERROR(Historical_FS!J12/Historical_FS!J72,0)</f>
        <v>5.339207148399157</v>
      </c>
      <c r="K30" s="30">
        <f>IFERROR(Historical_FS!K12/Historical_FS!K72,0)</f>
        <v>4.5783421811485114</v>
      </c>
      <c r="L30" s="30">
        <f>IFERROR(Historical_FS!L12/Historical_FS!L72,0)</f>
        <v>4.3100309736086446</v>
      </c>
      <c r="M30" s="28"/>
    </row>
    <row r="31" spans="2:13" x14ac:dyDescent="0.25">
      <c r="B31" s="28" t="s">
        <v>90</v>
      </c>
      <c r="C31" s="30">
        <f>IFERROR(Historical_FS!C9/SUM(Historical_FS!C64:C66),0)</f>
        <v>0.78915368757115989</v>
      </c>
      <c r="D31" s="30">
        <f>IFERROR(Historical_FS!D9/SUM(Historical_FS!D64:D66),0)</f>
        <v>0.75710516909368553</v>
      </c>
      <c r="E31" s="30">
        <f>IFERROR(Historical_FS!E9/SUM(Historical_FS!E64:E66),0)</f>
        <v>0.66373166220338298</v>
      </c>
      <c r="F31" s="30">
        <f>IFERROR(Historical_FS!F9/SUM(Historical_FS!F64:F66),0)</f>
        <v>0.68285175365250605</v>
      </c>
      <c r="G31" s="30">
        <f>IFERROR(Historical_FS!G9/SUM(Historical_FS!G64:G66),0)</f>
        <v>0.66297490407698589</v>
      </c>
      <c r="H31" s="30">
        <f>IFERROR(Historical_FS!H9/SUM(Historical_FS!H64:H66),0)</f>
        <v>0.64561380210288077</v>
      </c>
      <c r="I31" s="30">
        <f>IFERROR(Historical_FS!I9/SUM(Historical_FS!I64:I66),0)</f>
        <v>0.78967724752623603</v>
      </c>
      <c r="J31" s="30">
        <f>IFERROR(Historical_FS!J9/SUM(Historical_FS!J64:J66),0)</f>
        <v>0.89175470702520754</v>
      </c>
      <c r="K31" s="30">
        <f>IFERROR(Historical_FS!K9/SUM(Historical_FS!K64:K66),0)</f>
        <v>0.90980492890863907</v>
      </c>
      <c r="L31" s="30">
        <f>IFERROR(Historical_FS!L9/SUM(Historical_FS!L64:L66),0)</f>
        <v>0.71686297035115321</v>
      </c>
      <c r="M31" s="28"/>
    </row>
    <row r="32" spans="2:13" x14ac:dyDescent="0.25">
      <c r="B32" s="54" t="s">
        <v>91</v>
      </c>
      <c r="C32" s="63">
        <f>IFERROR(Historical_FS!C9/SUM(Historical_FS!C57:C59),0)</f>
        <v>0.77248122175739409</v>
      </c>
      <c r="D32" s="63">
        <f>IFERROR(Historical_FS!D9/SUM(Historical_FS!D57:D59),0)</f>
        <v>0.77206373199603973</v>
      </c>
      <c r="E32" s="63">
        <f>IFERROR(Historical_FS!E9/SUM(Historical_FS!E57:E59),0)</f>
        <v>0.67548381666665935</v>
      </c>
      <c r="F32" s="63">
        <f>IFERROR(Historical_FS!F9/SUM(Historical_FS!F57:F59),0)</f>
        <v>0.70170771726409831</v>
      </c>
      <c r="G32" s="63">
        <f>IFERROR(Historical_FS!G9/SUM(Historical_FS!G57:G59),0)</f>
        <v>0.68366146375795334</v>
      </c>
      <c r="H32" s="63">
        <f>IFERROR(Historical_FS!H9/SUM(Historical_FS!H57:H59),0)</f>
        <v>0.6787530349847869</v>
      </c>
      <c r="I32" s="63">
        <f>IFERROR(Historical_FS!I9/SUM(Historical_FS!I57:I59),0)</f>
        <v>0.85202271614361413</v>
      </c>
      <c r="J32" s="63">
        <f>IFERROR(Historical_FS!J9/SUM(Historical_FS!J57:J59),0)</f>
        <v>0.96723424144890635</v>
      </c>
      <c r="K32" s="63">
        <f>IFERROR(Historical_FS!K9/SUM(Historical_FS!K57:K59),0)</f>
        <v>0.9899164363525389</v>
      </c>
      <c r="L32" s="63">
        <f>IFERROR(Historical_FS!L9/SUM(Historical_FS!L57:L59),0)</f>
        <v>0.80113881653578078</v>
      </c>
      <c r="M32" s="54"/>
    </row>
    <row r="34" spans="2:13" x14ac:dyDescent="0.25">
      <c r="B34" s="56" t="s">
        <v>92</v>
      </c>
      <c r="C34" s="64">
        <f>IFERROR(365/C28,0)</f>
        <v>27.980357600054703</v>
      </c>
      <c r="D34" s="64">
        <f t="shared" ref="D34:L34" si="1">IFERROR(365/D28,0)</f>
        <v>25.27445779182138</v>
      </c>
      <c r="E34" s="64">
        <f t="shared" si="1"/>
        <v>26.164172258157404</v>
      </c>
      <c r="F34" s="64">
        <f t="shared" si="1"/>
        <v>24.534744367528447</v>
      </c>
      <c r="G34" s="64">
        <f t="shared" si="1"/>
        <v>20.501474314451439</v>
      </c>
      <c r="H34" s="64">
        <f t="shared" si="1"/>
        <v>20.987471437067644</v>
      </c>
      <c r="I34" s="64">
        <f t="shared" si="1"/>
        <v>21.314878106604272</v>
      </c>
      <c r="J34" s="64">
        <f t="shared" si="1"/>
        <v>22.319145262221777</v>
      </c>
      <c r="K34" s="64">
        <f t="shared" si="1"/>
        <v>22.021849677625166</v>
      </c>
      <c r="L34" s="64">
        <f t="shared" si="1"/>
        <v>28.305412024177954</v>
      </c>
      <c r="M34" s="56"/>
    </row>
    <row r="35" spans="2:13" x14ac:dyDescent="0.25">
      <c r="B35" s="28" t="s">
        <v>93</v>
      </c>
      <c r="C35" s="31">
        <f>IFERROR(365/C29,0)</f>
        <v>212.1300409178472</v>
      </c>
      <c r="D35" s="31">
        <f t="shared" ref="D35:L35" si="2">IFERROR(365/D29,0)</f>
        <v>231.91214314763201</v>
      </c>
      <c r="E35" s="31">
        <f t="shared" si="2"/>
        <v>216.55490175038844</v>
      </c>
      <c r="F35" s="31">
        <f t="shared" si="2"/>
        <v>246.42249623286986</v>
      </c>
      <c r="G35" s="31">
        <f t="shared" si="2"/>
        <v>252.58603458168142</v>
      </c>
      <c r="H35" s="31">
        <f t="shared" si="2"/>
        <v>297.72100249058229</v>
      </c>
      <c r="I35" s="31">
        <f t="shared" si="2"/>
        <v>250.78160896288804</v>
      </c>
      <c r="J35" s="31">
        <f t="shared" si="2"/>
        <v>226.40091941166813</v>
      </c>
      <c r="K35" s="31">
        <f t="shared" si="2"/>
        <v>229.10958818615021</v>
      </c>
      <c r="L35" s="31">
        <f t="shared" si="2"/>
        <v>279.05697687974646</v>
      </c>
      <c r="M35" s="28"/>
    </row>
    <row r="36" spans="2:13" x14ac:dyDescent="0.25">
      <c r="B36" s="28" t="s">
        <v>94</v>
      </c>
      <c r="C36" s="31">
        <f>IFERROR(365/C30,0)</f>
        <v>72.26847665548398</v>
      </c>
      <c r="D36" s="31">
        <f t="shared" ref="D36:L36" si="3">IFERROR(365/D30,0)</f>
        <v>71.217544104905713</v>
      </c>
      <c r="E36" s="31">
        <f t="shared" si="3"/>
        <v>75.753046044286819</v>
      </c>
      <c r="F36" s="31">
        <f t="shared" si="3"/>
        <v>68.851342769257968</v>
      </c>
      <c r="G36" s="31">
        <f t="shared" si="3"/>
        <v>74.119333309709745</v>
      </c>
      <c r="H36" s="31">
        <f t="shared" si="3"/>
        <v>70.346323575262474</v>
      </c>
      <c r="I36" s="31">
        <f t="shared" si="3"/>
        <v>76.963969443326505</v>
      </c>
      <c r="J36" s="31">
        <f t="shared" si="3"/>
        <v>68.362209941496118</v>
      </c>
      <c r="K36" s="31">
        <f t="shared" si="3"/>
        <v>79.723180478492978</v>
      </c>
      <c r="L36" s="31">
        <f t="shared" si="3"/>
        <v>84.686166348915521</v>
      </c>
      <c r="M36" s="28"/>
    </row>
    <row r="37" spans="2:13" x14ac:dyDescent="0.25">
      <c r="B37" s="65" t="s">
        <v>95</v>
      </c>
      <c r="C37" s="66">
        <f>IFERROR(C34+C36-C35,0)</f>
        <v>-111.88120666230851</v>
      </c>
      <c r="D37" s="66">
        <f t="shared" ref="D37:L37" si="4">IFERROR(D34+D36-D35,0)</f>
        <v>-135.42014125090492</v>
      </c>
      <c r="E37" s="66">
        <f t="shared" si="4"/>
        <v>-114.63768344794421</v>
      </c>
      <c r="F37" s="66">
        <f t="shared" si="4"/>
        <v>-153.03640909608345</v>
      </c>
      <c r="G37" s="66">
        <f t="shared" si="4"/>
        <v>-157.96522695752023</v>
      </c>
      <c r="H37" s="66">
        <f t="shared" si="4"/>
        <v>-206.38720747825218</v>
      </c>
      <c r="I37" s="66">
        <f t="shared" si="4"/>
        <v>-152.50276141295728</v>
      </c>
      <c r="J37" s="66">
        <f t="shared" si="4"/>
        <v>-135.71956420795021</v>
      </c>
      <c r="K37" s="66">
        <f t="shared" si="4"/>
        <v>-127.36455803003206</v>
      </c>
      <c r="L37" s="66">
        <f t="shared" si="4"/>
        <v>-166.06539850665297</v>
      </c>
      <c r="M37" s="54"/>
    </row>
    <row r="39" spans="2:13" x14ac:dyDescent="0.25">
      <c r="B39" s="56" t="s">
        <v>96</v>
      </c>
      <c r="C39" s="57">
        <f>IFERROR(Historical_FS!C82/Historical_FS!C9,0)</f>
        <v>0.17989730150072117</v>
      </c>
      <c r="D39" s="57">
        <f>IFERROR(Historical_FS!D82/Historical_FS!D9,0)</f>
        <v>0.19724184569500461</v>
      </c>
      <c r="E39" s="57">
        <f>IFERROR(Historical_FS!E82/Historical_FS!E9,0)</f>
        <v>0.12550591343320006</v>
      </c>
      <c r="F39" s="57">
        <f>IFERROR(Historical_FS!F82/Historical_FS!F9,0)</f>
        <v>0.14364870607632096</v>
      </c>
      <c r="G39" s="57">
        <f>IFERROR(Historical_FS!G82/Historical_FS!G9,0)</f>
        <v>0.21147827628117821</v>
      </c>
      <c r="H39" s="57">
        <f>IFERROR(Historical_FS!H82/Historical_FS!H9,0)</f>
        <v>0.2794807471302917</v>
      </c>
      <c r="I39" s="57">
        <f>IFERROR(Historical_FS!I82/Historical_FS!I9,0)</f>
        <v>0.17648681539114083</v>
      </c>
      <c r="J39" s="57">
        <f>IFERROR(Historical_FS!J82/Historical_FS!J9,0)</f>
        <v>0.14340611745924017</v>
      </c>
      <c r="K39" s="57">
        <f>IFERROR(Historical_FS!K82/Historical_FS!K9,0)</f>
        <v>0.15367770188302782</v>
      </c>
      <c r="L39" s="57">
        <f>IFERROR(Historical_FS!L82/Historical_FS!L9,0)</f>
        <v>0.14051717112458367</v>
      </c>
      <c r="M39" s="56"/>
    </row>
    <row r="40" spans="2:13" x14ac:dyDescent="0.25">
      <c r="B40" s="28" t="s">
        <v>97</v>
      </c>
      <c r="C40" s="29">
        <f>IFERROR(Historical_FS!C82/Historical_FS!C76,0)</f>
        <v>0.10984846737719002</v>
      </c>
      <c r="D40" s="29">
        <f>IFERROR(Historical_FS!D82/Historical_FS!D76,0)</f>
        <v>0.11857629786555557</v>
      </c>
      <c r="E40" s="29">
        <f>IFERROR(Historical_FS!E82/Historical_FS!E76,0)</f>
        <v>6.8042104202072448E-2</v>
      </c>
      <c r="F40" s="29">
        <f>IFERROR(Historical_FS!F82/Historical_FS!F76,0)</f>
        <v>7.7830397945152036E-2</v>
      </c>
      <c r="G40" s="29">
        <f>IFERROR(Historical_FS!G82/Historical_FS!G76,0)</f>
        <v>0.11327570280990146</v>
      </c>
      <c r="H40" s="29">
        <f>IFERROR(Historical_FS!H82/Historical_FS!H76,0)</f>
        <v>0.14505139751219448</v>
      </c>
      <c r="I40" s="29">
        <f>IFERROR(Historical_FS!I82/Historical_FS!I76,0)</f>
        <v>0.11076053579320438</v>
      </c>
      <c r="J40" s="29">
        <f>IFERROR(Historical_FS!J82/Historical_FS!J76,0)</f>
        <v>9.9244476933784492E-2</v>
      </c>
      <c r="K40" s="29">
        <f>IFERROR(Historical_FS!K82/Historical_FS!K76,0)</f>
        <v>0.10810825826256328</v>
      </c>
      <c r="L40" s="29">
        <f>IFERROR(Historical_FS!L82/Historical_FS!L76,0)</f>
        <v>7.9868558488135261E-2</v>
      </c>
      <c r="M40" s="28"/>
    </row>
    <row r="41" spans="2:13" x14ac:dyDescent="0.25">
      <c r="B41" s="54" t="s">
        <v>98</v>
      </c>
      <c r="C41" s="55">
        <f>IFERROR(Historical_FS!C82/Historical_FS!C59,0)</f>
        <v>0.42624380769009768</v>
      </c>
      <c r="D41" s="55">
        <f>IFERROR(Historical_FS!D82/Historical_FS!D59,0)</f>
        <v>0.59059601226740488</v>
      </c>
      <c r="E41" s="55">
        <f>IFERROR(Historical_FS!E82/Historical_FS!E59,0)</f>
        <v>0.19958706831853026</v>
      </c>
      <c r="F41" s="55">
        <f>IFERROR(Historical_FS!F82/Historical_FS!F59,0)</f>
        <v>0.23507123968899238</v>
      </c>
      <c r="G41" s="55">
        <f>IFERROR(Historical_FS!G82/Historical_FS!G59,0)</f>
        <v>0.38980909650131895</v>
      </c>
      <c r="H41" s="55">
        <f>IFERROR(Historical_FS!H82/Historical_FS!H59,0)</f>
        <v>0.57552260906038344</v>
      </c>
      <c r="I41" s="55">
        <f>IFERROR(Historical_FS!I82/Historical_FS!I59,0)</f>
        <v>0.82159167345204809</v>
      </c>
      <c r="J41" s="55">
        <f>IFERROR(Historical_FS!J82/Historical_FS!J59,0)</f>
        <v>0.82014950613778226</v>
      </c>
      <c r="K41" s="55">
        <f>IFERROR(Historical_FS!K82/Historical_FS!K59,0)</f>
        <v>0.9556299027883135</v>
      </c>
      <c r="L41" s="55">
        <f>IFERROR(Historical_FS!L82/Historical_FS!L59,0)</f>
        <v>0.44282301434973931</v>
      </c>
      <c r="M41" s="54"/>
    </row>
    <row r="45" spans="2:13" x14ac:dyDescent="0.25">
      <c r="B45" s="30"/>
      <c r="C45" s="30"/>
      <c r="D45" s="30"/>
      <c r="E45" s="30"/>
      <c r="F45" s="30"/>
      <c r="G45" s="30"/>
      <c r="H45" s="30"/>
      <c r="I45" s="30"/>
      <c r="J45" s="30"/>
    </row>
    <row r="46" spans="2:13" x14ac:dyDescent="0.25">
      <c r="B46" s="33"/>
      <c r="C46" s="33"/>
      <c r="D46" s="33"/>
      <c r="E46" s="33"/>
      <c r="F46" s="33"/>
      <c r="G46" s="33"/>
      <c r="H46" s="33"/>
      <c r="I46" s="33"/>
      <c r="J46" s="33"/>
    </row>
    <row r="47" spans="2:13" x14ac:dyDescent="0.25">
      <c r="B47" s="30"/>
      <c r="C47" s="30"/>
      <c r="D47" s="30"/>
      <c r="E47" s="30"/>
      <c r="F47" s="30"/>
      <c r="G47" s="30"/>
      <c r="H47" s="30"/>
      <c r="I47" s="30"/>
      <c r="J47" s="30"/>
    </row>
    <row r="49" spans="2:12" x14ac:dyDescent="0.25">
      <c r="B49" s="32"/>
      <c r="C49" s="32"/>
      <c r="D49" s="32"/>
      <c r="E49" s="32"/>
      <c r="F49" s="32"/>
      <c r="G49" s="32"/>
      <c r="H49" s="32"/>
      <c r="I49" s="32"/>
      <c r="J49" s="32"/>
    </row>
    <row r="50" spans="2:12" x14ac:dyDescent="0.25">
      <c r="B50" s="32"/>
      <c r="C50" s="32"/>
      <c r="D50" s="32"/>
      <c r="E50" s="32"/>
      <c r="F50" s="32"/>
      <c r="G50" s="32"/>
      <c r="H50" s="32"/>
      <c r="I50" s="32"/>
      <c r="J50" s="32"/>
    </row>
    <row r="51" spans="2:12" x14ac:dyDescent="0.25">
      <c r="C51" s="32"/>
      <c r="D51" s="32"/>
      <c r="E51" s="32"/>
      <c r="F51" s="32"/>
      <c r="G51" s="32"/>
      <c r="H51" s="32"/>
      <c r="I51" s="32"/>
      <c r="J51" s="32"/>
      <c r="K51" s="32"/>
      <c r="L51" s="32"/>
    </row>
    <row r="52" spans="2:12" x14ac:dyDescent="0.25">
      <c r="C52" s="32"/>
      <c r="D52" s="32"/>
      <c r="E52" s="32"/>
      <c r="F52" s="32"/>
      <c r="G52" s="32"/>
      <c r="H52" s="32"/>
      <c r="I52" s="32"/>
      <c r="J52" s="32"/>
      <c r="K52" s="32"/>
      <c r="L52" s="32"/>
    </row>
    <row r="55" spans="2:12" x14ac:dyDescent="0.25">
      <c r="D55" s="20"/>
    </row>
  </sheetData>
  <mergeCells count="1">
    <mergeCell ref="B6:M6"/>
  </mergeCells>
  <pageMargins left="0.70866141732283472" right="0.70866141732283472" top="0.74803149606299213" bottom="0.74803149606299213" header="0.31496062992125984" footer="0.31496062992125984"/>
  <pageSetup scale="68" orientation="landscape" horizontalDpi="2400" verticalDpi="2400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00000000-0003-0000-0100-000000000000}">
          <x14:colorSeries theme="4"/>
          <x14:colorNegative theme="5"/>
          <x14:colorAxis rgb="FF000000"/>
          <x14:colorMarkers theme="1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Ratios!C9:L9</xm:f>
              <xm:sqref>M9</xm:sqref>
            </x14:sparkline>
            <x14:sparkline>
              <xm:f>Ratios!C10:L10</xm:f>
              <xm:sqref>M10</xm:sqref>
            </x14:sparkline>
            <x14:sparkline>
              <xm:f>Ratios!C11:L11</xm:f>
              <xm:sqref>M11</xm:sqref>
            </x14:sparkline>
            <x14:sparkline>
              <xm:f>Ratios!C12:L12</xm:f>
              <xm:sqref>M12</xm:sqref>
            </x14:sparkline>
            <x14:sparkline>
              <xm:f>Ratios!C13:L13</xm:f>
              <xm:sqref>M13</xm:sqref>
            </x14:sparkline>
            <x14:sparkline>
              <xm:f>Ratios!C14:L14</xm:f>
              <xm:sqref>M14</xm:sqref>
            </x14:sparkline>
            <x14:sparkline>
              <xm:f>Ratios!C15:L15</xm:f>
              <xm:sqref>M15</xm:sqref>
            </x14:sparkline>
            <x14:sparkline>
              <xm:f>Ratios!C16:L16</xm:f>
              <xm:sqref>M16</xm:sqref>
            </x14:sparkline>
            <x14:sparkline>
              <xm:f>Ratios!C17:L17</xm:f>
              <xm:sqref>M17</xm:sqref>
            </x14:sparkline>
            <x14:sparkline>
              <xm:f>Ratios!C18:L18</xm:f>
              <xm:sqref>M18</xm:sqref>
            </x14:sparkline>
            <x14:sparkline>
              <xm:f>Ratios!C19:L19</xm:f>
              <xm:sqref>M19</xm:sqref>
            </x14:sparkline>
            <x14:sparkline>
              <xm:f>Ratios!C20:L20</xm:f>
              <xm:sqref>M20</xm:sqref>
            </x14:sparkline>
            <x14:sparkline>
              <xm:f>Ratios!C21:L21</xm:f>
              <xm:sqref>M21</xm:sqref>
            </x14:sparkline>
            <x14:sparkline>
              <xm:f>Ratios!C22:L22</xm:f>
              <xm:sqref>M22</xm:sqref>
            </x14:sparkline>
            <x14:sparkline>
              <xm:f>Ratios!C23:L23</xm:f>
              <xm:sqref>M23</xm:sqref>
            </x14:sparkline>
            <x14:sparkline>
              <xm:f>Ratios!C24:L24</xm:f>
              <xm:sqref>M24</xm:sqref>
            </x14:sparkline>
            <x14:sparkline>
              <xm:f>Ratios!C25:L25</xm:f>
              <xm:sqref>M25</xm:sqref>
            </x14:sparkline>
            <x14:sparkline>
              <xm:f>Ratios!C26:L26</xm:f>
              <xm:sqref>M26</xm:sqref>
            </x14:sparkline>
            <x14:sparkline>
              <xm:f>Ratios!C27:L27</xm:f>
              <xm:sqref>M27</xm:sqref>
            </x14:sparkline>
            <x14:sparkline>
              <xm:f>Ratios!C28:L28</xm:f>
              <xm:sqref>M28</xm:sqref>
            </x14:sparkline>
            <x14:sparkline>
              <xm:f>Ratios!C29:L29</xm:f>
              <xm:sqref>M29</xm:sqref>
            </x14:sparkline>
            <x14:sparkline>
              <xm:f>Ratios!C30:L30</xm:f>
              <xm:sqref>M30</xm:sqref>
            </x14:sparkline>
            <x14:sparkline>
              <xm:f>Ratios!C31:L31</xm:f>
              <xm:sqref>M31</xm:sqref>
            </x14:sparkline>
            <x14:sparkline>
              <xm:f>Ratios!C32:L32</xm:f>
              <xm:sqref>M32</xm:sqref>
            </x14:sparkline>
            <x14:sparkline>
              <xm:f>Ratios!C33:L33</xm:f>
              <xm:sqref>M33</xm:sqref>
            </x14:sparkline>
            <x14:sparkline>
              <xm:f>Ratios!C34:L34</xm:f>
              <xm:sqref>M34</xm:sqref>
            </x14:sparkline>
            <x14:sparkline>
              <xm:f>Ratios!C35:L35</xm:f>
              <xm:sqref>M35</xm:sqref>
            </x14:sparkline>
            <x14:sparkline>
              <xm:f>Ratios!C36:L36</xm:f>
              <xm:sqref>M36</xm:sqref>
            </x14:sparkline>
            <x14:sparkline>
              <xm:f>Ratios!C37:L37</xm:f>
              <xm:sqref>M37</xm:sqref>
            </x14:sparkline>
            <x14:sparkline>
              <xm:f>Ratios!C38:L38</xm:f>
              <xm:sqref>M38</xm:sqref>
            </x14:sparkline>
            <x14:sparkline>
              <xm:f>Ratios!C39:L39</xm:f>
              <xm:sqref>M39</xm:sqref>
            </x14:sparkline>
            <x14:sparkline>
              <xm:f>Ratios!C40:L40</xm:f>
              <xm:sqref>M40</xm:sqref>
            </x14:sparkline>
            <x14:sparkline>
              <xm:f>Ratios!C41:L41</xm:f>
              <xm:sqref>M41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6:O41"/>
  <sheetViews>
    <sheetView showGridLines="0" zoomScale="80" zoomScaleNormal="80" workbookViewId="0">
      <selection activeCell="C19" sqref="C19"/>
    </sheetView>
  </sheetViews>
  <sheetFormatPr defaultRowHeight="15" x14ac:dyDescent="0.25"/>
  <cols>
    <col min="1" max="1" width="1.85546875" customWidth="1"/>
    <col min="2" max="2" width="40" bestFit="1" customWidth="1"/>
    <col min="3" max="3" width="10.28515625" customWidth="1"/>
    <col min="4" max="11" width="12.140625" bestFit="1" customWidth="1"/>
    <col min="12" max="12" width="13.7109375" bestFit="1" customWidth="1"/>
  </cols>
  <sheetData>
    <row r="6" spans="1:14" x14ac:dyDescent="0.25">
      <c r="B6" s="203" t="str">
        <f>"Vertical Analysis"&amp;" - "&amp;'Data Sheet'!B1</f>
        <v>Vertical Analysis - ULTRATECH CEMENT LTD</v>
      </c>
      <c r="C6" s="203"/>
      <c r="D6" s="203"/>
      <c r="E6" s="203"/>
      <c r="F6" s="203"/>
      <c r="G6" s="203"/>
      <c r="H6" s="203"/>
      <c r="I6" s="203"/>
      <c r="J6" s="203"/>
      <c r="K6" s="203"/>
      <c r="L6" s="203"/>
    </row>
    <row r="7" spans="1:14" x14ac:dyDescent="0.25">
      <c r="B7" s="105" t="s">
        <v>54</v>
      </c>
      <c r="C7" s="106">
        <f>'Data Sheet'!B16</f>
        <v>42460</v>
      </c>
      <c r="D7" s="106">
        <f>'Data Sheet'!C16</f>
        <v>42825</v>
      </c>
      <c r="E7" s="106">
        <f>'Data Sheet'!D16</f>
        <v>43190</v>
      </c>
      <c r="F7" s="106">
        <f>'Data Sheet'!E16</f>
        <v>43555</v>
      </c>
      <c r="G7" s="106">
        <f>'Data Sheet'!F16</f>
        <v>43921</v>
      </c>
      <c r="H7" s="106">
        <f>'Data Sheet'!G16</f>
        <v>44286</v>
      </c>
      <c r="I7" s="106">
        <f>'Data Sheet'!H16</f>
        <v>44651</v>
      </c>
      <c r="J7" s="106">
        <f>'Data Sheet'!I16</f>
        <v>45016</v>
      </c>
      <c r="K7" s="106">
        <f>'Data Sheet'!J16</f>
        <v>45382</v>
      </c>
      <c r="L7" s="106">
        <f>'Data Sheet'!K16</f>
        <v>45747</v>
      </c>
    </row>
    <row r="8" spans="1:14" ht="18.75" x14ac:dyDescent="0.3">
      <c r="A8" s="51" t="s">
        <v>56</v>
      </c>
      <c r="B8" s="111" t="s">
        <v>100</v>
      </c>
      <c r="C8" s="112"/>
      <c r="D8" s="112"/>
      <c r="E8" s="112"/>
      <c r="F8" s="112"/>
      <c r="G8" s="112"/>
      <c r="H8" s="112"/>
      <c r="I8" s="112"/>
      <c r="J8" s="112"/>
      <c r="K8" s="112"/>
      <c r="L8" s="112"/>
    </row>
    <row r="9" spans="1:14" x14ac:dyDescent="0.25">
      <c r="B9" s="19" t="str">
        <f>Historical_FS!B9&amp;" % Sales"</f>
        <v>Sales % Sales</v>
      </c>
      <c r="C9" s="35">
        <f>IFERROR(Historical_FS!C9/Historical_FS!C9,0)</f>
        <v>1</v>
      </c>
      <c r="D9" s="35">
        <f>IFERROR(Historical_FS!D9/Historical_FS!D9,0)</f>
        <v>1</v>
      </c>
      <c r="E9" s="35">
        <f>IFERROR(Historical_FS!E9/Historical_FS!E9,0)</f>
        <v>1</v>
      </c>
      <c r="F9" s="35">
        <f>IFERROR(Historical_FS!F9/Historical_FS!F9,0)</f>
        <v>1</v>
      </c>
      <c r="G9" s="35">
        <f>IFERROR(Historical_FS!G9/Historical_FS!G9,0)</f>
        <v>1</v>
      </c>
      <c r="H9" s="35">
        <f>IFERROR(Historical_FS!H9/Historical_FS!H9,0)</f>
        <v>1</v>
      </c>
      <c r="I9" s="35">
        <f>IFERROR(Historical_FS!I9/Historical_FS!I9,0)</f>
        <v>1</v>
      </c>
      <c r="J9" s="35">
        <f>IFERROR(Historical_FS!J9/Historical_FS!J9,0)</f>
        <v>1</v>
      </c>
      <c r="K9" s="35">
        <f>IFERROR(Historical_FS!K9/Historical_FS!K9,0)</f>
        <v>1</v>
      </c>
      <c r="L9" s="35">
        <f>IFERROR(Historical_FS!L9/Historical_FS!L9,0)</f>
        <v>1</v>
      </c>
    </row>
    <row r="10" spans="1:14" x14ac:dyDescent="0.25">
      <c r="B10" s="19"/>
      <c r="C10" s="35"/>
      <c r="D10" s="35"/>
      <c r="E10" s="35"/>
      <c r="F10" s="35"/>
      <c r="G10" s="35"/>
      <c r="H10" s="35"/>
      <c r="I10" s="35"/>
      <c r="J10" s="35"/>
      <c r="K10" s="35"/>
      <c r="L10" s="35"/>
    </row>
    <row r="11" spans="1:14" x14ac:dyDescent="0.25">
      <c r="B11" s="78" t="str">
        <f>Historical_FS!B12&amp;" % Sales"</f>
        <v>COGS % Sales</v>
      </c>
      <c r="C11" s="79">
        <f>IFERROR(Historical_FS!C13,0)</f>
        <v>0.49286413996765421</v>
      </c>
      <c r="D11" s="79">
        <f>IFERROR(Historical_FS!D13,0)</f>
        <v>0.48487287063535922</v>
      </c>
      <c r="E11" s="79">
        <f>IFERROR(Historical_FS!E13,0)</f>
        <v>0.50822760988062088</v>
      </c>
      <c r="F11" s="79">
        <f>IFERROR(Historical_FS!F13,0)</f>
        <v>0.5240843118537194</v>
      </c>
      <c r="G11" s="79">
        <f>IFERROR(Historical_FS!G13,0)</f>
        <v>0.48552730162628277</v>
      </c>
      <c r="H11" s="79">
        <f>IFERROR(Historical_FS!H13,0)</f>
        <v>0.46612246175585464</v>
      </c>
      <c r="I11" s="79">
        <f>IFERROR(Historical_FS!I13,0)</f>
        <v>0.50451540462021682</v>
      </c>
      <c r="J11" s="79">
        <f>IFERROR(Historical_FS!J13,0)</f>
        <v>0.55822171354260386</v>
      </c>
      <c r="K11" s="79">
        <f>IFERROR(Historical_FS!K13,0)</f>
        <v>0.53782823805560265</v>
      </c>
      <c r="L11" s="79">
        <f>IFERROR(Historical_FS!L13,0)</f>
        <v>0.54264590160006299</v>
      </c>
    </row>
    <row r="12" spans="1:14" x14ac:dyDescent="0.25">
      <c r="B12" s="78" t="str">
        <f>Historical_FS!B15&amp;" % Sales"</f>
        <v>Gross Profit % Sales</v>
      </c>
      <c r="C12" s="79">
        <f>IFERROR(Historical_FS!C16,0)</f>
        <v>0.50713586003234579</v>
      </c>
      <c r="D12" s="79">
        <f>IFERROR(Historical_FS!D16,0)</f>
        <v>0.51512712936464078</v>
      </c>
      <c r="E12" s="79">
        <f>IFERROR(Historical_FS!E16,0)</f>
        <v>0.49177239011937912</v>
      </c>
      <c r="F12" s="79">
        <f>IFERROR(Historical_FS!F16,0)</f>
        <v>0.4759156881462806</v>
      </c>
      <c r="G12" s="79">
        <f>IFERROR(Historical_FS!G16,0)</f>
        <v>0.51447269837371723</v>
      </c>
      <c r="H12" s="79">
        <f>IFERROR(Historical_FS!H16,0)</f>
        <v>0.53387753824414541</v>
      </c>
      <c r="I12" s="79">
        <f>IFERROR(Historical_FS!I16,0)</f>
        <v>0.49548459537978312</v>
      </c>
      <c r="J12" s="79">
        <f>IFERROR(Historical_FS!J16,0)</f>
        <v>0.44177828645739614</v>
      </c>
      <c r="K12" s="79">
        <f>IFERROR(Historical_FS!K16,0)</f>
        <v>0.46217176194439735</v>
      </c>
      <c r="L12" s="79">
        <f>IFERROR(Historical_FS!L16,0)</f>
        <v>0.45735409839993696</v>
      </c>
    </row>
    <row r="13" spans="1:14" x14ac:dyDescent="0.25">
      <c r="B13" s="78" t="str">
        <f>Historical_FS!B18&amp;" % Sales"</f>
        <v>Selling &amp; Other Exp. % Sales</v>
      </c>
      <c r="C13" s="79">
        <f>IFERROR(Historical_FS!C19,0)</f>
        <v>0.31229137876472374</v>
      </c>
      <c r="D13" s="79">
        <f>IFERROR(Historical_FS!D19,0)</f>
        <v>0.30971028897014141</v>
      </c>
      <c r="E13" s="79">
        <f>IFERROR(Historical_FS!E19,0)</f>
        <v>0.29340880904314015</v>
      </c>
      <c r="F13" s="79">
        <f>IFERROR(Historical_FS!F19,0)</f>
        <v>0.29871984788094036</v>
      </c>
      <c r="G13" s="79">
        <f>IFERROR(Historical_FS!G19,0)</f>
        <v>0.29656098566364419</v>
      </c>
      <c r="H13" s="79">
        <f>IFERROR(Historical_FS!H19,0)</f>
        <v>0.27523688788126766</v>
      </c>
      <c r="I13" s="79">
        <f>IFERROR(Historical_FS!I19,0)</f>
        <v>0.27657573371879185</v>
      </c>
      <c r="J13" s="79">
        <f>IFERROR(Historical_FS!J19,0)</f>
        <v>0.27384891646075787</v>
      </c>
      <c r="K13" s="79">
        <f>IFERROR(Historical_FS!K19,0)</f>
        <v>0.27913833306021002</v>
      </c>
      <c r="L13" s="79">
        <f>IFERROR(Historical_FS!L19,0)</f>
        <v>0.28887462900794192</v>
      </c>
      <c r="N13" s="20"/>
    </row>
    <row r="14" spans="1:14" x14ac:dyDescent="0.25">
      <c r="B14" s="78" t="str">
        <f>Historical_FS!B21&amp;" % Sales"</f>
        <v>EBITDA % Sales</v>
      </c>
      <c r="C14" s="79">
        <f>IFERROR(Historical_FS!C22,0)</f>
        <v>0.19484448126762205</v>
      </c>
      <c r="D14" s="79">
        <f>IFERROR(Historical_FS!D22,0)</f>
        <v>0.20541684039449937</v>
      </c>
      <c r="E14" s="79">
        <f>IFERROR(Historical_FS!E22,0)</f>
        <v>0.198363581076239</v>
      </c>
      <c r="F14" s="79">
        <f>IFERROR(Historical_FS!F22,0)</f>
        <v>0.17719584026534024</v>
      </c>
      <c r="G14" s="79">
        <f>IFERROR(Historical_FS!G22,0)</f>
        <v>0.21791171271007304</v>
      </c>
      <c r="H14" s="79">
        <f>IFERROR(Historical_FS!H22,0)</f>
        <v>0.25864065036287776</v>
      </c>
      <c r="I14" s="79">
        <f>IFERROR(Historical_FS!I22,0)</f>
        <v>0.21890886166099133</v>
      </c>
      <c r="J14" s="79">
        <f>IFERROR(Historical_FS!J22,0)</f>
        <v>0.16792936999663824</v>
      </c>
      <c r="K14" s="79">
        <f>IFERROR(Historical_FS!K22,0)</f>
        <v>0.1830334288841873</v>
      </c>
      <c r="L14" s="79">
        <f>IFERROR(Historical_FS!L22,0)</f>
        <v>0.16847946939199504</v>
      </c>
    </row>
    <row r="15" spans="1:14" x14ac:dyDescent="0.25">
      <c r="B15" s="78" t="str">
        <f>Historical_FS!B24&amp;" % Sales"</f>
        <v>Depreciation % Sales</v>
      </c>
      <c r="C15" s="79">
        <f>IFERROR(Historical_FS!C25,0)</f>
        <v>5.4751197062485789E-2</v>
      </c>
      <c r="D15" s="79">
        <f>IFERROR(Historical_FS!D25,0)</f>
        <v>5.3139435994725509E-2</v>
      </c>
      <c r="E15" s="79">
        <f>IFERROR(Historical_FS!E25,0)</f>
        <v>5.9651785650877934E-2</v>
      </c>
      <c r="F15" s="79">
        <f>IFERROR(Historical_FS!F25,0)</f>
        <v>5.9107487146142057E-2</v>
      </c>
      <c r="G15" s="79">
        <f>IFERROR(Historical_FS!G25,0)</f>
        <v>6.4168443519415197E-2</v>
      </c>
      <c r="H15" s="79">
        <f>IFERROR(Historical_FS!H25,0)</f>
        <v>6.0372983825890202E-2</v>
      </c>
      <c r="I15" s="79">
        <f>IFERROR(Historical_FS!I25,0)</f>
        <v>5.161236476172569E-2</v>
      </c>
      <c r="J15" s="79">
        <f>IFERROR(Historical_FS!J25,0)</f>
        <v>4.566715549245904E-2</v>
      </c>
      <c r="K15" s="79">
        <f>IFERROR(Historical_FS!K25,0)</f>
        <v>4.4357389715764653E-2</v>
      </c>
      <c r="L15" s="79">
        <f>IFERROR(Historical_FS!L25,0)</f>
        <v>5.285949744276653E-2</v>
      </c>
    </row>
    <row r="16" spans="1:14" x14ac:dyDescent="0.25">
      <c r="B16" s="78" t="str">
        <f>Historical_FS!B27&amp;" % Sales"</f>
        <v>EBIT % Sales</v>
      </c>
      <c r="C16" s="79">
        <f>IFERROR(Historical_FS!C28,0)</f>
        <v>0.14009328420513628</v>
      </c>
      <c r="D16" s="79">
        <f>IFERROR(Historical_FS!D28,0)</f>
        <v>0.15227740439977389</v>
      </c>
      <c r="E16" s="79">
        <f>IFERROR(Historical_FS!E28,0)</f>
        <v>0.13871179542536105</v>
      </c>
      <c r="F16" s="79">
        <f>IFERROR(Historical_FS!F28,0)</f>
        <v>0.11808835311919819</v>
      </c>
      <c r="G16" s="79">
        <f>IFERROR(Historical_FS!G28,0)</f>
        <v>0.15374326919065784</v>
      </c>
      <c r="H16" s="79">
        <f>IFERROR(Historical_FS!H28,0)</f>
        <v>0.19826766653698755</v>
      </c>
      <c r="I16" s="79">
        <f>IFERROR(Historical_FS!I28,0)</f>
        <v>0.16729649689926562</v>
      </c>
      <c r="J16" s="79">
        <f>IFERROR(Historical_FS!J28,0)</f>
        <v>0.12226221450417919</v>
      </c>
      <c r="K16" s="79">
        <f>IFERROR(Historical_FS!K28,0)</f>
        <v>0.13867603916842267</v>
      </c>
      <c r="L16" s="79">
        <f>IFERROR(Historical_FS!L28,0)</f>
        <v>0.11561997194922849</v>
      </c>
    </row>
    <row r="17" spans="1:15" x14ac:dyDescent="0.25">
      <c r="B17" s="78" t="str">
        <f>Historical_FS!B30&amp;" % Sales"</f>
        <v>Interest % Sales</v>
      </c>
      <c r="C17" s="79">
        <f>IFERROR(Historical_FS!C31,0)</f>
        <v>2.2513998196653787E-2</v>
      </c>
      <c r="D17" s="79">
        <f>IFERROR(Historical_FS!D31,0)</f>
        <v>2.5225675410464027E-2</v>
      </c>
      <c r="E17" s="79">
        <f>IFERROR(Historical_FS!E31,0)</f>
        <v>3.9950133350033022E-2</v>
      </c>
      <c r="F17" s="79">
        <f>IFERROR(Historical_FS!F31,0)</f>
        <v>4.2878994053869704E-2</v>
      </c>
      <c r="G17" s="79">
        <f>IFERROR(Historical_FS!G31,0)</f>
        <v>4.6939787022780406E-2</v>
      </c>
      <c r="H17" s="79">
        <f>IFERROR(Historical_FS!H31,0)</f>
        <v>3.3216845757929429E-2</v>
      </c>
      <c r="I17" s="79">
        <f>IFERROR(Historical_FS!I31,0)</f>
        <v>1.7960665664996732E-2</v>
      </c>
      <c r="J17" s="79">
        <f>IFERROR(Historical_FS!J31,0)</f>
        <v>1.3009491780357931E-2</v>
      </c>
      <c r="K17" s="79">
        <f>IFERROR(Historical_FS!K31,0)</f>
        <v>1.3651465120929698E-2</v>
      </c>
      <c r="L17" s="79">
        <f>IFERROR(Historical_FS!L31,0)</f>
        <v>2.1730461128826976E-2</v>
      </c>
      <c r="O17" s="20"/>
    </row>
    <row r="18" spans="1:15" x14ac:dyDescent="0.25">
      <c r="B18" s="78" t="str">
        <f>Historical_FS!B36&amp;" % Sales"</f>
        <v>EBT % Sales</v>
      </c>
      <c r="C18" s="79">
        <f>IFERROR(Historical_FS!C37,0)</f>
        <v>0.13601866002153207</v>
      </c>
      <c r="D18" s="79">
        <f>IFERROR(Historical_FS!D37,0)</f>
        <v>0.15259346426040804</v>
      </c>
      <c r="E18" s="79">
        <f>IFERROR(Historical_FS!E37,0)</f>
        <v>0.10657253292754805</v>
      </c>
      <c r="F18" s="79">
        <f>IFERROR(Historical_FS!F37,0)</f>
        <v>8.3653182436268708E-2</v>
      </c>
      <c r="G18" s="79">
        <f>IFERROR(Historical_FS!G37,0)</f>
        <v>0.122147853788921</v>
      </c>
      <c r="H18" s="79">
        <f>IFERROR(Historical_FS!H37,0)</f>
        <v>0.17887997531626038</v>
      </c>
      <c r="I18" s="79">
        <f>IFERROR(Historical_FS!I37,0)</f>
        <v>0.16206292041096731</v>
      </c>
      <c r="J18" s="79">
        <f>IFERROR(Historical_FS!J37,0)</f>
        <v>0.11727154246411844</v>
      </c>
      <c r="K18" s="79">
        <f>IFERROR(Historical_FS!K37,0)</f>
        <v>0.13287924348318822</v>
      </c>
      <c r="L18" s="79">
        <f>IFERROR(Historical_FS!L37,0)</f>
        <v>9.9112857814870475E-2</v>
      </c>
    </row>
    <row r="19" spans="1:15" x14ac:dyDescent="0.25">
      <c r="B19" s="78" t="str">
        <f>Historical_FS!B42&amp;" % Sales"</f>
        <v>Net Profit % Sales</v>
      </c>
      <c r="C19" s="79">
        <f>IFERROR(Historical_FS!C43,0)</f>
        <v>9.8580540717617349E-2</v>
      </c>
      <c r="D19" s="79">
        <f>IFERROR(Historical_FS!D43,0)</f>
        <v>0.10693660753483547</v>
      </c>
      <c r="E19" s="79">
        <f>IFERROR(Historical_FS!E43,0)</f>
        <v>7.1806297375415634E-2</v>
      </c>
      <c r="F19" s="79">
        <f>IFERROR(Historical_FS!F43,0)</f>
        <v>5.7893129800450006E-2</v>
      </c>
      <c r="G19" s="79">
        <f>IFERROR(Historical_FS!G43,0)</f>
        <v>0.13553841407554912</v>
      </c>
      <c r="H19" s="79">
        <f>IFERROR(Historical_FS!H43,0)</f>
        <v>0.12211855349708667</v>
      </c>
      <c r="I19" s="79">
        <f>IFERROR(Historical_FS!I43,0)</f>
        <v>0.13943770232151551</v>
      </c>
      <c r="J19" s="79">
        <f>IFERROR(Historical_FS!J43,0)</f>
        <v>8.0224566800938285E-2</v>
      </c>
      <c r="K19" s="79">
        <f>IFERROR(Historical_FS!K43,0)</f>
        <v>9.8775119471473896E-2</v>
      </c>
      <c r="L19" s="79">
        <f>IFERROR(Historical_FS!L43,0)</f>
        <v>7.9515893133222257E-2</v>
      </c>
    </row>
    <row r="21" spans="1:15" ht="18.75" x14ac:dyDescent="0.3">
      <c r="A21" s="51" t="s">
        <v>56</v>
      </c>
      <c r="B21" s="111" t="s">
        <v>101</v>
      </c>
      <c r="C21" s="112"/>
      <c r="D21" s="112"/>
      <c r="E21" s="112"/>
      <c r="F21" s="112"/>
      <c r="G21" s="112"/>
      <c r="H21" s="112"/>
      <c r="I21" s="112"/>
      <c r="J21" s="112"/>
      <c r="K21" s="112"/>
      <c r="L21" s="112"/>
    </row>
    <row r="22" spans="1:15" x14ac:dyDescent="0.25">
      <c r="B22" s="19" t="str">
        <f>Historical_FS!B76&amp;" % Total Assets"</f>
        <v>Total Assets % Total Assets</v>
      </c>
      <c r="C22" s="35">
        <f>IFERROR(Historical_FS!C76/Historical_FS!C76,0)</f>
        <v>1</v>
      </c>
      <c r="D22" s="35">
        <f>IFERROR(Historical_FS!D76/Historical_FS!D76,0)</f>
        <v>1</v>
      </c>
      <c r="E22" s="35">
        <f>IFERROR(Historical_FS!E76/Historical_FS!E76,0)</f>
        <v>1</v>
      </c>
      <c r="F22" s="35">
        <f>IFERROR(Historical_FS!F76/Historical_FS!F76,0)</f>
        <v>1</v>
      </c>
      <c r="G22" s="35">
        <f>IFERROR(Historical_FS!G76/Historical_FS!G76,0)</f>
        <v>1</v>
      </c>
      <c r="H22" s="35">
        <f>IFERROR(Historical_FS!H76/Historical_FS!H76,0)</f>
        <v>1</v>
      </c>
      <c r="I22" s="35">
        <f>IFERROR(Historical_FS!I76/Historical_FS!I76,0)</f>
        <v>1</v>
      </c>
      <c r="J22" s="35">
        <f>IFERROR(Historical_FS!J76/Historical_FS!J76,0)</f>
        <v>1</v>
      </c>
      <c r="K22" s="35">
        <f>IFERROR(Historical_FS!K76/Historical_FS!K76,0)</f>
        <v>1</v>
      </c>
      <c r="L22" s="35">
        <f>IFERROR(Historical_FS!L76/Historical_FS!L76,0)</f>
        <v>1</v>
      </c>
    </row>
    <row r="23" spans="1:15" x14ac:dyDescent="0.25">
      <c r="B23" s="19"/>
      <c r="C23" s="35"/>
      <c r="D23" s="35"/>
      <c r="E23" s="35"/>
      <c r="F23" s="35"/>
      <c r="G23" s="35"/>
      <c r="H23" s="35"/>
      <c r="I23" s="35"/>
      <c r="J23" s="35"/>
      <c r="K23" s="35"/>
      <c r="L23" s="35"/>
    </row>
    <row r="24" spans="1:15" x14ac:dyDescent="0.25">
      <c r="B24" s="78" t="str">
        <f>Historical_FS!B64&amp;" % Total Assets"</f>
        <v>Net Block % Total Assets</v>
      </c>
      <c r="C24" s="79">
        <f>IFERROR(Historical_FS!C64/Historical_FS!C$76,0)</f>
        <v>0.61440906015593377</v>
      </c>
      <c r="D24" s="79">
        <f>IFERROR(Historical_FS!D64/Historical_FS!D$76,0)</f>
        <v>0.61370045471226475</v>
      </c>
      <c r="E24" s="79">
        <f>IFERROR(Historical_FS!E64/Historical_FS!E$76,0)</f>
        <v>0.6950392440886235</v>
      </c>
      <c r="F24" s="79">
        <f>IFERROR(Historical_FS!F64/Historical_FS!F$76,0)</f>
        <v>0.74020707119743423</v>
      </c>
      <c r="G24" s="79">
        <f>IFERROR(Historical_FS!G64/Historical_FS!G$76,0)</f>
        <v>0.72147722726630625</v>
      </c>
      <c r="H24" s="79">
        <f>IFERROR(Historical_FS!H64/Historical_FS!H$76,0)</f>
        <v>0.64300251751205528</v>
      </c>
      <c r="I24" s="79">
        <f>IFERROR(Historical_FS!I64/Historical_FS!I$76,0)</f>
        <v>0.66205245966421777</v>
      </c>
      <c r="J24" s="79">
        <f>IFERROR(Historical_FS!J64/Historical_FS!J$76,0)</f>
        <v>0.65198882911433964</v>
      </c>
      <c r="K24" s="79">
        <f>IFERROR(Historical_FS!K64/Historical_FS!K$76,0)</f>
        <v>0.62380369834016069</v>
      </c>
      <c r="L24" s="79">
        <f>IFERROR(Historical_FS!L64/Historical_FS!L$76,0)</f>
        <v>0.7076462040621091</v>
      </c>
    </row>
    <row r="25" spans="1:15" x14ac:dyDescent="0.25">
      <c r="B25" s="78" t="str">
        <f>Historical_FS!B65&amp;" % Total Assets"</f>
        <v>Capital Work in Progress % Total Assets</v>
      </c>
      <c r="C25" s="79">
        <f>IFERROR(Historical_FS!C65/Historical_FS!C$76,0)</f>
        <v>3.5663488384343883E-2</v>
      </c>
      <c r="D25" s="79">
        <f>IFERROR(Historical_FS!D65/Historical_FS!D$76,0)</f>
        <v>2.1831306085345083E-2</v>
      </c>
      <c r="E25" s="79">
        <f>IFERROR(Historical_FS!E65/Historical_FS!E$76,0)</f>
        <v>2.6446992873254603E-2</v>
      </c>
      <c r="F25" s="79">
        <f>IFERROR(Historical_FS!F65/Historical_FS!F$76,0)</f>
        <v>1.5071080348909124E-2</v>
      </c>
      <c r="G25" s="79">
        <f>IFERROR(Historical_FS!G65/Historical_FS!G$76,0)</f>
        <v>1.1608960609267501E-2</v>
      </c>
      <c r="H25" s="79">
        <f>IFERROR(Historical_FS!H65/Historical_FS!H$76,0)</f>
        <v>1.9572423292469457E-2</v>
      </c>
      <c r="I25" s="79">
        <f>IFERROR(Historical_FS!I65/Historical_FS!I$76,0)</f>
        <v>5.708850724912972E-2</v>
      </c>
      <c r="J25" s="79">
        <f>IFERROR(Historical_FS!J65/Historical_FS!J$76,0)</f>
        <v>4.4215061435493828E-2</v>
      </c>
      <c r="K25" s="79">
        <f>IFERROR(Historical_FS!K65/Historical_FS!K$76,0)</f>
        <v>6.7573167524346681E-2</v>
      </c>
      <c r="L25" s="79">
        <f>IFERROR(Historical_FS!L65/Historical_FS!L$76,0)</f>
        <v>4.665190374226065E-2</v>
      </c>
    </row>
    <row r="26" spans="1:15" x14ac:dyDescent="0.25">
      <c r="B26" s="78" t="str">
        <f>Historical_FS!B66&amp;" % Total Assets"</f>
        <v>Investments % Total Assets</v>
      </c>
      <c r="C26" s="79">
        <f>IFERROR(Historical_FS!C66/Historical_FS!C$76,0)</f>
        <v>0.12369010254384775</v>
      </c>
      <c r="D26" s="79">
        <f>IFERROR(Historical_FS!D66/Historical_FS!D$76,0)</f>
        <v>0.1585086726538418</v>
      </c>
      <c r="E26" s="79">
        <f>IFERROR(Historical_FS!E66/Historical_FS!E$76,0)</f>
        <v>9.5323697885357092E-2</v>
      </c>
      <c r="F26" s="79">
        <f>IFERROR(Historical_FS!F66/Historical_FS!F$76,0)</f>
        <v>3.8174660246660677E-2</v>
      </c>
      <c r="G26" s="79">
        <f>IFERROR(Historical_FS!G66/Historical_FS!G$76,0)</f>
        <v>7.4844146494152969E-2</v>
      </c>
      <c r="H26" s="79">
        <f>IFERROR(Historical_FS!H66/Historical_FS!H$76,0)</f>
        <v>0.14131614996457847</v>
      </c>
      <c r="I26" s="79">
        <f>IFERROR(Historical_FS!I66/Historical_FS!I$76,0)</f>
        <v>7.5595527293171455E-2</v>
      </c>
      <c r="J26" s="79">
        <f>IFERROR(Historical_FS!J66/Historical_FS!J$76,0)</f>
        <v>7.9852462891385909E-2</v>
      </c>
      <c r="K26" s="79">
        <f>IFERROR(Historical_FS!K66/Historical_FS!K$76,0)</f>
        <v>8.1837167752130999E-2</v>
      </c>
      <c r="L26" s="79">
        <f>IFERROR(Historical_FS!L66/Historical_FS!L$76,0)</f>
        <v>3.8587072593208552E-2</v>
      </c>
    </row>
    <row r="27" spans="1:15" x14ac:dyDescent="0.25">
      <c r="B27" s="78" t="str">
        <f>Historical_FS!B67&amp;" % Total Assets"</f>
        <v>Other Assets % Total Assets</v>
      </c>
      <c r="C27" s="79">
        <f>IFERROR(Historical_FS!C67/Historical_FS!C$76,0)</f>
        <v>6.4808653680190689E-2</v>
      </c>
      <c r="D27" s="79">
        <f>IFERROR(Historical_FS!D67/Historical_FS!D$76,0)</f>
        <v>5.4179299208156735E-2</v>
      </c>
      <c r="E27" s="79">
        <f>IFERROR(Historical_FS!E67/Historical_FS!E$76,0)</f>
        <v>8.3309401343236542E-2</v>
      </c>
      <c r="F27" s="79">
        <f>IFERROR(Historical_FS!F67/Historical_FS!F$76,0)</f>
        <v>0.10689827438926462</v>
      </c>
      <c r="G27" s="79">
        <f>IFERROR(Historical_FS!G67/Historical_FS!G$76,0)</f>
        <v>0.10235702587717975</v>
      </c>
      <c r="H27" s="79">
        <f>IFERROR(Historical_FS!H67/Historical_FS!H$76,0)</f>
        <v>9.6345459049959781E-2</v>
      </c>
      <c r="I27" s="79">
        <f>IFERROR(Historical_FS!I67/Historical_FS!I$76,0)</f>
        <v>9.7564962491993937E-2</v>
      </c>
      <c r="J27" s="79">
        <f>IFERROR(Historical_FS!J67/Historical_FS!J$76,0)</f>
        <v>9.6690537576985883E-2</v>
      </c>
      <c r="K27" s="79">
        <f>IFERROR(Historical_FS!K67/Historical_FS!K$76,0)</f>
        <v>9.393384393659697E-2</v>
      </c>
      <c r="L27" s="79">
        <f>IFERROR(Historical_FS!L67/Historical_FS!L$76,0)</f>
        <v>7.8952835120554163E-2</v>
      </c>
      <c r="N27" s="20"/>
    </row>
    <row r="28" spans="1:15" x14ac:dyDescent="0.25">
      <c r="B28" s="78" t="str">
        <f>Historical_FS!B68&amp;" % Total Assets"</f>
        <v>Total Non Current Assets % Total Assets</v>
      </c>
      <c r="C28" s="79">
        <f>IFERROR(Historical_FS!C68/Historical_FS!C$76,0)</f>
        <v>0.83857130476431618</v>
      </c>
      <c r="D28" s="79">
        <f>IFERROR(Historical_FS!D68/Historical_FS!D$76,0)</f>
        <v>0.84821973265960826</v>
      </c>
      <c r="E28" s="79">
        <f>IFERROR(Historical_FS!E68/Historical_FS!E$76,0)</f>
        <v>0.90011933619047169</v>
      </c>
      <c r="F28" s="79">
        <f>IFERROR(Historical_FS!F68/Historical_FS!F$76,0)</f>
        <v>0.90035108618226878</v>
      </c>
      <c r="G28" s="79">
        <f>IFERROR(Historical_FS!G68/Historical_FS!G$76,0)</f>
        <v>0.91028736024690649</v>
      </c>
      <c r="H28" s="79">
        <f>IFERROR(Historical_FS!H68/Historical_FS!H$76,0)</f>
        <v>0.90023654981906287</v>
      </c>
      <c r="I28" s="79">
        <f>IFERROR(Historical_FS!I68/Historical_FS!I$76,0)</f>
        <v>0.8923014566985128</v>
      </c>
      <c r="J28" s="79">
        <f>IFERROR(Historical_FS!J68/Historical_FS!J$76,0)</f>
        <v>0.87274689101820513</v>
      </c>
      <c r="K28" s="79">
        <f>IFERROR(Historical_FS!K68/Historical_FS!K$76,0)</f>
        <v>0.86714787755323541</v>
      </c>
      <c r="L28" s="79">
        <f>IFERROR(Historical_FS!L68/Historical_FS!L$76,0)</f>
        <v>0.87183801551813245</v>
      </c>
    </row>
    <row r="29" spans="1:15" x14ac:dyDescent="0.25">
      <c r="B29" s="78" t="str">
        <f>Historical_FS!B71&amp;" % Total Assets"</f>
        <v>Receivables % Total Assets</v>
      </c>
      <c r="C29" s="79">
        <f>IFERROR(Historical_FS!C71/Historical_FS!C$76,0)</f>
        <v>4.6809041609142892E-2</v>
      </c>
      <c r="D29" s="79">
        <f>IFERROR(Historical_FS!D71/Historical_FS!D$76,0)</f>
        <v>4.162821722609171E-2</v>
      </c>
      <c r="E29" s="79">
        <f>IFERROR(Historical_FS!E71/Historical_FS!E$76,0)</f>
        <v>3.8862226814364235E-2</v>
      </c>
      <c r="F29" s="79">
        <f>IFERROR(Historical_FS!F71/Historical_FS!F$76,0)</f>
        <v>3.6419686699979366E-2</v>
      </c>
      <c r="G29" s="79">
        <f>IFERROR(Historical_FS!G71/Historical_FS!G$76,0)</f>
        <v>3.0085915574569636E-2</v>
      </c>
      <c r="H29" s="79">
        <f>IFERROR(Historical_FS!H71/Historical_FS!H$76,0)</f>
        <v>2.9842642441922876E-2</v>
      </c>
      <c r="I29" s="79">
        <f>IFERROR(Historical_FS!I71/Historical_FS!I$76,0)</f>
        <v>3.6649054114808198E-2</v>
      </c>
      <c r="J29" s="79">
        <f>IFERROR(Historical_FS!J71/Historical_FS!J$76,0)</f>
        <v>4.2317827455340538E-2</v>
      </c>
      <c r="K29" s="79">
        <f>IFERROR(Historical_FS!K71/Historical_FS!K$76,0)</f>
        <v>4.244328036785975E-2</v>
      </c>
      <c r="L29" s="79">
        <f>IFERROR(Historical_FS!L71/Historical_FS!L$76,0)</f>
        <v>4.4078120175652463E-2</v>
      </c>
    </row>
    <row r="30" spans="1:15" x14ac:dyDescent="0.25">
      <c r="B30" s="78" t="str">
        <f>Historical_FS!B72&amp;" % Total Assets"</f>
        <v>Inventory % Total Assets</v>
      </c>
      <c r="C30" s="79">
        <f>IFERROR(Historical_FS!C72/Historical_FS!C$76,0)</f>
        <v>5.9587149404354271E-2</v>
      </c>
      <c r="D30" s="79">
        <f>IFERROR(Historical_FS!D72/Historical_FS!D$76,0)</f>
        <v>5.6874925815777681E-2</v>
      </c>
      <c r="E30" s="79">
        <f>IFERROR(Historical_FS!E72/Historical_FS!E$76,0)</f>
        <v>5.7184593433551929E-2</v>
      </c>
      <c r="F30" s="79">
        <f>IFERROR(Historical_FS!F72/Historical_FS!F$76,0)</f>
        <v>5.3563413022374141E-2</v>
      </c>
      <c r="G30" s="79">
        <f>IFERROR(Historical_FS!G72/Historical_FS!G$76,0)</f>
        <v>5.28108671960104E-2</v>
      </c>
      <c r="H30" s="79">
        <f>IFERROR(Historical_FS!H72/Historical_FS!H$76,0)</f>
        <v>4.6624973092965767E-2</v>
      </c>
      <c r="I30" s="79">
        <f>IFERROR(Historical_FS!I72/Historical_FS!I$76,0)</f>
        <v>6.676391671590419E-2</v>
      </c>
      <c r="J30" s="79">
        <f>IFERROR(Historical_FS!J72/Historical_FS!J$76,0)</f>
        <v>7.2355012672301725E-2</v>
      </c>
      <c r="K30" s="79">
        <f>IFERROR(Historical_FS!K72/Historical_FS!K$76,0)</f>
        <v>8.2638678827200496E-2</v>
      </c>
      <c r="L30" s="79">
        <f>IFERROR(Historical_FS!L72/Historical_FS!L$76,0)</f>
        <v>7.1562018874811922E-2</v>
      </c>
    </row>
    <row r="31" spans="1:15" x14ac:dyDescent="0.25">
      <c r="B31" s="78" t="str">
        <f>Historical_FS!B73&amp;" % Total Assets"</f>
        <v>Cash &amp; Bank % Total Assets</v>
      </c>
      <c r="C31" s="79">
        <f>IFERROR(Historical_FS!C73/Historical_FS!C$76,0)</f>
        <v>5.5032504222186675E-2</v>
      </c>
      <c r="D31" s="79">
        <f>IFERROR(Historical_FS!D73/Historical_FS!D$76,0)</f>
        <v>5.3277124298522292E-2</v>
      </c>
      <c r="E31" s="79">
        <f>IFERROR(Historical_FS!E73/Historical_FS!E$76,0)</f>
        <v>3.8338435616121426E-3</v>
      </c>
      <c r="F31" s="79">
        <f>IFERROR(Historical_FS!F73/Historical_FS!F$76,0)</f>
        <v>9.6658140953777786E-3</v>
      </c>
      <c r="G31" s="79">
        <f>IFERROR(Historical_FS!G73/Historical_FS!G$76,0)</f>
        <v>6.8158569825135283E-3</v>
      </c>
      <c r="H31" s="79">
        <f>IFERROR(Historical_FS!H73/Historical_FS!H$76,0)</f>
        <v>2.3295834646048483E-2</v>
      </c>
      <c r="I31" s="79">
        <f>IFERROR(Historical_FS!I73/Historical_FS!I$76,0)</f>
        <v>4.2855724707748736E-3</v>
      </c>
      <c r="J31" s="79">
        <f>IFERROR(Historical_FS!J73/Historical_FS!J$76,0)</f>
        <v>1.2580268854152532E-2</v>
      </c>
      <c r="K31" s="79">
        <f>IFERROR(Historical_FS!K73/Historical_FS!K$76,0)</f>
        <v>7.7701632517043397E-3</v>
      </c>
      <c r="L31" s="79">
        <f>IFERROR(Historical_FS!L73/Historical_FS!L$76,0)</f>
        <v>1.2521845431403212E-2</v>
      </c>
    </row>
    <row r="32" spans="1:15" x14ac:dyDescent="0.25">
      <c r="B32" s="78" t="str">
        <f>Historical_FS!B74&amp;" % Total Assets"</f>
        <v>Total Current Assets % Total Assets</v>
      </c>
      <c r="C32" s="79">
        <f>IFERROR(Historical_FS!C74/Historical_FS!C$76,0)</f>
        <v>0.16142869523568382</v>
      </c>
      <c r="D32" s="79">
        <f>IFERROR(Historical_FS!D74/Historical_FS!D$76,0)</f>
        <v>0.15178026734039168</v>
      </c>
      <c r="E32" s="79">
        <f>IFERROR(Historical_FS!E74/Historical_FS!E$76,0)</f>
        <v>9.98806638095283E-2</v>
      </c>
      <c r="F32" s="79">
        <f>IFERROR(Historical_FS!F74/Historical_FS!F$76,0)</f>
        <v>9.9648913817731291E-2</v>
      </c>
      <c r="G32" s="79">
        <f>IFERROR(Historical_FS!G74/Historical_FS!G$76,0)</f>
        <v>8.9712639753093557E-2</v>
      </c>
      <c r="H32" s="79">
        <f>IFERROR(Historical_FS!H74/Historical_FS!H$76,0)</f>
        <v>9.976345018093713E-2</v>
      </c>
      <c r="I32" s="79">
        <f>IFERROR(Historical_FS!I74/Historical_FS!I$76,0)</f>
        <v>0.10769854330148727</v>
      </c>
      <c r="J32" s="79">
        <f>IFERROR(Historical_FS!J74/Historical_FS!J$76,0)</f>
        <v>0.12725310898179479</v>
      </c>
      <c r="K32" s="79">
        <f>IFERROR(Historical_FS!K74/Historical_FS!K$76,0)</f>
        <v>0.13285212244676459</v>
      </c>
      <c r="L32" s="79">
        <f>IFERROR(Historical_FS!L74/Historical_FS!L$76,0)</f>
        <v>0.12816198448186761</v>
      </c>
    </row>
    <row r="34" spans="1:12" ht="18.75" x14ac:dyDescent="0.3">
      <c r="A34" s="51" t="s">
        <v>56</v>
      </c>
      <c r="B34" s="111" t="s">
        <v>102</v>
      </c>
      <c r="C34" s="112"/>
      <c r="D34" s="112"/>
      <c r="E34" s="112"/>
      <c r="F34" s="112"/>
      <c r="G34" s="112"/>
      <c r="H34" s="112"/>
      <c r="I34" s="112"/>
      <c r="J34" s="112"/>
      <c r="K34" s="112"/>
      <c r="L34" s="112"/>
    </row>
    <row r="35" spans="1:12" x14ac:dyDescent="0.25">
      <c r="B35" s="36" t="s">
        <v>103</v>
      </c>
      <c r="C35" s="44">
        <f>IFERROR(Historical_FS!C59+Historical_FS!C60,0)</f>
        <v>19247.48</v>
      </c>
      <c r="D35" s="44">
        <f>IFERROR(Historical_FS!D59+Historical_FS!D60,0)</f>
        <v>17817.22</v>
      </c>
      <c r="E35" s="44">
        <f>IFERROR(Historical_FS!E59+Historical_FS!E60,0)</f>
        <v>30759.93</v>
      </c>
      <c r="F35" s="44">
        <f>IFERROR(Historical_FS!F59+Historical_FS!F60,0)</f>
        <v>42774.720000000001</v>
      </c>
      <c r="G35" s="44">
        <f>IFERROR(Historical_FS!G59+Historical_FS!G60,0)</f>
        <v>40170.050000000003</v>
      </c>
      <c r="H35" s="44">
        <f>IFERROR(Historical_FS!H59+Historical_FS!H60,0)</f>
        <v>42001.67</v>
      </c>
      <c r="I35" s="44">
        <f>IFERROR(Historical_FS!I59+Historical_FS!I60,0)</f>
        <v>33376.17</v>
      </c>
      <c r="J35" s="44">
        <f>IFERROR(Historical_FS!J59+Historical_FS!J60,0)</f>
        <v>37055.86</v>
      </c>
      <c r="K35" s="44">
        <f>IFERROR(Historical_FS!K59+Historical_FS!K60,0)</f>
        <v>40569.630000000005</v>
      </c>
      <c r="L35" s="44">
        <f>IFERROR(Historical_FS!L59+Historical_FS!L60,0)</f>
        <v>62925.29</v>
      </c>
    </row>
    <row r="36" spans="1:12" x14ac:dyDescent="0.25">
      <c r="B36" s="19" t="str">
        <f>B35&amp;" % Total Liabilities"</f>
        <v>Total Liabilities % Total Liabilities</v>
      </c>
      <c r="C36" s="35">
        <f>IFERROR(C35/C35,0)</f>
        <v>1</v>
      </c>
      <c r="D36" s="35">
        <f t="shared" ref="D36:L36" si="0">IFERROR(D35/D35,0)</f>
        <v>1</v>
      </c>
      <c r="E36" s="35">
        <f t="shared" si="0"/>
        <v>1</v>
      </c>
      <c r="F36" s="35">
        <f t="shared" si="0"/>
        <v>1</v>
      </c>
      <c r="G36" s="35">
        <f t="shared" si="0"/>
        <v>1</v>
      </c>
      <c r="H36" s="35">
        <f t="shared" si="0"/>
        <v>1</v>
      </c>
      <c r="I36" s="35">
        <f t="shared" si="0"/>
        <v>1</v>
      </c>
      <c r="J36" s="35">
        <f t="shared" si="0"/>
        <v>1</v>
      </c>
      <c r="K36" s="35">
        <f t="shared" si="0"/>
        <v>1</v>
      </c>
      <c r="L36" s="35">
        <f t="shared" si="0"/>
        <v>1</v>
      </c>
    </row>
    <row r="37" spans="1:12" x14ac:dyDescent="0.25">
      <c r="B37" s="20"/>
      <c r="C37" s="34"/>
      <c r="D37" s="34"/>
      <c r="E37" s="34"/>
      <c r="F37" s="34"/>
      <c r="G37" s="34"/>
      <c r="H37" s="34"/>
      <c r="I37" s="34"/>
      <c r="J37" s="34"/>
      <c r="K37" s="34"/>
      <c r="L37" s="34"/>
    </row>
    <row r="38" spans="1:12" x14ac:dyDescent="0.25">
      <c r="B38" s="78" t="str">
        <f>Historical_FS!B57&amp;" % Total Liabilities"</f>
        <v>Equity Share Capital % Total Liabilities</v>
      </c>
      <c r="C38" s="79">
        <f>IFERROR(Historical_FS!C57/Vertical!C$35,0)</f>
        <v>1.4257970394046389E-2</v>
      </c>
      <c r="D38" s="79">
        <f>IFERROR(Historical_FS!D57/Vertical!D$35,0)</f>
        <v>1.5407005133236272E-2</v>
      </c>
      <c r="E38" s="79">
        <f>IFERROR(Historical_FS!E57/Vertical!E$35,0)</f>
        <v>8.9275235671862716E-3</v>
      </c>
      <c r="F38" s="79">
        <f>IFERROR(Historical_FS!F57/Vertical!F$35,0)</f>
        <v>6.4206147930366345E-3</v>
      </c>
      <c r="G38" s="79">
        <f>IFERROR(Historical_FS!G57/Vertical!G$35,0)</f>
        <v>7.1852039019119959E-3</v>
      </c>
      <c r="H38" s="79">
        <f>IFERROR(Historical_FS!H57/Vertical!H$35,0)</f>
        <v>6.8723457900602518E-3</v>
      </c>
      <c r="I38" s="79">
        <f>IFERROR(Historical_FS!I57/Vertical!I$35,0)</f>
        <v>8.6489851891334447E-3</v>
      </c>
      <c r="J38" s="79">
        <f>IFERROR(Historical_FS!J57/Vertical!J$35,0)</f>
        <v>7.7906706253747715E-3</v>
      </c>
      <c r="K38" s="79">
        <f>IFERROR(Historical_FS!K57/Vertical!K$35,0)</f>
        <v>7.1159140470346896E-3</v>
      </c>
      <c r="L38" s="79">
        <f>IFERROR(Historical_FS!L57/Vertical!L$35,0)</f>
        <v>4.6830137771315793E-3</v>
      </c>
    </row>
    <row r="39" spans="1:12" x14ac:dyDescent="0.25">
      <c r="B39" s="78" t="str">
        <f>Historical_FS!B58&amp;" % Total Liabilities"</f>
        <v>Reserves % Total Liabilities</v>
      </c>
      <c r="C39" s="79">
        <f>IFERROR(Historical_FS!C58/Vertical!C$35,0)</f>
        <v>1.1259240170661302</v>
      </c>
      <c r="D39" s="79">
        <f>IFERROR(Historical_FS!D58/Vertical!D$35,0)</f>
        <v>1.3535994953196964</v>
      </c>
      <c r="E39" s="79">
        <f>IFERROR(Historical_FS!E58/Vertical!E$35,0)</f>
        <v>0.84871942166318326</v>
      </c>
      <c r="F39" s="79">
        <f>IFERROR(Historical_FS!F58/Vertical!F$35,0)</f>
        <v>0.78261201943577896</v>
      </c>
      <c r="G39" s="79">
        <f>IFERROR(Historical_FS!G58/Vertical!G$35,0)</f>
        <v>0.96477674287186588</v>
      </c>
      <c r="H39" s="79">
        <f>IFERROR(Historical_FS!H58/Vertical!H$35,0)</f>
        <v>1.0448639304103862</v>
      </c>
      <c r="I39" s="79">
        <f>IFERROR(Historical_FS!I58/Vertical!I$35,0)</f>
        <v>1.5024671794277176</v>
      </c>
      <c r="J39" s="79">
        <f>IFERROR(Historical_FS!J58/Vertical!J$35,0)</f>
        <v>1.4582268499503181</v>
      </c>
      <c r="K39" s="79">
        <f>IFERROR(Historical_FS!K58/Vertical!K$35,0)</f>
        <v>1.4774300381837349</v>
      </c>
      <c r="L39" s="79">
        <f>IFERROR(Historical_FS!L58/Vertical!L$35,0)</f>
        <v>1.1189791894483123</v>
      </c>
    </row>
    <row r="40" spans="1:12" x14ac:dyDescent="0.25">
      <c r="B40" s="78" t="str">
        <f>Historical_FS!B59&amp;" % Total Liabilities"</f>
        <v>Borrowings % Total Liabilities</v>
      </c>
      <c r="C40" s="79">
        <f>IFERROR(Historical_FS!C59/Vertical!C$35,0)</f>
        <v>0.55155220319750953</v>
      </c>
      <c r="D40" s="79">
        <f>IFERROR(Historical_FS!D59/Vertical!D$35,0)</f>
        <v>0.47563480722581858</v>
      </c>
      <c r="E40" s="79">
        <f>IFERROR(Historical_FS!E59/Vertical!E$35,0)</f>
        <v>0.63329858032836883</v>
      </c>
      <c r="F40" s="79">
        <f>IFERROR(Historical_FS!F59/Vertical!F$35,0)</f>
        <v>0.5923358469675547</v>
      </c>
      <c r="G40" s="79">
        <f>IFERROR(Historical_FS!G59/Vertical!G$35,0)</f>
        <v>0.57303787274349915</v>
      </c>
      <c r="H40" s="79">
        <f>IFERROR(Historical_FS!H59/Vertical!H$35,0)</f>
        <v>0.51710777214334569</v>
      </c>
      <c r="I40" s="79">
        <f>IFERROR(Historical_FS!I59/Vertical!I$35,0)</f>
        <v>0.3385289564380814</v>
      </c>
      <c r="J40" s="79">
        <f>IFERROR(Historical_FS!J59/Vertical!J$35,0)</f>
        <v>0.29840732343008636</v>
      </c>
      <c r="K40" s="79">
        <f>IFERROR(Historical_FS!K59/Vertical!K$35,0)</f>
        <v>0.28107108691895882</v>
      </c>
      <c r="L40" s="79">
        <f>IFERROR(Historical_FS!L59/Vertical!L$35,0)</f>
        <v>0.38302850888728524</v>
      </c>
    </row>
    <row r="41" spans="1:12" x14ac:dyDescent="0.25">
      <c r="B41" s="78" t="str">
        <f>Historical_FS!B60&amp;" % Total Liabilities"</f>
        <v>Other Liabilities % Total Liabilities</v>
      </c>
      <c r="C41" s="79">
        <f>IFERROR(Historical_FS!C60/Vertical!C$35,0)</f>
        <v>0.44844779680249053</v>
      </c>
      <c r="D41" s="79">
        <f>IFERROR(Historical_FS!D60/Vertical!D$35,0)</f>
        <v>0.52436519277418137</v>
      </c>
      <c r="E41" s="79">
        <f>IFERROR(Historical_FS!E60/Vertical!E$35,0)</f>
        <v>0.36670141967163122</v>
      </c>
      <c r="F41" s="79">
        <f>IFERROR(Historical_FS!F60/Vertical!F$35,0)</f>
        <v>0.40766415303244535</v>
      </c>
      <c r="G41" s="79">
        <f>IFERROR(Historical_FS!G60/Vertical!G$35,0)</f>
        <v>0.42696212725650079</v>
      </c>
      <c r="H41" s="79">
        <f>IFERROR(Historical_FS!H60/Vertical!H$35,0)</f>
        <v>0.48289222785665425</v>
      </c>
      <c r="I41" s="79">
        <f>IFERROR(Historical_FS!I60/Vertical!I$35,0)</f>
        <v>0.66147104356191855</v>
      </c>
      <c r="J41" s="79">
        <f>IFERROR(Historical_FS!J60/Vertical!J$35,0)</f>
        <v>0.70159267656991364</v>
      </c>
      <c r="K41" s="79">
        <f>IFERROR(Historical_FS!K60/Vertical!K$35,0)</f>
        <v>0.71892891308104112</v>
      </c>
      <c r="L41" s="79">
        <f>IFERROR(Historical_FS!L60/Vertical!L$35,0)</f>
        <v>0.61697149111271476</v>
      </c>
    </row>
  </sheetData>
  <mergeCells count="1">
    <mergeCell ref="B6:L6"/>
  </mergeCells>
  <pageMargins left="0.7" right="0.7" top="0.75" bottom="0.75" header="0.3" footer="0.3"/>
  <pageSetup scale="62"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6:N86"/>
  <sheetViews>
    <sheetView showGridLines="0" zoomScale="80" zoomScaleNormal="80" workbookViewId="0">
      <pane ySplit="7" topLeftCell="A8" activePane="bottomLeft" state="frozen"/>
      <selection pane="bottomLeft" activeCell="H15" sqref="H15"/>
    </sheetView>
  </sheetViews>
  <sheetFormatPr defaultRowHeight="15" x14ac:dyDescent="0.25"/>
  <cols>
    <col min="1" max="1" width="1.85546875" customWidth="1"/>
    <col min="2" max="2" width="34.28515625" customWidth="1"/>
    <col min="3" max="10" width="12.7109375" customWidth="1"/>
    <col min="11" max="12" width="13.7109375" bestFit="1" customWidth="1"/>
    <col min="13" max="13" width="14.28515625" customWidth="1"/>
  </cols>
  <sheetData>
    <row r="6" spans="1:14" x14ac:dyDescent="0.25">
      <c r="B6" s="203" t="str">
        <f>"Horizontal Analysis"&amp;" - "&amp;'Data Sheet'!B1</f>
        <v>Horizontal Analysis - ULTRATECH CEMENT LTD</v>
      </c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4" x14ac:dyDescent="0.25">
      <c r="B7" s="105" t="s">
        <v>54</v>
      </c>
      <c r="C7" s="106">
        <f>'Data Sheet'!B16</f>
        <v>42460</v>
      </c>
      <c r="D7" s="106">
        <f>'Data Sheet'!C16</f>
        <v>42825</v>
      </c>
      <c r="E7" s="106">
        <f>'Data Sheet'!D16</f>
        <v>43190</v>
      </c>
      <c r="F7" s="106">
        <f>'Data Sheet'!E16</f>
        <v>43555</v>
      </c>
      <c r="G7" s="106">
        <f>'Data Sheet'!F16</f>
        <v>43921</v>
      </c>
      <c r="H7" s="106">
        <f>'Data Sheet'!G16</f>
        <v>44286</v>
      </c>
      <c r="I7" s="106">
        <f>'Data Sheet'!H16</f>
        <v>44651</v>
      </c>
      <c r="J7" s="106">
        <f>'Data Sheet'!I16</f>
        <v>45016</v>
      </c>
      <c r="K7" s="106">
        <f>'Data Sheet'!J16</f>
        <v>45382</v>
      </c>
      <c r="L7" s="106">
        <f>'Data Sheet'!K16</f>
        <v>45747</v>
      </c>
      <c r="M7" s="110" t="s">
        <v>115</v>
      </c>
    </row>
    <row r="8" spans="1:14" ht="18.75" x14ac:dyDescent="0.3">
      <c r="A8" s="51" t="s">
        <v>56</v>
      </c>
      <c r="B8" s="111" t="s">
        <v>104</v>
      </c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</row>
    <row r="9" spans="1:14" s="15" customFormat="1" ht="15" customHeight="1" x14ac:dyDescent="0.3">
      <c r="B9" s="42"/>
      <c r="C9" s="43"/>
      <c r="D9" s="43"/>
      <c r="E9" s="43"/>
      <c r="F9" s="43"/>
      <c r="G9" s="43"/>
      <c r="H9" s="43"/>
      <c r="I9" s="43"/>
      <c r="J9" s="43"/>
      <c r="K9" s="43"/>
      <c r="L9" s="43"/>
    </row>
    <row r="10" spans="1:14" x14ac:dyDescent="0.25">
      <c r="B10" s="9" t="str">
        <f>Historical_FS!B9</f>
        <v>Sales</v>
      </c>
      <c r="C10" s="27">
        <f>IFERROR(Historical_FS!C9,0)</f>
        <v>25153.24</v>
      </c>
      <c r="D10" s="27">
        <f>IFERROR(Historical_FS!D9,0)</f>
        <v>25374.94</v>
      </c>
      <c r="E10" s="27">
        <f>IFERROR(Historical_FS!E9,0)</f>
        <v>30978.62</v>
      </c>
      <c r="F10" s="27">
        <f>IFERROR(Historical_FS!F9,0)</f>
        <v>41462.26</v>
      </c>
      <c r="G10" s="27">
        <f>IFERROR(Historical_FS!G9,0)</f>
        <v>42429.89</v>
      </c>
      <c r="H10" s="27">
        <f>IFERROR(Historical_FS!H9,0)</f>
        <v>44725.8</v>
      </c>
      <c r="I10" s="27">
        <f>IFERROR(Historical_FS!I9,0)</f>
        <v>52598.83</v>
      </c>
      <c r="J10" s="27">
        <f>IFERROR(Historical_FS!J9,0)</f>
        <v>63239.98</v>
      </c>
      <c r="K10" s="27">
        <f>IFERROR(Historical_FS!K9,0)</f>
        <v>70908.14</v>
      </c>
      <c r="L10" s="27">
        <f>IFERROR(Historical_FS!L9,0)</f>
        <v>75955.13</v>
      </c>
    </row>
    <row r="11" spans="1:14" x14ac:dyDescent="0.25">
      <c r="B11" s="19" t="str">
        <f>B10&amp;" Growth"</f>
        <v>Sales Growth</v>
      </c>
      <c r="C11" s="39" t="str">
        <f t="shared" ref="C11:K11" si="0">IFERROR((C10/B10)-1,"-")</f>
        <v>-</v>
      </c>
      <c r="D11" s="35">
        <f t="shared" si="0"/>
        <v>8.8139738657921907E-3</v>
      </c>
      <c r="E11" s="35">
        <f t="shared" si="0"/>
        <v>0.22083520197486184</v>
      </c>
      <c r="F11" s="35">
        <f t="shared" si="0"/>
        <v>0.33841533289733383</v>
      </c>
      <c r="G11" s="35">
        <f t="shared" si="0"/>
        <v>2.3337608707291846E-2</v>
      </c>
      <c r="H11" s="35">
        <f t="shared" si="0"/>
        <v>5.4110675281034304E-2</v>
      </c>
      <c r="I11" s="35">
        <f t="shared" si="0"/>
        <v>0.17602882452633595</v>
      </c>
      <c r="J11" s="35">
        <f t="shared" si="0"/>
        <v>0.20230773194004503</v>
      </c>
      <c r="K11" s="35">
        <f t="shared" si="0"/>
        <v>0.12125494030833028</v>
      </c>
      <c r="L11" s="35">
        <f>IFERROR((L10/K10)-1,"-")</f>
        <v>7.117645449450527E-2</v>
      </c>
      <c r="N11" s="20"/>
    </row>
    <row r="12" spans="1:14" x14ac:dyDescent="0.25">
      <c r="B12" s="9" t="str">
        <f>Historical_FS!B12</f>
        <v>COGS</v>
      </c>
      <c r="C12" s="27">
        <f>IFERROR(Historical_FS!C12,0)</f>
        <v>12397.13</v>
      </c>
      <c r="D12" s="27">
        <f>IFERROR(Historical_FS!D12,0)</f>
        <v>12303.62</v>
      </c>
      <c r="E12" s="27">
        <f>IFERROR(Historical_FS!E12,0)</f>
        <v>15744.189999999999</v>
      </c>
      <c r="F12" s="27">
        <f>IFERROR(Historical_FS!F12,0)</f>
        <v>21729.719999999998</v>
      </c>
      <c r="G12" s="27">
        <f>IFERROR(Historical_FS!G12,0)</f>
        <v>20600.87</v>
      </c>
      <c r="H12" s="27">
        <f>IFERROR(Historical_FS!H12,0)</f>
        <v>20847.700000000004</v>
      </c>
      <c r="I12" s="27">
        <f>IFERROR(Historical_FS!I12,0)</f>
        <v>26536.920000000002</v>
      </c>
      <c r="J12" s="27">
        <f>IFERROR(Historical_FS!J12,0)</f>
        <v>35301.93</v>
      </c>
      <c r="K12" s="27">
        <f>IFERROR(Historical_FS!K12,0)</f>
        <v>38136.400000000001</v>
      </c>
      <c r="L12" s="27">
        <f>IFERROR(Historical_FS!L12,0)</f>
        <v>41216.74</v>
      </c>
    </row>
    <row r="13" spans="1:14" x14ac:dyDescent="0.25">
      <c r="B13" s="19" t="str">
        <f>B12&amp;" Growth"</f>
        <v>COGS Growth</v>
      </c>
      <c r="C13" s="37" t="str">
        <f t="shared" ref="C13:K13" si="1">IFERROR((C12/B12)-1,"-")</f>
        <v>-</v>
      </c>
      <c r="D13" s="35">
        <f t="shared" si="1"/>
        <v>-7.5428748428062464E-3</v>
      </c>
      <c r="E13" s="35">
        <f t="shared" si="1"/>
        <v>0.27963883800052325</v>
      </c>
      <c r="F13" s="35">
        <f t="shared" si="1"/>
        <v>0.38017389271852031</v>
      </c>
      <c r="G13" s="35">
        <f t="shared" si="1"/>
        <v>-5.1949587937626385E-2</v>
      </c>
      <c r="H13" s="35">
        <f t="shared" si="1"/>
        <v>1.1981532818759799E-2</v>
      </c>
      <c r="I13" s="35">
        <f t="shared" si="1"/>
        <v>0.27289437204104039</v>
      </c>
      <c r="J13" s="35">
        <f t="shared" si="1"/>
        <v>0.33029492495738011</v>
      </c>
      <c r="K13" s="35">
        <f t="shared" si="1"/>
        <v>8.0292210652505469E-2</v>
      </c>
      <c r="L13" s="35">
        <f>IFERROR((L12/K12)-1,"-")</f>
        <v>8.0771651230844954E-2</v>
      </c>
    </row>
    <row r="14" spans="1:14" x14ac:dyDescent="0.25">
      <c r="B14" s="9" t="str">
        <f>Historical_FS!B15</f>
        <v>Gross Profit</v>
      </c>
      <c r="C14" s="27">
        <f>IFERROR(Historical_FS!C15,0)</f>
        <v>12756.110000000002</v>
      </c>
      <c r="D14" s="27">
        <f>IFERROR(Historical_FS!D15,0)</f>
        <v>13071.319999999998</v>
      </c>
      <c r="E14" s="27">
        <f>IFERROR(Historical_FS!E15,0)</f>
        <v>15234.43</v>
      </c>
      <c r="F14" s="27">
        <f>IFERROR(Historical_FS!F15,0)</f>
        <v>19732.540000000005</v>
      </c>
      <c r="G14" s="27">
        <f>IFERROR(Historical_FS!G15,0)</f>
        <v>21829.02</v>
      </c>
      <c r="H14" s="27">
        <f>IFERROR(Historical_FS!H15,0)</f>
        <v>23878.1</v>
      </c>
      <c r="I14" s="27">
        <f>IFERROR(Historical_FS!I15,0)</f>
        <v>26061.91</v>
      </c>
      <c r="J14" s="27">
        <f>IFERROR(Historical_FS!J15,0)</f>
        <v>27938.050000000003</v>
      </c>
      <c r="K14" s="27">
        <f>IFERROR(Historical_FS!K15,0)</f>
        <v>32771.74</v>
      </c>
      <c r="L14" s="27">
        <f>IFERROR(Historical_FS!L15,0)</f>
        <v>34738.390000000007</v>
      </c>
    </row>
    <row r="15" spans="1:14" x14ac:dyDescent="0.25">
      <c r="B15" s="19" t="str">
        <f>B14&amp;" Growth"</f>
        <v>Gross Profit Growth</v>
      </c>
      <c r="C15" s="37" t="str">
        <f t="shared" ref="C15:K15" si="2">IFERROR((C14/B14)-1,"-")</f>
        <v>-</v>
      </c>
      <c r="D15" s="35">
        <f t="shared" si="2"/>
        <v>2.4710511276556435E-2</v>
      </c>
      <c r="E15" s="35">
        <f t="shared" si="2"/>
        <v>0.16548519965848918</v>
      </c>
      <c r="F15" s="35">
        <f t="shared" si="2"/>
        <v>0.29525948788369538</v>
      </c>
      <c r="G15" s="35">
        <f t="shared" si="2"/>
        <v>0.10624481186912549</v>
      </c>
      <c r="H15" s="35">
        <f t="shared" si="2"/>
        <v>9.3869536974174661E-2</v>
      </c>
      <c r="I15" s="35">
        <f t="shared" si="2"/>
        <v>9.1456606681436181E-2</v>
      </c>
      <c r="J15" s="35">
        <f t="shared" si="2"/>
        <v>7.1987816702613339E-2</v>
      </c>
      <c r="K15" s="35">
        <f t="shared" si="2"/>
        <v>0.17301458047358342</v>
      </c>
      <c r="L15" s="35">
        <f>IFERROR((L14/K14)-1,"-")</f>
        <v>6.0010545671362214E-2</v>
      </c>
    </row>
    <row r="16" spans="1:14" x14ac:dyDescent="0.25">
      <c r="B16" s="9" t="str">
        <f>Historical_FS!B18</f>
        <v>Selling &amp; Other Exp.</v>
      </c>
      <c r="C16" s="27">
        <f>Historical_FS!C18</f>
        <v>7855.14</v>
      </c>
      <c r="D16" s="27">
        <f>Historical_FS!D18</f>
        <v>7858.88</v>
      </c>
      <c r="E16" s="27">
        <f>Historical_FS!E18</f>
        <v>9089.4000000000015</v>
      </c>
      <c r="F16" s="27">
        <f>Historical_FS!F18</f>
        <v>12385.599999999999</v>
      </c>
      <c r="G16" s="27">
        <f>Historical_FS!G18</f>
        <v>12583.05</v>
      </c>
      <c r="H16" s="27">
        <f>Historical_FS!H18</f>
        <v>12310.19</v>
      </c>
      <c r="I16" s="27">
        <f>Historical_FS!I18</f>
        <v>14547.56</v>
      </c>
      <c r="J16" s="27">
        <f>Historical_FS!J18</f>
        <v>17318.2</v>
      </c>
      <c r="K16" s="27">
        <f>Historical_FS!K18</f>
        <v>19793.18</v>
      </c>
      <c r="L16" s="27">
        <f>Historical_FS!L18</f>
        <v>21941.510000000002</v>
      </c>
      <c r="M16" s="25"/>
    </row>
    <row r="17" spans="1:12" x14ac:dyDescent="0.25">
      <c r="B17" s="19" t="str">
        <f>B16&amp;" Growth"</f>
        <v>Selling &amp; Other Exp. Growth</v>
      </c>
      <c r="C17" s="37" t="str">
        <f t="shared" ref="C17:K17" si="3">IFERROR((C16/B16)-1,"-")</f>
        <v>-</v>
      </c>
      <c r="D17" s="35">
        <f t="shared" si="3"/>
        <v>4.7612136766495006E-4</v>
      </c>
      <c r="E17" s="35">
        <f t="shared" si="3"/>
        <v>0.1565770186082498</v>
      </c>
      <c r="F17" s="35">
        <f t="shared" si="3"/>
        <v>0.36264219860496794</v>
      </c>
      <c r="G17" s="35">
        <f t="shared" si="3"/>
        <v>1.5941900271282838E-2</v>
      </c>
      <c r="H17" s="35">
        <f t="shared" si="3"/>
        <v>-2.1684726675964772E-2</v>
      </c>
      <c r="I17" s="35">
        <f t="shared" si="3"/>
        <v>0.18174942872530786</v>
      </c>
      <c r="J17" s="35">
        <f t="shared" si="3"/>
        <v>0.19045393179337311</v>
      </c>
      <c r="K17" s="35">
        <f t="shared" si="3"/>
        <v>0.14291208093219843</v>
      </c>
      <c r="L17" s="35">
        <f>IFERROR((L16/K16)-1,"-")</f>
        <v>0.10853890077289252</v>
      </c>
    </row>
    <row r="18" spans="1:12" x14ac:dyDescent="0.25">
      <c r="B18" s="9" t="str">
        <f>Historical_FS!B21</f>
        <v>EBITDA</v>
      </c>
      <c r="C18" s="27">
        <f>Historical_FS!C21</f>
        <v>4900.9700000000021</v>
      </c>
      <c r="D18" s="27">
        <f>Historical_FS!D21</f>
        <v>5212.4399999999978</v>
      </c>
      <c r="E18" s="27">
        <f>Historical_FS!E21</f>
        <v>6145.0299999999988</v>
      </c>
      <c r="F18" s="27">
        <f>Historical_FS!F21</f>
        <v>7346.940000000006</v>
      </c>
      <c r="G18" s="27">
        <f>Historical_FS!G21</f>
        <v>9245.9700000000012</v>
      </c>
      <c r="H18" s="27">
        <f>Historical_FS!H21</f>
        <v>11567.909999999998</v>
      </c>
      <c r="I18" s="27">
        <f>Historical_FS!I21</f>
        <v>11514.35</v>
      </c>
      <c r="J18" s="27">
        <f>Historical_FS!J21</f>
        <v>10619.850000000002</v>
      </c>
      <c r="K18" s="27">
        <f>Historical_FS!K21</f>
        <v>12978.559999999998</v>
      </c>
      <c r="L18" s="27">
        <f>Historical_FS!L21</f>
        <v>12796.880000000005</v>
      </c>
    </row>
    <row r="19" spans="1:12" x14ac:dyDescent="0.25">
      <c r="B19" s="19" t="str">
        <f>B18&amp;" Growth"</f>
        <v>EBITDA Growth</v>
      </c>
      <c r="C19" s="37" t="str">
        <f t="shared" ref="C19:K19" si="4">IFERROR((C18/B18)-1,"-")</f>
        <v>-</v>
      </c>
      <c r="D19" s="35">
        <f t="shared" si="4"/>
        <v>6.3552725276831978E-2</v>
      </c>
      <c r="E19" s="35">
        <f t="shared" si="4"/>
        <v>0.17891620814819964</v>
      </c>
      <c r="F19" s="35">
        <f t="shared" si="4"/>
        <v>0.19559058295891263</v>
      </c>
      <c r="G19" s="35">
        <f t="shared" si="4"/>
        <v>0.25847904025349244</v>
      </c>
      <c r="H19" s="35">
        <f t="shared" si="4"/>
        <v>0.25112995175195207</v>
      </c>
      <c r="I19" s="35">
        <f t="shared" si="4"/>
        <v>-4.6300498534305179E-3</v>
      </c>
      <c r="J19" s="35">
        <f t="shared" si="4"/>
        <v>-7.7685670489432646E-2</v>
      </c>
      <c r="K19" s="35">
        <f t="shared" si="4"/>
        <v>0.22210389035626643</v>
      </c>
      <c r="L19" s="35">
        <f>IFERROR((L18/K18)-1,"-")</f>
        <v>-1.3998471325015527E-2</v>
      </c>
    </row>
    <row r="20" spans="1:12" x14ac:dyDescent="0.25">
      <c r="B20" s="9" t="str">
        <f>Historical_FS!B24</f>
        <v>Depreciation</v>
      </c>
      <c r="C20" s="27">
        <f>Historical_FS!C24</f>
        <v>1377.17</v>
      </c>
      <c r="D20" s="27">
        <f>Historical_FS!D24</f>
        <v>1348.41</v>
      </c>
      <c r="E20" s="27">
        <f>Historical_FS!E24</f>
        <v>1847.93</v>
      </c>
      <c r="F20" s="27">
        <f>Historical_FS!F24</f>
        <v>2450.73</v>
      </c>
      <c r="G20" s="27">
        <f>Historical_FS!G24</f>
        <v>2722.66</v>
      </c>
      <c r="H20" s="27">
        <f>Historical_FS!H24</f>
        <v>2700.23</v>
      </c>
      <c r="I20" s="27">
        <f>Historical_FS!I24</f>
        <v>2714.75</v>
      </c>
      <c r="J20" s="27">
        <f>Historical_FS!J24</f>
        <v>2887.99</v>
      </c>
      <c r="K20" s="27">
        <f>Historical_FS!K24</f>
        <v>3145.3</v>
      </c>
      <c r="L20" s="27">
        <f>Historical_FS!L24</f>
        <v>4014.95</v>
      </c>
    </row>
    <row r="21" spans="1:12" x14ac:dyDescent="0.25">
      <c r="B21" s="19" t="str">
        <f>B20&amp;" Growth"</f>
        <v>Depreciation Growth</v>
      </c>
      <c r="C21" s="37" t="str">
        <f t="shared" ref="C21:K21" si="5">IFERROR((C20/B20)-1,"-")</f>
        <v>-</v>
      </c>
      <c r="D21" s="35">
        <f t="shared" si="5"/>
        <v>-2.0883405824988932E-2</v>
      </c>
      <c r="E21" s="35">
        <f t="shared" si="5"/>
        <v>0.37045112391631618</v>
      </c>
      <c r="F21" s="35">
        <f t="shared" si="5"/>
        <v>0.32620283235836856</v>
      </c>
      <c r="G21" s="35">
        <f t="shared" si="5"/>
        <v>0.11095877554850997</v>
      </c>
      <c r="H21" s="35">
        <f t="shared" si="5"/>
        <v>-8.2382669889005111E-3</v>
      </c>
      <c r="I21" s="35">
        <f t="shared" si="5"/>
        <v>5.3773197098025971E-3</v>
      </c>
      <c r="J21" s="35">
        <f t="shared" si="5"/>
        <v>6.3814347545814387E-2</v>
      </c>
      <c r="K21" s="35">
        <f t="shared" si="5"/>
        <v>8.909656889393669E-2</v>
      </c>
      <c r="L21" s="35">
        <f>IFERROR((L20/K20)-1,"-")</f>
        <v>0.27649190856198125</v>
      </c>
    </row>
    <row r="22" spans="1:12" x14ac:dyDescent="0.25">
      <c r="A22" s="40"/>
      <c r="B22" s="9" t="str">
        <f>Historical_FS!B27</f>
        <v>EBIT</v>
      </c>
      <c r="C22" s="27">
        <f>Historical_FS!C27</f>
        <v>3523.800000000002</v>
      </c>
      <c r="D22" s="27">
        <f>Historical_FS!D27</f>
        <v>3864.0299999999979</v>
      </c>
      <c r="E22" s="27">
        <f>Historical_FS!E27</f>
        <v>4297.0999999999985</v>
      </c>
      <c r="F22" s="27">
        <f>Historical_FS!F27</f>
        <v>4896.2100000000064</v>
      </c>
      <c r="G22" s="27">
        <f>Historical_FS!G27</f>
        <v>6523.3100000000013</v>
      </c>
      <c r="H22" s="27">
        <f>Historical_FS!H27</f>
        <v>8867.6799999999985</v>
      </c>
      <c r="I22" s="27">
        <f>Historical_FS!I27</f>
        <v>8799.6</v>
      </c>
      <c r="J22" s="27">
        <f>Historical_FS!J27</f>
        <v>7731.8600000000024</v>
      </c>
      <c r="K22" s="27">
        <f>Historical_FS!K27</f>
        <v>9833.2599999999984</v>
      </c>
      <c r="L22" s="27">
        <f>Historical_FS!L27</f>
        <v>8781.9300000000039</v>
      </c>
    </row>
    <row r="23" spans="1:12" x14ac:dyDescent="0.25">
      <c r="B23" s="19" t="str">
        <f>B22&amp;" Growth"</f>
        <v>EBIT Growth</v>
      </c>
      <c r="C23" s="37" t="str">
        <f t="shared" ref="C23:K23" si="6">IFERROR((C22/B22)-1,"-")</f>
        <v>-</v>
      </c>
      <c r="D23" s="35">
        <f t="shared" si="6"/>
        <v>9.6552017708154692E-2</v>
      </c>
      <c r="E23" s="35">
        <f t="shared" si="6"/>
        <v>0.11207728718462362</v>
      </c>
      <c r="F23" s="35">
        <f t="shared" si="6"/>
        <v>0.13942193572409489</v>
      </c>
      <c r="G23" s="35">
        <f t="shared" si="6"/>
        <v>0.3323182624928247</v>
      </c>
      <c r="H23" s="35">
        <f t="shared" si="6"/>
        <v>0.35938350316020506</v>
      </c>
      <c r="I23" s="35">
        <f t="shared" si="6"/>
        <v>-7.6773180809409647E-3</v>
      </c>
      <c r="J23" s="35">
        <f t="shared" si="6"/>
        <v>-0.1213396063457427</v>
      </c>
      <c r="K23" s="35">
        <f t="shared" si="6"/>
        <v>0.27178453826116811</v>
      </c>
      <c r="L23" s="35">
        <f>IFERROR((L22/K22)-1,"-")</f>
        <v>-0.10691571259175436</v>
      </c>
    </row>
    <row r="24" spans="1:12" x14ac:dyDescent="0.25">
      <c r="B24" s="9" t="str">
        <f>Historical_FS!B30</f>
        <v>Interest</v>
      </c>
      <c r="C24" s="27">
        <f>Historical_FS!C30</f>
        <v>566.29999999999995</v>
      </c>
      <c r="D24" s="27">
        <f>Historical_FS!D30</f>
        <v>640.1</v>
      </c>
      <c r="E24" s="27">
        <f>Historical_FS!E30</f>
        <v>1237.5999999999999</v>
      </c>
      <c r="F24" s="27">
        <f>Historical_FS!F30</f>
        <v>1777.86</v>
      </c>
      <c r="G24" s="27">
        <f>Historical_FS!G30</f>
        <v>1991.65</v>
      </c>
      <c r="H24" s="27">
        <f>Historical_FS!H30</f>
        <v>1485.65</v>
      </c>
      <c r="I24" s="27">
        <f>Historical_FS!I30</f>
        <v>944.71</v>
      </c>
      <c r="J24" s="27">
        <f>Historical_FS!J30</f>
        <v>822.72</v>
      </c>
      <c r="K24" s="27">
        <f>Historical_FS!K30</f>
        <v>968</v>
      </c>
      <c r="L24" s="27">
        <f>Historical_FS!L30</f>
        <v>1650.54</v>
      </c>
    </row>
    <row r="25" spans="1:12" x14ac:dyDescent="0.25">
      <c r="B25" s="19" t="str">
        <f>B24&amp;" Growth"</f>
        <v>Interest Growth</v>
      </c>
      <c r="C25" s="37" t="str">
        <f t="shared" ref="C25:K25" si="7">IFERROR((C24/B24)-1,"-")</f>
        <v>-</v>
      </c>
      <c r="D25" s="35">
        <f t="shared" si="7"/>
        <v>0.13031961857672614</v>
      </c>
      <c r="E25" s="35">
        <f t="shared" si="7"/>
        <v>0.93344789876581769</v>
      </c>
      <c r="F25" s="35">
        <f t="shared" si="7"/>
        <v>0.43653846153846154</v>
      </c>
      <c r="G25" s="35">
        <f t="shared" si="7"/>
        <v>0.12025131337675643</v>
      </c>
      <c r="H25" s="35">
        <f t="shared" si="7"/>
        <v>-0.25406070343684883</v>
      </c>
      <c r="I25" s="35">
        <f t="shared" si="7"/>
        <v>-0.36410998552821994</v>
      </c>
      <c r="J25" s="35">
        <f t="shared" si="7"/>
        <v>-0.12912957415503168</v>
      </c>
      <c r="K25" s="35">
        <f t="shared" si="7"/>
        <v>0.17658498638662001</v>
      </c>
      <c r="L25" s="35">
        <f>IFERROR((L24/K24)-1,"-")</f>
        <v>0.70510330578512392</v>
      </c>
    </row>
    <row r="26" spans="1:12" x14ac:dyDescent="0.25">
      <c r="B26" s="9" t="str">
        <f>Historical_FS!B36</f>
        <v>EBT</v>
      </c>
      <c r="C26" s="27">
        <f>Historical_FS!C36</f>
        <v>3421.3100000000018</v>
      </c>
      <c r="D26" s="27">
        <f>Historical_FS!D36</f>
        <v>3872.0499999999979</v>
      </c>
      <c r="E26" s="27">
        <f>Historical_FS!E36</f>
        <v>3301.4699999999984</v>
      </c>
      <c r="F26" s="27">
        <f>Historical_FS!F36</f>
        <v>3468.4500000000066</v>
      </c>
      <c r="G26" s="27">
        <f>Historical_FS!G36</f>
        <v>5182.7200000000012</v>
      </c>
      <c r="H26" s="27">
        <f>Historical_FS!H36</f>
        <v>8000.5499999999993</v>
      </c>
      <c r="I26" s="27">
        <f>Historical_FS!I36</f>
        <v>8524.32</v>
      </c>
      <c r="J26" s="27">
        <f>Historical_FS!J36</f>
        <v>7416.2500000000018</v>
      </c>
      <c r="K26" s="27">
        <f>Historical_FS!K36</f>
        <v>9422.2199999999975</v>
      </c>
      <c r="L26" s="27">
        <f>Historical_FS!L36</f>
        <v>7528.1300000000037</v>
      </c>
    </row>
    <row r="27" spans="1:12" x14ac:dyDescent="0.25">
      <c r="B27" s="19" t="str">
        <f>B26&amp;" Growth"</f>
        <v>EBT Growth</v>
      </c>
      <c r="C27" s="37" t="str">
        <f t="shared" ref="C27:K27" si="8">IFERROR((C26/B26)-1,"-")</f>
        <v>-</v>
      </c>
      <c r="D27" s="35">
        <f t="shared" si="8"/>
        <v>0.13174485796376123</v>
      </c>
      <c r="E27" s="35">
        <f t="shared" si="8"/>
        <v>-0.14735863431515595</v>
      </c>
      <c r="F27" s="35">
        <f t="shared" si="8"/>
        <v>5.0577470036077266E-2</v>
      </c>
      <c r="G27" s="35">
        <f t="shared" si="8"/>
        <v>0.49424670962533446</v>
      </c>
      <c r="H27" s="35">
        <f t="shared" si="8"/>
        <v>0.54369713200790271</v>
      </c>
      <c r="I27" s="35">
        <f t="shared" si="8"/>
        <v>6.5466749160995263E-2</v>
      </c>
      <c r="J27" s="35">
        <f t="shared" si="8"/>
        <v>-0.12998925427482755</v>
      </c>
      <c r="K27" s="35">
        <f t="shared" si="8"/>
        <v>0.2704830608461144</v>
      </c>
      <c r="L27" s="35">
        <f>IFERROR((L26/K26)-1,"-")</f>
        <v>-0.20102375024144992</v>
      </c>
    </row>
    <row r="28" spans="1:12" x14ac:dyDescent="0.25">
      <c r="B28" s="9" t="str">
        <f>Historical_FS!B39</f>
        <v>Tax</v>
      </c>
      <c r="C28" s="27">
        <f>Historical_FS!C39</f>
        <v>941.69</v>
      </c>
      <c r="D28" s="27">
        <f>Historical_FS!D39</f>
        <v>1158.54</v>
      </c>
      <c r="E28" s="27">
        <f>Historical_FS!E39</f>
        <v>1077.01</v>
      </c>
      <c r="F28" s="27">
        <f>Historical_FS!F39</f>
        <v>1068.07</v>
      </c>
      <c r="G28" s="27">
        <f>Historical_FS!G39</f>
        <v>-568.16</v>
      </c>
      <c r="H28" s="27">
        <f>Historical_FS!H39</f>
        <v>2538.6999999999998</v>
      </c>
      <c r="I28" s="27">
        <f>Historical_FS!I39</f>
        <v>1190.06</v>
      </c>
      <c r="J28" s="27">
        <f>Historical_FS!J39</f>
        <v>2342.85</v>
      </c>
      <c r="K28" s="27">
        <f>Historical_FS!K39</f>
        <v>2418.2600000000002</v>
      </c>
      <c r="L28" s="27">
        <f>Historical_FS!L39</f>
        <v>1488.49</v>
      </c>
    </row>
    <row r="29" spans="1:12" x14ac:dyDescent="0.25">
      <c r="B29" s="19" t="str">
        <f>B28&amp;" Growth"</f>
        <v>Tax Growth</v>
      </c>
      <c r="C29" s="37" t="str">
        <f t="shared" ref="C29:K29" si="9">IFERROR((C28/B28)-1,"-")</f>
        <v>-</v>
      </c>
      <c r="D29" s="35">
        <f t="shared" si="9"/>
        <v>0.23027747985005664</v>
      </c>
      <c r="E29" s="35">
        <f t="shared" si="9"/>
        <v>-7.0373055742572577E-2</v>
      </c>
      <c r="F29" s="35">
        <f t="shared" si="9"/>
        <v>-8.3007585816288199E-3</v>
      </c>
      <c r="G29" s="35">
        <f t="shared" si="9"/>
        <v>-1.5319501530798543</v>
      </c>
      <c r="H29" s="35">
        <f t="shared" si="9"/>
        <v>-5.4682835820895521</v>
      </c>
      <c r="I29" s="35">
        <f t="shared" si="9"/>
        <v>-0.53123252058139991</v>
      </c>
      <c r="J29" s="35">
        <f t="shared" si="9"/>
        <v>0.96868225131505969</v>
      </c>
      <c r="K29" s="35">
        <f t="shared" si="9"/>
        <v>3.2187293253942872E-2</v>
      </c>
      <c r="L29" s="35">
        <f>IFERROR((L28/K28)-1,"-")</f>
        <v>-0.38447892286189245</v>
      </c>
    </row>
    <row r="30" spans="1:12" x14ac:dyDescent="0.25">
      <c r="B30" s="9" t="str">
        <f>Historical_FS!B42</f>
        <v>Net Profit</v>
      </c>
      <c r="C30" s="27">
        <f>Historical_FS!C42</f>
        <v>2479.6200000000017</v>
      </c>
      <c r="D30" s="27">
        <f>Historical_FS!D42</f>
        <v>2713.5099999999979</v>
      </c>
      <c r="E30" s="27">
        <f>Historical_FS!E42</f>
        <v>2224.4599999999982</v>
      </c>
      <c r="F30" s="27">
        <f>Historical_FS!F42</f>
        <v>2400.3800000000065</v>
      </c>
      <c r="G30" s="27">
        <f>Historical_FS!G42</f>
        <v>5750.880000000001</v>
      </c>
      <c r="H30" s="27">
        <f>Historical_FS!H42</f>
        <v>5461.8499999999995</v>
      </c>
      <c r="I30" s="27">
        <f>Historical_FS!I42</f>
        <v>7334.26</v>
      </c>
      <c r="J30" s="27">
        <f>Historical_FS!J42</f>
        <v>5073.4000000000015</v>
      </c>
      <c r="K30" s="27">
        <f>Historical_FS!K42</f>
        <v>7003.9599999999973</v>
      </c>
      <c r="L30" s="27">
        <f>Historical_FS!L42</f>
        <v>6039.640000000004</v>
      </c>
    </row>
    <row r="31" spans="1:12" x14ac:dyDescent="0.25">
      <c r="B31" s="19" t="str">
        <f>B30&amp;" Growth"</f>
        <v>Net Profit Growth</v>
      </c>
      <c r="C31" s="37" t="str">
        <f t="shared" ref="C31:K31" si="10">IFERROR((C30/B30)-1,"-")</f>
        <v>-</v>
      </c>
      <c r="D31" s="35">
        <f t="shared" si="10"/>
        <v>9.4324936885489041E-2</v>
      </c>
      <c r="E31" s="35">
        <f t="shared" si="10"/>
        <v>-0.1802278230041533</v>
      </c>
      <c r="F31" s="35">
        <f t="shared" si="10"/>
        <v>7.9084362047421974E-2</v>
      </c>
      <c r="G31" s="35">
        <f t="shared" si="10"/>
        <v>1.3958206617285538</v>
      </c>
      <c r="H31" s="35">
        <f t="shared" si="10"/>
        <v>-5.0258395236903119E-2</v>
      </c>
      <c r="I31" s="35">
        <f t="shared" si="10"/>
        <v>0.34281607880113896</v>
      </c>
      <c r="J31" s="35">
        <f t="shared" si="10"/>
        <v>-0.30826013803710239</v>
      </c>
      <c r="K31" s="35">
        <f t="shared" si="10"/>
        <v>0.38052588008041854</v>
      </c>
      <c r="L31" s="35">
        <f>IFERROR((L30/K30)-1,"-")</f>
        <v>-0.13768211126277041</v>
      </c>
    </row>
    <row r="32" spans="1:12" x14ac:dyDescent="0.25">
      <c r="B32" s="20"/>
      <c r="D32" s="38" t="str">
        <f>IFERROR(IF(AND(C30&lt;0,D30&gt;0),"Profit Swing",IF(AND(C30&gt;0,D30&lt;0),"Loss-Making",IF(C30=0,"-","-"))),0)</f>
        <v>-</v>
      </c>
    </row>
    <row r="33" spans="1:13" x14ac:dyDescent="0.25">
      <c r="B33" s="9" t="str">
        <f>Historical_FS!B47</f>
        <v>Earnings Per Share</v>
      </c>
      <c r="C33" s="27">
        <f>Historical_FS!C47</f>
        <v>90.365160349854293</v>
      </c>
      <c r="D33" s="27">
        <f>Historical_FS!D47</f>
        <v>98.852823315118329</v>
      </c>
      <c r="E33" s="27">
        <f>Historical_FS!E47</f>
        <v>81.007283321194393</v>
      </c>
      <c r="F33" s="27">
        <f>Historical_FS!F47</f>
        <v>87.41369264384582</v>
      </c>
      <c r="G33" s="27">
        <f>Historical_FS!G47</f>
        <v>199.26819126819132</v>
      </c>
      <c r="H33" s="27">
        <f>Historical_FS!H47</f>
        <v>189.18773813647383</v>
      </c>
      <c r="I33" s="27">
        <f>Historical_FS!I47</f>
        <v>254.04433668167647</v>
      </c>
      <c r="J33" s="27">
        <f>Historical_FS!J47</f>
        <v>175.73259438863877</v>
      </c>
      <c r="K33" s="27">
        <f>Historical_FS!K47</f>
        <v>242.60339452719074</v>
      </c>
      <c r="L33" s="27">
        <f>Historical_FS!L47</f>
        <v>204.94197488971849</v>
      </c>
    </row>
    <row r="34" spans="1:13" x14ac:dyDescent="0.25">
      <c r="B34" s="19" t="str">
        <f>B33&amp;" Growth"</f>
        <v>Earnings Per Share Growth</v>
      </c>
      <c r="C34" s="37" t="str">
        <f t="shared" ref="C34:K34" si="11">IFERROR((C33/B33)-1,"-")</f>
        <v>-</v>
      </c>
      <c r="D34" s="35">
        <f t="shared" si="11"/>
        <v>9.3926275706295748E-2</v>
      </c>
      <c r="E34" s="35">
        <f t="shared" si="11"/>
        <v>-0.18052635620772073</v>
      </c>
      <c r="F34" s="35">
        <f t="shared" si="11"/>
        <v>7.9084362047421974E-2</v>
      </c>
      <c r="G34" s="35">
        <f t="shared" si="11"/>
        <v>1.2795992852067255</v>
      </c>
      <c r="H34" s="35">
        <f t="shared" si="11"/>
        <v>-5.0587367043194553E-2</v>
      </c>
      <c r="I34" s="35">
        <f t="shared" si="11"/>
        <v>0.34281607880113896</v>
      </c>
      <c r="J34" s="35">
        <f t="shared" si="11"/>
        <v>-0.30826013803710239</v>
      </c>
      <c r="K34" s="35">
        <f t="shared" si="11"/>
        <v>0.38052588008041832</v>
      </c>
      <c r="L34" s="35">
        <f>IFERROR((L33/K33)-1,"-")</f>
        <v>-0.15523863427744078</v>
      </c>
    </row>
    <row r="35" spans="1:13" x14ac:dyDescent="0.25">
      <c r="D35" s="41" t="str">
        <f>Historical_FS!D49</f>
        <v>-</v>
      </c>
    </row>
    <row r="36" spans="1:13" x14ac:dyDescent="0.25">
      <c r="B36" s="9" t="str">
        <f>Historical_FS!B51</f>
        <v>Dividend Per Share</v>
      </c>
      <c r="C36" s="27">
        <f>Historical_FS!C51</f>
        <v>9.5010932944606399</v>
      </c>
      <c r="D36" s="27">
        <f>Historical_FS!D51</f>
        <v>10.000364298724955</v>
      </c>
      <c r="E36" s="27">
        <f>Historical_FS!E51</f>
        <v>10.500364166059722</v>
      </c>
      <c r="F36" s="27">
        <f>Historical_FS!F51</f>
        <v>11.501820830298614</v>
      </c>
      <c r="G36" s="27">
        <f>Historical_FS!G51</f>
        <v>13.001386001386003</v>
      </c>
      <c r="H36" s="27">
        <f>Historical_FS!H51</f>
        <v>36.993418773813644</v>
      </c>
      <c r="I36" s="27">
        <f>Historical_FS!I51</f>
        <v>37.996189816418429</v>
      </c>
      <c r="J36" s="27">
        <f>Historical_FS!J51</f>
        <v>37.998614478697611</v>
      </c>
      <c r="K36" s="27">
        <f>Historical_FS!K51</f>
        <v>69.997575337720818</v>
      </c>
      <c r="L36" s="27">
        <f>Historical_FS!L51</f>
        <v>77.494740413980324</v>
      </c>
    </row>
    <row r="37" spans="1:13" x14ac:dyDescent="0.25">
      <c r="B37" s="19" t="str">
        <f>B36&amp;" Growth"</f>
        <v>Dividend Per Share Growth</v>
      </c>
      <c r="C37" s="37" t="str">
        <f t="shared" ref="C37:K37" si="12">IFERROR((C36/B36)-1,"-")</f>
        <v>-</v>
      </c>
      <c r="D37" s="35">
        <f t="shared" si="12"/>
        <v>5.254879504818688E-2</v>
      </c>
      <c r="E37" s="35">
        <f t="shared" si="12"/>
        <v>4.9998165306689435E-2</v>
      </c>
      <c r="F37" s="35">
        <f t="shared" si="12"/>
        <v>9.5373517375320738E-2</v>
      </c>
      <c r="G37" s="35">
        <f t="shared" si="12"/>
        <v>0.13037632851462666</v>
      </c>
      <c r="H37" s="35">
        <f t="shared" si="12"/>
        <v>1.8453442402117735</v>
      </c>
      <c r="I37" s="35">
        <f t="shared" si="12"/>
        <v>2.7106741573033943E-2</v>
      </c>
      <c r="J37" s="35">
        <f t="shared" si="12"/>
        <v>6.381330051508094E-5</v>
      </c>
      <c r="K37" s="35">
        <f t="shared" si="12"/>
        <v>0.84210862153834931</v>
      </c>
      <c r="L37" s="35">
        <f>IFERROR((L36/K36)-1,"-")</f>
        <v>0.10710606817575541</v>
      </c>
    </row>
    <row r="39" spans="1:13" ht="18.75" x14ac:dyDescent="0.3">
      <c r="A39" s="51" t="s">
        <v>56</v>
      </c>
      <c r="B39" s="111" t="s">
        <v>105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</row>
    <row r="40" spans="1:13" s="15" customFormat="1" ht="15.75" customHeight="1" x14ac:dyDescent="0.3">
      <c r="B40" s="42"/>
      <c r="C40" s="43"/>
      <c r="D40" s="43"/>
      <c r="E40" s="43"/>
      <c r="F40" s="43"/>
      <c r="G40" s="43"/>
      <c r="H40" s="43"/>
      <c r="I40" s="43"/>
      <c r="J40" s="43"/>
      <c r="K40" s="43"/>
      <c r="L40" s="43"/>
    </row>
    <row r="41" spans="1:13" x14ac:dyDescent="0.25">
      <c r="B41" s="9" t="str">
        <f>Historical_FS!B57</f>
        <v>Equity Share Capital</v>
      </c>
      <c r="C41" s="27">
        <f>Historical_FS!C57</f>
        <v>274.43</v>
      </c>
      <c r="D41" s="27">
        <f>Historical_FS!D57</f>
        <v>274.51</v>
      </c>
      <c r="E41" s="27">
        <f>Historical_FS!E57</f>
        <v>274.61</v>
      </c>
      <c r="F41" s="27">
        <f>Historical_FS!F57</f>
        <v>274.64</v>
      </c>
      <c r="G41" s="27">
        <f>Historical_FS!G57</f>
        <v>288.63</v>
      </c>
      <c r="H41" s="27">
        <f>Historical_FS!H57</f>
        <v>288.64999999999998</v>
      </c>
      <c r="I41" s="27">
        <f>Historical_FS!I57</f>
        <v>288.67</v>
      </c>
      <c r="J41" s="27">
        <f>Historical_FS!J57</f>
        <v>288.69</v>
      </c>
      <c r="K41" s="27">
        <f>Historical_FS!K57</f>
        <v>288.69</v>
      </c>
      <c r="L41" s="27">
        <f>Historical_FS!L57</f>
        <v>294.68</v>
      </c>
    </row>
    <row r="42" spans="1:13" x14ac:dyDescent="0.25">
      <c r="B42" s="19" t="str">
        <f>B41&amp;" Growth"</f>
        <v>Equity Share Capital Growth</v>
      </c>
      <c r="C42" s="37" t="str">
        <f t="shared" ref="C42:K42" si="13">IFERROR((C41/B41)-1,"-")</f>
        <v>-</v>
      </c>
      <c r="D42" s="35">
        <f t="shared" si="13"/>
        <v>2.9151331851462459E-4</v>
      </c>
      <c r="E42" s="35">
        <f t="shared" si="13"/>
        <v>3.6428545408195845E-4</v>
      </c>
      <c r="F42" s="35">
        <f t="shared" si="13"/>
        <v>1.0924583955418399E-4</v>
      </c>
      <c r="G42" s="35">
        <f t="shared" si="13"/>
        <v>5.0939411593358574E-2</v>
      </c>
      <c r="H42" s="35">
        <f t="shared" si="13"/>
        <v>6.9292866299308642E-5</v>
      </c>
      <c r="I42" s="35">
        <f t="shared" si="13"/>
        <v>6.9288065130956866E-5</v>
      </c>
      <c r="J42" s="35">
        <f t="shared" si="13"/>
        <v>6.9283264627406638E-5</v>
      </c>
      <c r="K42" s="35">
        <f t="shared" si="13"/>
        <v>0</v>
      </c>
      <c r="L42" s="35">
        <f>IFERROR((L41/K41)-1,"-")</f>
        <v>2.0748900204371479E-2</v>
      </c>
    </row>
    <row r="43" spans="1:13" x14ac:dyDescent="0.25">
      <c r="B43" s="9" t="str">
        <f>Historical_FS!B58</f>
        <v>Reserves</v>
      </c>
      <c r="C43" s="27">
        <f>Historical_FS!C58</f>
        <v>21671.200000000001</v>
      </c>
      <c r="D43" s="27">
        <f>Historical_FS!D58</f>
        <v>24117.38</v>
      </c>
      <c r="E43" s="27">
        <f>Historical_FS!E58</f>
        <v>26106.55</v>
      </c>
      <c r="F43" s="27">
        <f>Historical_FS!F58</f>
        <v>33476.01</v>
      </c>
      <c r="G43" s="27">
        <f>Historical_FS!G58</f>
        <v>38755.129999999997</v>
      </c>
      <c r="H43" s="27">
        <f>Historical_FS!H58</f>
        <v>43886.03</v>
      </c>
      <c r="I43" s="27">
        <f>Historical_FS!I58</f>
        <v>50146.6</v>
      </c>
      <c r="J43" s="27">
        <f>Historical_FS!J58</f>
        <v>54035.85</v>
      </c>
      <c r="K43" s="27">
        <f>Historical_FS!K58</f>
        <v>59938.79</v>
      </c>
      <c r="L43" s="27">
        <f>Historical_FS!L58</f>
        <v>70412.09</v>
      </c>
    </row>
    <row r="44" spans="1:13" x14ac:dyDescent="0.25">
      <c r="B44" s="19" t="str">
        <f>B43&amp;" Growth"</f>
        <v>Reserves Growth</v>
      </c>
      <c r="C44" s="37" t="str">
        <f t="shared" ref="C44:L44" si="14">IFERROR((C43/B43)-1,"-")</f>
        <v>-</v>
      </c>
      <c r="D44" s="35">
        <f t="shared" si="14"/>
        <v>0.11287699804348628</v>
      </c>
      <c r="E44" s="35">
        <f t="shared" si="14"/>
        <v>8.2478693788462953E-2</v>
      </c>
      <c r="F44" s="35">
        <f t="shared" si="14"/>
        <v>0.28228394789813294</v>
      </c>
      <c r="G44" s="35">
        <f t="shared" si="14"/>
        <v>0.15769860267098723</v>
      </c>
      <c r="H44" s="35">
        <f t="shared" si="14"/>
        <v>0.13239279548281746</v>
      </c>
      <c r="I44" s="35">
        <f t="shared" si="14"/>
        <v>0.14265519118498537</v>
      </c>
      <c r="J44" s="35">
        <f t="shared" si="14"/>
        <v>7.7557601113535046E-2</v>
      </c>
      <c r="K44" s="35">
        <f t="shared" si="14"/>
        <v>0.10924117969829283</v>
      </c>
      <c r="L44" s="35">
        <f t="shared" si="14"/>
        <v>0.17473325704439469</v>
      </c>
    </row>
    <row r="45" spans="1:13" x14ac:dyDescent="0.25">
      <c r="B45" s="9" t="s">
        <v>106</v>
      </c>
      <c r="C45" s="27">
        <f t="shared" ref="C45:L45" si="15">IFERROR(C41+C43,0)</f>
        <v>21945.63</v>
      </c>
      <c r="D45" s="27">
        <f t="shared" si="15"/>
        <v>24391.89</v>
      </c>
      <c r="E45" s="27">
        <f t="shared" si="15"/>
        <v>26381.16</v>
      </c>
      <c r="F45" s="27">
        <f t="shared" si="15"/>
        <v>33750.65</v>
      </c>
      <c r="G45" s="27">
        <f t="shared" si="15"/>
        <v>39043.759999999995</v>
      </c>
      <c r="H45" s="27">
        <f t="shared" si="15"/>
        <v>44174.68</v>
      </c>
      <c r="I45" s="27">
        <f t="shared" si="15"/>
        <v>50435.27</v>
      </c>
      <c r="J45" s="27">
        <f t="shared" si="15"/>
        <v>54324.54</v>
      </c>
      <c r="K45" s="27">
        <f t="shared" si="15"/>
        <v>60227.48</v>
      </c>
      <c r="L45" s="27">
        <f t="shared" si="15"/>
        <v>70706.76999999999</v>
      </c>
    </row>
    <row r="46" spans="1:13" x14ac:dyDescent="0.25">
      <c r="B46" s="19" t="str">
        <f>B45&amp;" Growth"</f>
        <v>Total Equity Growth</v>
      </c>
      <c r="C46" s="37" t="str">
        <f t="shared" ref="C46:K46" si="16">IFERROR((C45/B45)-1,"-")</f>
        <v>-</v>
      </c>
      <c r="D46" s="35">
        <f t="shared" si="16"/>
        <v>0.11146911708618057</v>
      </c>
      <c r="E46" s="35">
        <f t="shared" si="16"/>
        <v>8.1554565882348662E-2</v>
      </c>
      <c r="F46" s="35">
        <f t="shared" si="16"/>
        <v>0.2793467004483503</v>
      </c>
      <c r="G46" s="35">
        <f t="shared" si="16"/>
        <v>0.15682986846179237</v>
      </c>
      <c r="H46" s="35">
        <f t="shared" si="16"/>
        <v>0.13141459736459815</v>
      </c>
      <c r="I46" s="35">
        <f t="shared" si="16"/>
        <v>0.14172349409209062</v>
      </c>
      <c r="J46" s="35">
        <f t="shared" si="16"/>
        <v>7.7114090992275841E-2</v>
      </c>
      <c r="K46" s="35">
        <f t="shared" si="16"/>
        <v>0.10866065317810336</v>
      </c>
      <c r="L46" s="35">
        <f>IFERROR((L45/K45)-1,"-")</f>
        <v>0.17399515968458235</v>
      </c>
    </row>
    <row r="47" spans="1:13" x14ac:dyDescent="0.25">
      <c r="B47" s="9" t="str">
        <f>Historical_FS!B59</f>
        <v>Borrowings</v>
      </c>
      <c r="C47" s="27">
        <f>Historical_FS!C59</f>
        <v>10615.99</v>
      </c>
      <c r="D47" s="27">
        <f>Historical_FS!D59</f>
        <v>8474.49</v>
      </c>
      <c r="E47" s="27">
        <f>Historical_FS!E59</f>
        <v>19480.22</v>
      </c>
      <c r="F47" s="27">
        <f>Historical_FS!F59</f>
        <v>25337</v>
      </c>
      <c r="G47" s="27">
        <f>Historical_FS!G59</f>
        <v>23018.959999999999</v>
      </c>
      <c r="H47" s="27">
        <f>Historical_FS!H59</f>
        <v>21719.39</v>
      </c>
      <c r="I47" s="27">
        <f>Historical_FS!I59</f>
        <v>11298.8</v>
      </c>
      <c r="J47" s="27">
        <f>Historical_FS!J59</f>
        <v>11057.74</v>
      </c>
      <c r="K47" s="27">
        <f>Historical_FS!K59</f>
        <v>11402.95</v>
      </c>
      <c r="L47" s="27">
        <f>Historical_FS!L59</f>
        <v>24102.18</v>
      </c>
    </row>
    <row r="48" spans="1:13" x14ac:dyDescent="0.25">
      <c r="B48" s="19" t="str">
        <f>B47&amp;" Growth"</f>
        <v>Borrowings Growth</v>
      </c>
      <c r="C48" s="37" t="str">
        <f t="shared" ref="C48:K48" si="17">IFERROR((C47/B47)-1,"-")</f>
        <v>-</v>
      </c>
      <c r="D48" s="35">
        <f t="shared" si="17"/>
        <v>-0.20172400313112582</v>
      </c>
      <c r="E48" s="35">
        <f t="shared" si="17"/>
        <v>1.2986893606576917</v>
      </c>
      <c r="F48" s="35">
        <f t="shared" si="17"/>
        <v>0.30065266203359098</v>
      </c>
      <c r="G48" s="35">
        <f t="shared" si="17"/>
        <v>-9.1488337214350568E-2</v>
      </c>
      <c r="H48" s="35">
        <f t="shared" si="17"/>
        <v>-5.6456503682182024E-2</v>
      </c>
      <c r="I48" s="35">
        <f t="shared" si="17"/>
        <v>-0.47978281157988323</v>
      </c>
      <c r="J48" s="35">
        <f t="shared" si="17"/>
        <v>-2.133500902750729E-2</v>
      </c>
      <c r="K48" s="35">
        <f t="shared" si="17"/>
        <v>3.1218856656061833E-2</v>
      </c>
      <c r="L48" s="35">
        <f>IFERROR((L47/K47)-1,"-")</f>
        <v>1.1136793549037747</v>
      </c>
    </row>
    <row r="49" spans="2:13" x14ac:dyDescent="0.25">
      <c r="B49" s="9" t="str">
        <f>Historical_FS!B60</f>
        <v>Other Liabilities</v>
      </c>
      <c r="C49" s="27">
        <f>Historical_FS!C60</f>
        <v>8631.49</v>
      </c>
      <c r="D49" s="27">
        <f>Historical_FS!D60</f>
        <v>9342.73</v>
      </c>
      <c r="E49" s="27">
        <f>Historical_FS!E60</f>
        <v>11279.71</v>
      </c>
      <c r="F49" s="27">
        <f>Historical_FS!F60</f>
        <v>17437.72</v>
      </c>
      <c r="G49" s="27">
        <f>Historical_FS!G60</f>
        <v>17151.09</v>
      </c>
      <c r="H49" s="27">
        <f>Historical_FS!H60</f>
        <v>20282.28</v>
      </c>
      <c r="I49" s="27">
        <f>Historical_FS!I60</f>
        <v>22077.37</v>
      </c>
      <c r="J49" s="27">
        <f>Historical_FS!J60</f>
        <v>25998.12</v>
      </c>
      <c r="K49" s="27">
        <f>Historical_FS!K60</f>
        <v>29166.68</v>
      </c>
      <c r="L49" s="27">
        <f>Historical_FS!L60</f>
        <v>38823.11</v>
      </c>
    </row>
    <row r="50" spans="2:13" x14ac:dyDescent="0.25">
      <c r="B50" s="19" t="str">
        <f>B49&amp;" Growth"</f>
        <v>Other Liabilities Growth</v>
      </c>
      <c r="C50" s="37" t="str">
        <f t="shared" ref="C50:K50" si="18">IFERROR((C49/B49)-1,"-")</f>
        <v>-</v>
      </c>
      <c r="D50" s="35">
        <f t="shared" si="18"/>
        <v>8.240060522574888E-2</v>
      </c>
      <c r="E50" s="35">
        <f t="shared" si="18"/>
        <v>0.2073248397417029</v>
      </c>
      <c r="F50" s="35">
        <f t="shared" si="18"/>
        <v>0.545936907952421</v>
      </c>
      <c r="G50" s="35">
        <f t="shared" si="18"/>
        <v>-1.6437355342326931E-2</v>
      </c>
      <c r="H50" s="35">
        <f t="shared" si="18"/>
        <v>0.18256507312363235</v>
      </c>
      <c r="I50" s="35">
        <f t="shared" si="18"/>
        <v>8.8505335692042442E-2</v>
      </c>
      <c r="J50" s="35">
        <f t="shared" si="18"/>
        <v>0.17759135259317582</v>
      </c>
      <c r="K50" s="35">
        <f t="shared" si="18"/>
        <v>0.12187650491650937</v>
      </c>
      <c r="L50" s="35">
        <f>IFERROR((L49/K49)-1,"-")</f>
        <v>0.33107744865030919</v>
      </c>
    </row>
    <row r="51" spans="2:13" x14ac:dyDescent="0.25">
      <c r="B51" s="9" t="s">
        <v>107</v>
      </c>
      <c r="C51" s="27">
        <f t="shared" ref="C51:L51" si="19">IFERROR(C47+C49,0)</f>
        <v>19247.48</v>
      </c>
      <c r="D51" s="27">
        <f t="shared" si="19"/>
        <v>17817.22</v>
      </c>
      <c r="E51" s="27">
        <f t="shared" si="19"/>
        <v>30759.93</v>
      </c>
      <c r="F51" s="27">
        <f t="shared" si="19"/>
        <v>42774.720000000001</v>
      </c>
      <c r="G51" s="27">
        <f t="shared" si="19"/>
        <v>40170.050000000003</v>
      </c>
      <c r="H51" s="27">
        <f t="shared" si="19"/>
        <v>42001.67</v>
      </c>
      <c r="I51" s="27">
        <f t="shared" si="19"/>
        <v>33376.17</v>
      </c>
      <c r="J51" s="27">
        <f t="shared" si="19"/>
        <v>37055.86</v>
      </c>
      <c r="K51" s="27">
        <f t="shared" si="19"/>
        <v>40569.630000000005</v>
      </c>
      <c r="L51" s="27">
        <f t="shared" si="19"/>
        <v>62925.29</v>
      </c>
    </row>
    <row r="52" spans="2:13" x14ac:dyDescent="0.25">
      <c r="B52" s="19" t="str">
        <f>B51&amp;" Growth"</f>
        <v>Total Debt Growth</v>
      </c>
      <c r="C52" s="37" t="str">
        <f t="shared" ref="C52:K52" si="20">IFERROR((C51/B51)-1,"-")</f>
        <v>-</v>
      </c>
      <c r="D52" s="35">
        <f t="shared" si="20"/>
        <v>-7.4308948496114691E-2</v>
      </c>
      <c r="E52" s="35">
        <f t="shared" si="20"/>
        <v>0.72641579326067696</v>
      </c>
      <c r="F52" s="35">
        <f t="shared" si="20"/>
        <v>0.39059874323511146</v>
      </c>
      <c r="G52" s="35">
        <f t="shared" si="20"/>
        <v>-6.0892742255238552E-2</v>
      </c>
      <c r="H52" s="35">
        <f t="shared" si="20"/>
        <v>4.5596657211031566E-2</v>
      </c>
      <c r="I52" s="35">
        <f t="shared" si="20"/>
        <v>-0.20536088207921255</v>
      </c>
      <c r="J52" s="35">
        <f t="shared" si="20"/>
        <v>0.1102490189857015</v>
      </c>
      <c r="K52" s="35">
        <f t="shared" si="20"/>
        <v>9.4823598750643168E-2</v>
      </c>
      <c r="L52" s="35">
        <f>IFERROR((L51/K51)-1,"-")</f>
        <v>0.55104421706581985</v>
      </c>
    </row>
    <row r="53" spans="2:13" x14ac:dyDescent="0.25">
      <c r="B53" s="9" t="str">
        <f>Historical_FS!B64</f>
        <v>Net Block</v>
      </c>
      <c r="C53" s="27">
        <f>Historical_FS!C64</f>
        <v>25309.42</v>
      </c>
      <c r="D53" s="27">
        <f>Historical_FS!D64</f>
        <v>25903.75</v>
      </c>
      <c r="E53" s="27">
        <f>Historical_FS!E64</f>
        <v>39715.300000000003</v>
      </c>
      <c r="F53" s="27">
        <f>Historical_FS!F64</f>
        <v>56644.62</v>
      </c>
      <c r="G53" s="27">
        <f>Historical_FS!G64</f>
        <v>57150.96</v>
      </c>
      <c r="H53" s="27">
        <f>Historical_FS!H64</f>
        <v>55411.61</v>
      </c>
      <c r="I53" s="27">
        <f>Historical_FS!I64</f>
        <v>55487.57</v>
      </c>
      <c r="J53" s="27">
        <f>Historical_FS!J64</f>
        <v>59579</v>
      </c>
      <c r="K53" s="27">
        <f>Historical_FS!K64</f>
        <v>62877.61</v>
      </c>
      <c r="L53" s="27">
        <f>Historical_FS!L64</f>
        <v>94564.22</v>
      </c>
    </row>
    <row r="54" spans="2:13" x14ac:dyDescent="0.25">
      <c r="B54" s="19" t="str">
        <f>B53&amp;" Growth"</f>
        <v>Net Block Growth</v>
      </c>
      <c r="C54" s="37" t="str">
        <f t="shared" ref="C54:K54" si="21">IFERROR((C53/B53)-1,"-")</f>
        <v>-</v>
      </c>
      <c r="D54" s="35">
        <f t="shared" si="21"/>
        <v>2.3482561038538297E-2</v>
      </c>
      <c r="E54" s="35">
        <f t="shared" si="21"/>
        <v>0.53318727983400094</v>
      </c>
      <c r="F54" s="35">
        <f t="shared" si="21"/>
        <v>0.42626695505258683</v>
      </c>
      <c r="G54" s="35">
        <f t="shared" si="21"/>
        <v>8.9388895185456008E-3</v>
      </c>
      <c r="H54" s="35">
        <f t="shared" si="21"/>
        <v>-3.0434309414924976E-2</v>
      </c>
      <c r="I54" s="35">
        <f t="shared" si="21"/>
        <v>1.3708318527470009E-3</v>
      </c>
      <c r="J54" s="35">
        <f t="shared" si="21"/>
        <v>7.3735973660407295E-2</v>
      </c>
      <c r="K54" s="35">
        <f t="shared" si="21"/>
        <v>5.5365313281525275E-2</v>
      </c>
      <c r="L54" s="35">
        <f>IFERROR((L53/K53)-1,"-")</f>
        <v>0.50394106900691682</v>
      </c>
    </row>
    <row r="55" spans="2:13" x14ac:dyDescent="0.25">
      <c r="B55" s="9" t="str">
        <f>Historical_FS!B65</f>
        <v>Capital Work in Progress</v>
      </c>
      <c r="C55" s="27">
        <f>Historical_FS!C65</f>
        <v>1469.09</v>
      </c>
      <c r="D55" s="27">
        <f>Historical_FS!D65</f>
        <v>921.48</v>
      </c>
      <c r="E55" s="27">
        <f>Historical_FS!E65</f>
        <v>1511.21</v>
      </c>
      <c r="F55" s="27">
        <f>Historical_FS!F65</f>
        <v>1153.32</v>
      </c>
      <c r="G55" s="27">
        <f>Historical_FS!G65</f>
        <v>919.59</v>
      </c>
      <c r="H55" s="27">
        <f>Historical_FS!H65</f>
        <v>1686.68</v>
      </c>
      <c r="I55" s="27">
        <f>Historical_FS!I65</f>
        <v>4784.67</v>
      </c>
      <c r="J55" s="27">
        <f>Historical_FS!J65</f>
        <v>4040.39</v>
      </c>
      <c r="K55" s="27">
        <f>Historical_FS!K65</f>
        <v>6811.18</v>
      </c>
      <c r="L55" s="27">
        <f>Historical_FS!L65</f>
        <v>6234.19</v>
      </c>
    </row>
    <row r="56" spans="2:13" x14ac:dyDescent="0.25">
      <c r="B56" s="19" t="str">
        <f>B55&amp;" Growth"</f>
        <v>Capital Work in Progress Growth</v>
      </c>
      <c r="C56" s="37" t="str">
        <f t="shared" ref="C56:K56" si="22">IFERROR((C55/B55)-1,"-")</f>
        <v>-</v>
      </c>
      <c r="D56" s="35">
        <f t="shared" si="22"/>
        <v>-0.37275456234812021</v>
      </c>
      <c r="E56" s="35">
        <f t="shared" si="22"/>
        <v>0.63998133437513571</v>
      </c>
      <c r="F56" s="35">
        <f t="shared" si="22"/>
        <v>-0.23682347258157377</v>
      </c>
      <c r="G56" s="35">
        <f t="shared" si="22"/>
        <v>-0.20265841223597958</v>
      </c>
      <c r="H56" s="35">
        <f t="shared" si="22"/>
        <v>0.83416522580715324</v>
      </c>
      <c r="I56" s="35">
        <f t="shared" si="22"/>
        <v>1.8367384447553774</v>
      </c>
      <c r="J56" s="35">
        <f t="shared" si="22"/>
        <v>-0.15555513755389616</v>
      </c>
      <c r="K56" s="35">
        <f t="shared" si="22"/>
        <v>0.68577290806085567</v>
      </c>
      <c r="L56" s="35">
        <f>IFERROR((L55/K55)-1,"-")</f>
        <v>-8.4712193775527966E-2</v>
      </c>
    </row>
    <row r="57" spans="2:13" x14ac:dyDescent="0.25">
      <c r="B57" s="9" t="str">
        <f>Historical_FS!B66</f>
        <v>Investments</v>
      </c>
      <c r="C57" s="27">
        <f>Historical_FS!C66</f>
        <v>5095.18</v>
      </c>
      <c r="D57" s="27">
        <f>Historical_FS!D66</f>
        <v>6690.51</v>
      </c>
      <c r="E57" s="27">
        <f>Historical_FS!E66</f>
        <v>5446.9</v>
      </c>
      <c r="F57" s="27">
        <f>Historical_FS!F66</f>
        <v>2921.33</v>
      </c>
      <c r="G57" s="27">
        <f>Historical_FS!G66</f>
        <v>5928.69</v>
      </c>
      <c r="H57" s="27">
        <f>Historical_FS!H66</f>
        <v>12178.11</v>
      </c>
      <c r="I57" s="27">
        <f>Historical_FS!I66</f>
        <v>6335.77</v>
      </c>
      <c r="J57" s="27">
        <f>Historical_FS!J66</f>
        <v>7296.95</v>
      </c>
      <c r="K57" s="27">
        <f>Historical_FS!K66</f>
        <v>8248.9500000000007</v>
      </c>
      <c r="L57" s="27">
        <f>Historical_FS!L66</f>
        <v>5156.47</v>
      </c>
    </row>
    <row r="58" spans="2:13" x14ac:dyDescent="0.25">
      <c r="B58" s="19" t="str">
        <f>B57&amp;" Growth"</f>
        <v>Investments Growth</v>
      </c>
      <c r="C58" s="37" t="str">
        <f t="shared" ref="C58:K58" si="23">IFERROR((C57/B57)-1,"-")</f>
        <v>-</v>
      </c>
      <c r="D58" s="35">
        <f t="shared" si="23"/>
        <v>0.31310571952315724</v>
      </c>
      <c r="E58" s="35">
        <f t="shared" si="23"/>
        <v>-0.18587671193974753</v>
      </c>
      <c r="F58" s="35">
        <f t="shared" si="23"/>
        <v>-0.4636710789623455</v>
      </c>
      <c r="G58" s="35">
        <f t="shared" si="23"/>
        <v>1.0294489153912774</v>
      </c>
      <c r="H58" s="35">
        <f t="shared" si="23"/>
        <v>1.0540979541854947</v>
      </c>
      <c r="I58" s="35">
        <f t="shared" si="23"/>
        <v>-0.47974110925258517</v>
      </c>
      <c r="J58" s="35">
        <f t="shared" si="23"/>
        <v>0.15170689592583053</v>
      </c>
      <c r="K58" s="35">
        <f t="shared" si="23"/>
        <v>0.13046546844914664</v>
      </c>
      <c r="L58" s="35">
        <f>IFERROR((L57/K57)-1,"-")</f>
        <v>-0.37489377435916094</v>
      </c>
    </row>
    <row r="59" spans="2:13" x14ac:dyDescent="0.25">
      <c r="B59" s="9" t="str">
        <f>Historical_FS!B67</f>
        <v>Other Assets</v>
      </c>
      <c r="C59" s="27">
        <f>Historical_FS!C67</f>
        <v>2669.67</v>
      </c>
      <c r="D59" s="27">
        <f>Historical_FS!D67</f>
        <v>2286.8600000000006</v>
      </c>
      <c r="E59" s="27">
        <f>Historical_FS!E67</f>
        <v>4760.3900000000003</v>
      </c>
      <c r="F59" s="27">
        <f>Historical_FS!F67</f>
        <v>8180.43</v>
      </c>
      <c r="G59" s="27">
        <f>Historical_FS!G67</f>
        <v>8108.09</v>
      </c>
      <c r="H59" s="27">
        <f>Historical_FS!H67</f>
        <v>8302.7000000000007</v>
      </c>
      <c r="I59" s="27">
        <f>Historical_FS!I67</f>
        <v>8177.0599999999995</v>
      </c>
      <c r="J59" s="27">
        <f>Historical_FS!J67</f>
        <v>8835.6200000000008</v>
      </c>
      <c r="K59" s="27">
        <f>Historical_FS!K67</f>
        <v>9468.2599999999984</v>
      </c>
      <c r="L59" s="27">
        <f>Historical_FS!L67</f>
        <v>10550.630000000001</v>
      </c>
      <c r="M59" s="9"/>
    </row>
    <row r="60" spans="2:13" x14ac:dyDescent="0.25">
      <c r="B60" s="19" t="str">
        <f>B59&amp;" Growth"</f>
        <v>Other Assets Growth</v>
      </c>
      <c r="C60" s="37" t="str">
        <f t="shared" ref="C60:K60" si="24">IFERROR((C59/B59)-1,"-")</f>
        <v>-</v>
      </c>
      <c r="D60" s="35">
        <f t="shared" si="24"/>
        <v>-0.14339225447339909</v>
      </c>
      <c r="E60" s="35">
        <f t="shared" si="24"/>
        <v>1.0816272093613071</v>
      </c>
      <c r="F60" s="35">
        <f t="shared" si="24"/>
        <v>0.71843693478895632</v>
      </c>
      <c r="G60" s="35">
        <f t="shared" si="24"/>
        <v>-8.8430559273778853E-3</v>
      </c>
      <c r="H60" s="35">
        <f t="shared" si="24"/>
        <v>2.4001953604363191E-2</v>
      </c>
      <c r="I60" s="35">
        <f t="shared" si="24"/>
        <v>-1.5132426800920307E-2</v>
      </c>
      <c r="J60" s="35">
        <f t="shared" si="24"/>
        <v>8.0537503699373847E-2</v>
      </c>
      <c r="K60" s="35">
        <f t="shared" si="24"/>
        <v>7.160108741661575E-2</v>
      </c>
      <c r="L60" s="35">
        <f>IFERROR((L59/K59)-1,"-")</f>
        <v>0.11431561870924578</v>
      </c>
    </row>
    <row r="61" spans="2:13" x14ac:dyDescent="0.25">
      <c r="B61" s="9" t="str">
        <f>Historical_FS!B68</f>
        <v>Total Non Current Assets</v>
      </c>
      <c r="C61" s="27">
        <f>Historical_FS!C68</f>
        <v>34543.360000000001</v>
      </c>
      <c r="D61" s="27">
        <f>Historical_FS!D68</f>
        <v>35802.6</v>
      </c>
      <c r="E61" s="27">
        <f>Historical_FS!E68</f>
        <v>51433.8</v>
      </c>
      <c r="F61" s="27">
        <f>Historical_FS!F68</f>
        <v>68899.700000000012</v>
      </c>
      <c r="G61" s="27">
        <f>Historical_FS!G68</f>
        <v>72107.33</v>
      </c>
      <c r="H61" s="27">
        <f>Historical_FS!H68</f>
        <v>77579.099999999991</v>
      </c>
      <c r="I61" s="27">
        <f>Historical_FS!I68</f>
        <v>74785.069999999992</v>
      </c>
      <c r="J61" s="27">
        <f>Historical_FS!J68</f>
        <v>79751.959999999992</v>
      </c>
      <c r="K61" s="27">
        <f>Historical_FS!K68</f>
        <v>87406</v>
      </c>
      <c r="L61" s="27">
        <f>Historical_FS!L68</f>
        <v>116505.51000000001</v>
      </c>
    </row>
    <row r="62" spans="2:13" x14ac:dyDescent="0.25">
      <c r="B62" s="19" t="str">
        <f>B61&amp;" Growth"</f>
        <v>Total Non Current Assets Growth</v>
      </c>
      <c r="C62" s="37" t="str">
        <f t="shared" ref="C62:K62" si="25">IFERROR((C61/B61)-1,"-")</f>
        <v>-</v>
      </c>
      <c r="D62" s="35">
        <f>IFERROR((D61/C61)-1,"-")</f>
        <v>3.6453894467706638E-2</v>
      </c>
      <c r="E62" s="35">
        <f t="shared" si="25"/>
        <v>0.4365939903805871</v>
      </c>
      <c r="F62" s="35">
        <f t="shared" si="25"/>
        <v>0.33958019823540186</v>
      </c>
      <c r="G62" s="35">
        <f t="shared" si="25"/>
        <v>4.6555064826116599E-2</v>
      </c>
      <c r="H62" s="35">
        <f t="shared" si="25"/>
        <v>7.5883686166163589E-2</v>
      </c>
      <c r="I62" s="35">
        <f t="shared" si="25"/>
        <v>-3.6015241218317784E-2</v>
      </c>
      <c r="J62" s="35">
        <f t="shared" si="25"/>
        <v>6.6415529195867462E-2</v>
      </c>
      <c r="K62" s="35">
        <f t="shared" si="25"/>
        <v>9.5973064486440274E-2</v>
      </c>
      <c r="L62" s="35">
        <f>IFERROR((L61/K61)-1,"-")</f>
        <v>0.33292348351371781</v>
      </c>
    </row>
    <row r="63" spans="2:13" x14ac:dyDescent="0.25">
      <c r="B63" s="9" t="str">
        <f>Historical_FS!B71</f>
        <v>Receivables</v>
      </c>
      <c r="C63" s="27">
        <f>Historical_FS!C71</f>
        <v>1928.21</v>
      </c>
      <c r="D63" s="27">
        <f>Historical_FS!D71</f>
        <v>1757.09</v>
      </c>
      <c r="E63" s="27">
        <f>Historical_FS!E71</f>
        <v>2220.63</v>
      </c>
      <c r="F63" s="27">
        <f>Historical_FS!F71</f>
        <v>2787.03</v>
      </c>
      <c r="G63" s="27">
        <f>Historical_FS!G71</f>
        <v>2383.2199999999998</v>
      </c>
      <c r="H63" s="27">
        <f>Historical_FS!H71</f>
        <v>2571.73</v>
      </c>
      <c r="I63" s="27">
        <f>Historical_FS!I71</f>
        <v>3071.61</v>
      </c>
      <c r="J63" s="27">
        <f>Historical_FS!J71</f>
        <v>3867.02</v>
      </c>
      <c r="K63" s="27">
        <f>Historical_FS!K71</f>
        <v>4278.16</v>
      </c>
      <c r="L63" s="27">
        <f>Historical_FS!L71</f>
        <v>5890.25</v>
      </c>
    </row>
    <row r="64" spans="2:13" x14ac:dyDescent="0.25">
      <c r="B64" s="19" t="str">
        <f>B63&amp;" Growth"</f>
        <v>Receivables Growth</v>
      </c>
      <c r="C64" s="37" t="str">
        <f t="shared" ref="C64:K64" si="26">IFERROR((C63/B63)-1,"-")</f>
        <v>-</v>
      </c>
      <c r="D64" s="35">
        <f t="shared" si="26"/>
        <v>-8.8745520456796734E-2</v>
      </c>
      <c r="E64" s="35">
        <f t="shared" si="26"/>
        <v>0.26381118781621904</v>
      </c>
      <c r="F64" s="35">
        <f t="shared" si="26"/>
        <v>0.25506275246213916</v>
      </c>
      <c r="G64" s="35">
        <f t="shared" si="26"/>
        <v>-0.14488900370645463</v>
      </c>
      <c r="H64" s="35">
        <f t="shared" si="26"/>
        <v>7.9098866239793342E-2</v>
      </c>
      <c r="I64" s="35">
        <f t="shared" si="26"/>
        <v>0.19437499270918801</v>
      </c>
      <c r="J64" s="35">
        <f t="shared" si="26"/>
        <v>0.25895540123908956</v>
      </c>
      <c r="K64" s="35">
        <f t="shared" si="26"/>
        <v>0.10631959493356646</v>
      </c>
      <c r="L64" s="35">
        <f>IFERROR((L63/K63)-1,"-")</f>
        <v>0.37681853881107763</v>
      </c>
    </row>
    <row r="65" spans="1:13" x14ac:dyDescent="0.25">
      <c r="B65" s="9" t="str">
        <f>Historical_FS!B72</f>
        <v>Inventory</v>
      </c>
      <c r="C65" s="27">
        <f>Historical_FS!C72</f>
        <v>2454.58</v>
      </c>
      <c r="D65" s="27">
        <f>Historical_FS!D72</f>
        <v>2400.64</v>
      </c>
      <c r="E65" s="27">
        <f>Historical_FS!E72</f>
        <v>3267.59</v>
      </c>
      <c r="F65" s="27">
        <f>Historical_FS!F72</f>
        <v>4098.96</v>
      </c>
      <c r="G65" s="27">
        <f>Historical_FS!G72</f>
        <v>4183.3500000000004</v>
      </c>
      <c r="H65" s="27">
        <f>Historical_FS!H72</f>
        <v>4017.97</v>
      </c>
      <c r="I65" s="27">
        <f>Historical_FS!I72</f>
        <v>5595.58</v>
      </c>
      <c r="J65" s="27">
        <f>Historical_FS!J72</f>
        <v>6611.83</v>
      </c>
      <c r="K65" s="27">
        <f>Historical_FS!K72</f>
        <v>8329.74</v>
      </c>
      <c r="L65" s="27">
        <f>Historical_FS!L72</f>
        <v>9562.98</v>
      </c>
    </row>
    <row r="66" spans="1:13" x14ac:dyDescent="0.25">
      <c r="B66" s="19" t="str">
        <f>B65&amp;" Growth"</f>
        <v>Inventory Growth</v>
      </c>
      <c r="C66" s="37" t="str">
        <f t="shared" ref="C66:K66" si="27">IFERROR((C65/B65)-1,"-")</f>
        <v>-</v>
      </c>
      <c r="D66" s="35">
        <f t="shared" si="27"/>
        <v>-2.1975246274311688E-2</v>
      </c>
      <c r="E66" s="35">
        <f t="shared" si="27"/>
        <v>0.36113286456944826</v>
      </c>
      <c r="F66" s="35">
        <f t="shared" si="27"/>
        <v>0.25442910524270168</v>
      </c>
      <c r="G66" s="35">
        <f t="shared" si="27"/>
        <v>2.058814918906271E-2</v>
      </c>
      <c r="H66" s="35">
        <f t="shared" si="27"/>
        <v>-3.9532910227449425E-2</v>
      </c>
      <c r="I66" s="35">
        <f t="shared" si="27"/>
        <v>0.39263857121879964</v>
      </c>
      <c r="J66" s="35">
        <f t="shared" si="27"/>
        <v>0.18161656164329698</v>
      </c>
      <c r="K66" s="35">
        <f t="shared" si="27"/>
        <v>0.25982367967718467</v>
      </c>
      <c r="L66" s="35">
        <f>IFERROR((L65/K65)-1,"-")</f>
        <v>0.14805264029849674</v>
      </c>
    </row>
    <row r="67" spans="1:13" x14ac:dyDescent="0.25">
      <c r="B67" s="9" t="str">
        <f>Historical_FS!B73</f>
        <v>Cash &amp; Bank</v>
      </c>
      <c r="C67" s="27">
        <f>Historical_FS!C73</f>
        <v>2266.96</v>
      </c>
      <c r="D67" s="27">
        <f>Historical_FS!D73</f>
        <v>2248.7800000000002</v>
      </c>
      <c r="E67" s="27">
        <f>Historical_FS!E73</f>
        <v>219.07</v>
      </c>
      <c r="F67" s="27">
        <f>Historical_FS!F73</f>
        <v>739.68</v>
      </c>
      <c r="G67" s="27">
        <f>Historical_FS!G73</f>
        <v>539.91</v>
      </c>
      <c r="H67" s="27">
        <f>Historical_FS!H73</f>
        <v>2007.55</v>
      </c>
      <c r="I67" s="27">
        <f>Historical_FS!I73</f>
        <v>359.18</v>
      </c>
      <c r="J67" s="27">
        <f>Historical_FS!J73</f>
        <v>1149.5899999999999</v>
      </c>
      <c r="K67" s="27">
        <f>Historical_FS!K73</f>
        <v>783.21</v>
      </c>
      <c r="L67" s="27">
        <f>Historical_FS!L73</f>
        <v>1673.32</v>
      </c>
    </row>
    <row r="68" spans="1:13" x14ac:dyDescent="0.25">
      <c r="B68" s="19" t="str">
        <f>B67&amp;" Growth"</f>
        <v>Cash &amp; Bank Growth</v>
      </c>
      <c r="C68" s="37" t="str">
        <f t="shared" ref="C68:K68" si="28">IFERROR((C67/B67)-1,"-")</f>
        <v>-</v>
      </c>
      <c r="D68" s="35">
        <f t="shared" si="28"/>
        <v>-8.019550411123233E-3</v>
      </c>
      <c r="E68" s="35">
        <f t="shared" si="28"/>
        <v>-0.90258273374896614</v>
      </c>
      <c r="F68" s="35">
        <f t="shared" si="28"/>
        <v>2.3764550143789656</v>
      </c>
      <c r="G68" s="35">
        <f t="shared" si="28"/>
        <v>-0.27007624918883844</v>
      </c>
      <c r="H68" s="35">
        <f t="shared" si="28"/>
        <v>2.7183049026689634</v>
      </c>
      <c r="I68" s="35">
        <f t="shared" si="28"/>
        <v>-0.82108540260516549</v>
      </c>
      <c r="J68" s="35">
        <f t="shared" si="28"/>
        <v>2.2005958015479701</v>
      </c>
      <c r="K68" s="35">
        <f t="shared" si="28"/>
        <v>-0.31870492958359065</v>
      </c>
      <c r="L68" s="35">
        <f>IFERROR((L67/K67)-1,"-")</f>
        <v>1.1364895749543544</v>
      </c>
    </row>
    <row r="69" spans="1:13" x14ac:dyDescent="0.25">
      <c r="B69" s="9" t="str">
        <f>Historical_FS!B74</f>
        <v>Total Current Assets</v>
      </c>
      <c r="C69" s="27">
        <f>Historical_FS!C74</f>
        <v>6649.75</v>
      </c>
      <c r="D69" s="27">
        <f>Historical_FS!D74</f>
        <v>6406.51</v>
      </c>
      <c r="E69" s="27">
        <f>Historical_FS!E74</f>
        <v>5707.29</v>
      </c>
      <c r="F69" s="27">
        <f>Historical_FS!F74</f>
        <v>7625.67</v>
      </c>
      <c r="G69" s="27">
        <f>Historical_FS!G74</f>
        <v>7106.48</v>
      </c>
      <c r="H69" s="27">
        <f>Historical_FS!H74</f>
        <v>8597.25</v>
      </c>
      <c r="I69" s="27">
        <f>Historical_FS!I74</f>
        <v>9026.3700000000008</v>
      </c>
      <c r="J69" s="27">
        <f>Historical_FS!J74</f>
        <v>11628.44</v>
      </c>
      <c r="K69" s="27">
        <f>Historical_FS!K74</f>
        <v>13391.11</v>
      </c>
      <c r="L69" s="27">
        <f>Historical_FS!L74</f>
        <v>17126.55</v>
      </c>
    </row>
    <row r="70" spans="1:13" x14ac:dyDescent="0.25">
      <c r="B70" s="19" t="str">
        <f>B69&amp;" Growth"</f>
        <v>Total Current Assets Growth</v>
      </c>
      <c r="C70" s="37" t="str">
        <f t="shared" ref="C70:K70" si="29">IFERROR((C69/B69)-1,"-")</f>
        <v>-</v>
      </c>
      <c r="D70" s="35">
        <f t="shared" si="29"/>
        <v>-3.6578818752584619E-2</v>
      </c>
      <c r="E70" s="35">
        <f t="shared" si="29"/>
        <v>-0.10914210701302274</v>
      </c>
      <c r="F70" s="35">
        <f t="shared" si="29"/>
        <v>0.33612800470976589</v>
      </c>
      <c r="G70" s="35">
        <f t="shared" si="29"/>
        <v>-6.8084509295576745E-2</v>
      </c>
      <c r="H70" s="35">
        <f t="shared" si="29"/>
        <v>0.20977614796636312</v>
      </c>
      <c r="I70" s="35">
        <f t="shared" si="29"/>
        <v>4.9913635174038351E-2</v>
      </c>
      <c r="J70" s="35">
        <f t="shared" si="29"/>
        <v>0.28827424535001334</v>
      </c>
      <c r="K70" s="35">
        <f t="shared" si="29"/>
        <v>0.15158267145034077</v>
      </c>
      <c r="L70" s="35">
        <f>IFERROR((L69/K69)-1,"-")</f>
        <v>0.27894924319193848</v>
      </c>
    </row>
    <row r="72" spans="1:13" x14ac:dyDescent="0.25">
      <c r="B72" s="9" t="str">
        <f>Historical_FS!B76</f>
        <v>Total Assets</v>
      </c>
      <c r="C72" s="27">
        <f>Historical_FS!C76</f>
        <v>41193.11</v>
      </c>
      <c r="D72" s="27">
        <f>Historical_FS!D76</f>
        <v>42209.11</v>
      </c>
      <c r="E72" s="27">
        <f>Historical_FS!E76</f>
        <v>57141.090000000004</v>
      </c>
      <c r="F72" s="27">
        <f>Historical_FS!F76</f>
        <v>76525.37000000001</v>
      </c>
      <c r="G72" s="27">
        <f>Historical_FS!G76</f>
        <v>79213.81</v>
      </c>
      <c r="H72" s="27">
        <f>Historical_FS!H76</f>
        <v>86176.349999999991</v>
      </c>
      <c r="I72" s="27">
        <f>Historical_FS!I76</f>
        <v>83811.439999999988</v>
      </c>
      <c r="J72" s="27">
        <f>Historical_FS!J76</f>
        <v>91380.4</v>
      </c>
      <c r="K72" s="27">
        <f>Historical_FS!K76</f>
        <v>100797.11</v>
      </c>
      <c r="L72" s="27">
        <f>Historical_FS!L76</f>
        <v>133632.06</v>
      </c>
    </row>
    <row r="73" spans="1:13" x14ac:dyDescent="0.25">
      <c r="B73" s="19" t="str">
        <f>B72&amp;" Growth"</f>
        <v>Total Assets Growth</v>
      </c>
      <c r="C73" s="37" t="str">
        <f t="shared" ref="C73:K73" si="30">IFERROR((C72/B72)-1,"-")</f>
        <v>-</v>
      </c>
      <c r="D73" s="35">
        <f t="shared" si="30"/>
        <v>2.4664318863033108E-2</v>
      </c>
      <c r="E73" s="35">
        <f t="shared" si="30"/>
        <v>0.35376201962088283</v>
      </c>
      <c r="F73" s="35">
        <f t="shared" si="30"/>
        <v>0.3392353908544623</v>
      </c>
      <c r="G73" s="35">
        <f t="shared" si="30"/>
        <v>3.5131355784362661E-2</v>
      </c>
      <c r="H73" s="35">
        <f t="shared" si="30"/>
        <v>8.7895532357299633E-2</v>
      </c>
      <c r="I73" s="35">
        <f t="shared" si="30"/>
        <v>-2.7442680039245104E-2</v>
      </c>
      <c r="J73" s="35">
        <f t="shared" si="30"/>
        <v>9.0309389744407387E-2</v>
      </c>
      <c r="K73" s="35">
        <f t="shared" si="30"/>
        <v>0.10304955986185238</v>
      </c>
      <c r="L73" s="35">
        <f>IFERROR((L72/K72)-1,"-")</f>
        <v>0.32575289112951755</v>
      </c>
    </row>
    <row r="75" spans="1:13" ht="18.75" x14ac:dyDescent="0.3">
      <c r="A75" s="51" t="s">
        <v>56</v>
      </c>
      <c r="B75" s="111" t="s">
        <v>114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</row>
    <row r="76" spans="1:13" s="15" customFormat="1" ht="15" customHeight="1" x14ac:dyDescent="0.3">
      <c r="B76" s="42"/>
      <c r="C76" s="43"/>
      <c r="D76" s="43"/>
      <c r="E76" s="43"/>
      <c r="F76" s="43"/>
      <c r="G76" s="43"/>
      <c r="H76" s="43"/>
      <c r="I76" s="43"/>
      <c r="J76" s="43"/>
      <c r="K76" s="43"/>
      <c r="L76" s="43"/>
    </row>
    <row r="77" spans="1:13" x14ac:dyDescent="0.25">
      <c r="B77" s="46" t="str">
        <f>Historical_FS!B82</f>
        <v>Cash from Operating Activity</v>
      </c>
      <c r="C77" s="27">
        <f>Historical_FS!C82</f>
        <v>4525</v>
      </c>
      <c r="D77" s="27">
        <f>Historical_FS!D82</f>
        <v>5005</v>
      </c>
      <c r="E77" s="27">
        <f>Historical_FS!E82</f>
        <v>3888</v>
      </c>
      <c r="F77" s="27">
        <f>Historical_FS!F82</f>
        <v>5956</v>
      </c>
      <c r="G77" s="27">
        <f>Historical_FS!G82</f>
        <v>8973</v>
      </c>
      <c r="H77" s="27">
        <f>Historical_FS!H82</f>
        <v>12500</v>
      </c>
      <c r="I77" s="27">
        <f>Historical_FS!I82</f>
        <v>9283</v>
      </c>
      <c r="J77" s="27">
        <f>Historical_FS!J82</f>
        <v>9069</v>
      </c>
      <c r="K77" s="27">
        <f>Historical_FS!K82</f>
        <v>10897</v>
      </c>
      <c r="L77" s="27">
        <f>Historical_FS!L82</f>
        <v>10673</v>
      </c>
      <c r="M77" s="46"/>
    </row>
    <row r="78" spans="1:13" x14ac:dyDescent="0.25">
      <c r="B78" s="19" t="str">
        <f>B77&amp;" Growth"</f>
        <v>Cash from Operating Activity Growth</v>
      </c>
      <c r="C78" s="37" t="str">
        <f t="shared" ref="C78:K78" si="31">IFERROR((C77/B77)-1,"-")</f>
        <v>-</v>
      </c>
      <c r="D78" s="35">
        <f t="shared" si="31"/>
        <v>0.10607734806629843</v>
      </c>
      <c r="E78" s="35">
        <f t="shared" si="31"/>
        <v>-0.22317682317682319</v>
      </c>
      <c r="F78" s="35">
        <f t="shared" si="31"/>
        <v>0.53189300411522633</v>
      </c>
      <c r="G78" s="35">
        <f t="shared" si="31"/>
        <v>0.50654801880456679</v>
      </c>
      <c r="H78" s="35">
        <f t="shared" si="31"/>
        <v>0.39306809316839408</v>
      </c>
      <c r="I78" s="35">
        <f t="shared" si="31"/>
        <v>-0.25736000000000003</v>
      </c>
      <c r="J78" s="35">
        <f t="shared" si="31"/>
        <v>-2.3052892383927603E-2</v>
      </c>
      <c r="K78" s="35">
        <f t="shared" si="31"/>
        <v>0.20156577351416916</v>
      </c>
      <c r="L78" s="35">
        <f>IFERROR((L77/K77)-1,"-")</f>
        <v>-2.0556116362301591E-2</v>
      </c>
    </row>
    <row r="79" spans="1:13" x14ac:dyDescent="0.25">
      <c r="B79" s="46" t="str">
        <f>Historical_FS!B92</f>
        <v>Cash from Investing Activity</v>
      </c>
      <c r="C79" s="27">
        <f>Historical_FS!C92</f>
        <v>-3675</v>
      </c>
      <c r="D79" s="27">
        <f>Historical_FS!D92</f>
        <v>-2501</v>
      </c>
      <c r="E79" s="27">
        <f>Historical_FS!E92</f>
        <v>1866</v>
      </c>
      <c r="F79" s="27">
        <f>Historical_FS!F92</f>
        <v>1164</v>
      </c>
      <c r="G79" s="27">
        <f>Historical_FS!G92</f>
        <v>-4193</v>
      </c>
      <c r="H79" s="27">
        <f>Historical_FS!H92</f>
        <v>-8856</v>
      </c>
      <c r="I79" s="27">
        <f>Historical_FS!I92</f>
        <v>2322</v>
      </c>
      <c r="J79" s="27">
        <f>Historical_FS!J92</f>
        <v>-7187</v>
      </c>
      <c r="K79" s="27">
        <f>Historical_FS!K92</f>
        <v>-8788</v>
      </c>
      <c r="L79" s="27">
        <f>Historical_FS!L92</f>
        <v>-15835</v>
      </c>
      <c r="M79" s="46"/>
    </row>
    <row r="80" spans="1:13" x14ac:dyDescent="0.25">
      <c r="B80" s="19" t="str">
        <f>B79&amp;" Growth"</f>
        <v>Cash from Investing Activity Growth</v>
      </c>
      <c r="C80" s="37" t="str">
        <f t="shared" ref="C80:K80" si="32">IFERROR((C79/B79)-1,"-")</f>
        <v>-</v>
      </c>
      <c r="D80" s="35">
        <f t="shared" si="32"/>
        <v>-0.31945578231292515</v>
      </c>
      <c r="E80" s="35">
        <f t="shared" si="32"/>
        <v>-1.7461015593762494</v>
      </c>
      <c r="F80" s="35">
        <f t="shared" si="32"/>
        <v>-0.3762057877813505</v>
      </c>
      <c r="G80" s="35">
        <f t="shared" si="32"/>
        <v>-4.6022336769759455</v>
      </c>
      <c r="H80" s="35">
        <f t="shared" si="32"/>
        <v>1.1120915812067733</v>
      </c>
      <c r="I80" s="35">
        <f t="shared" si="32"/>
        <v>-1.2621951219512195</v>
      </c>
      <c r="J80" s="35">
        <f t="shared" si="32"/>
        <v>-4.0951765719207582</v>
      </c>
      <c r="K80" s="35">
        <f t="shared" si="32"/>
        <v>0.22276332266592469</v>
      </c>
      <c r="L80" s="35">
        <f>IFERROR((L79/K79)-1,"-")</f>
        <v>0.80188893946290385</v>
      </c>
    </row>
    <row r="81" spans="2:13" x14ac:dyDescent="0.25">
      <c r="B81" s="46" t="str">
        <f>Historical_FS!B104</f>
        <v>Cash from Financing Activity</v>
      </c>
      <c r="C81" s="27">
        <f>Historical_FS!C104</f>
        <v>-843</v>
      </c>
      <c r="D81" s="27">
        <f>Historical_FS!D104</f>
        <v>-2535</v>
      </c>
      <c r="E81" s="27">
        <f>Historical_FS!E104</f>
        <v>-5735</v>
      </c>
      <c r="F81" s="27">
        <f>Historical_FS!F104</f>
        <v>-6757</v>
      </c>
      <c r="G81" s="27">
        <f>Historical_FS!G104</f>
        <v>-5076</v>
      </c>
      <c r="H81" s="27">
        <f>Historical_FS!H104</f>
        <v>-4356</v>
      </c>
      <c r="I81" s="27">
        <f>Historical_FS!I104</f>
        <v>-12497</v>
      </c>
      <c r="J81" s="27">
        <f>Historical_FS!J104</f>
        <v>-1631</v>
      </c>
      <c r="K81" s="27">
        <f>Historical_FS!K104</f>
        <v>-1925</v>
      </c>
      <c r="L81" s="27">
        <f>Historical_FS!L104</f>
        <v>5076</v>
      </c>
      <c r="M81" s="46"/>
    </row>
    <row r="82" spans="2:13" x14ac:dyDescent="0.25">
      <c r="B82" s="19" t="str">
        <f>B81&amp;" Growth"</f>
        <v>Cash from Financing Activity Growth</v>
      </c>
      <c r="C82" s="37" t="str">
        <f t="shared" ref="C82:K82" si="33">IFERROR((C81/B81)-1,"-")</f>
        <v>-</v>
      </c>
      <c r="D82" s="35">
        <f t="shared" si="33"/>
        <v>2.0071174377224201</v>
      </c>
      <c r="E82" s="35">
        <f t="shared" si="33"/>
        <v>1.2623274161735698</v>
      </c>
      <c r="F82" s="35">
        <f t="shared" si="33"/>
        <v>0.17820401046207501</v>
      </c>
      <c r="G82" s="35">
        <f t="shared" si="33"/>
        <v>-0.24877904395441763</v>
      </c>
      <c r="H82" s="35">
        <f t="shared" si="33"/>
        <v>-0.14184397163120566</v>
      </c>
      <c r="I82" s="35">
        <f t="shared" si="33"/>
        <v>1.8689164370982554</v>
      </c>
      <c r="J82" s="35">
        <f t="shared" si="33"/>
        <v>-0.86948867728254786</v>
      </c>
      <c r="K82" s="35">
        <f t="shared" si="33"/>
        <v>0.18025751072961382</v>
      </c>
      <c r="L82" s="35">
        <f>IFERROR((L81/K81)-1,"-")</f>
        <v>-3.6368831168831171</v>
      </c>
    </row>
    <row r="83" spans="2:13" x14ac:dyDescent="0.25">
      <c r="B83" s="46" t="str">
        <f>Historical_FS!B112</f>
        <v>Net Cash Flow</v>
      </c>
      <c r="C83" s="27">
        <f>Historical_FS!C112</f>
        <v>7</v>
      </c>
      <c r="D83" s="27">
        <f>Historical_FS!D112</f>
        <v>-31</v>
      </c>
      <c r="E83" s="27">
        <f>Historical_FS!E112</f>
        <v>19</v>
      </c>
      <c r="F83" s="27">
        <f>Historical_FS!F112</f>
        <v>363</v>
      </c>
      <c r="G83" s="27">
        <f>Historical_FS!G112</f>
        <v>-296</v>
      </c>
      <c r="H83" s="27">
        <f>Historical_FS!H112</f>
        <v>-712</v>
      </c>
      <c r="I83" s="27">
        <f>Historical_FS!I112</f>
        <v>-892</v>
      </c>
      <c r="J83" s="27">
        <f>Historical_FS!J112</f>
        <v>251</v>
      </c>
      <c r="K83" s="27">
        <f>Historical_FS!K112</f>
        <v>184</v>
      </c>
      <c r="L83" s="27">
        <f>Historical_FS!L112</f>
        <v>-86</v>
      </c>
      <c r="M83" s="46"/>
    </row>
    <row r="84" spans="2:13" x14ac:dyDescent="0.25">
      <c r="B84" s="19" t="str">
        <f>B83&amp;" Growth"</f>
        <v>Net Cash Flow Growth</v>
      </c>
      <c r="C84" s="37" t="str">
        <f t="shared" ref="C84:K84" si="34">IFERROR((C83/B83)-1,"-")</f>
        <v>-</v>
      </c>
      <c r="D84" s="35">
        <f t="shared" si="34"/>
        <v>-5.4285714285714288</v>
      </c>
      <c r="E84" s="35">
        <f t="shared" si="34"/>
        <v>-1.6129032258064515</v>
      </c>
      <c r="F84" s="35">
        <f t="shared" si="34"/>
        <v>18.105263157894736</v>
      </c>
      <c r="G84" s="35">
        <f t="shared" si="34"/>
        <v>-1.8154269972451791</v>
      </c>
      <c r="H84" s="35">
        <f t="shared" si="34"/>
        <v>1.4054054054054053</v>
      </c>
      <c r="I84" s="35">
        <f t="shared" si="34"/>
        <v>0.25280898876404501</v>
      </c>
      <c r="J84" s="35">
        <f t="shared" si="34"/>
        <v>-1.2813901345291479</v>
      </c>
      <c r="K84" s="35">
        <f t="shared" si="34"/>
        <v>-0.26693227091633465</v>
      </c>
      <c r="L84" s="35">
        <f>IFERROR((L83/K83)-1,"-")</f>
        <v>-1.4673913043478262</v>
      </c>
    </row>
    <row r="86" spans="2:13" x14ac:dyDescent="0.25">
      <c r="C86" s="19"/>
    </row>
  </sheetData>
  <mergeCells count="1">
    <mergeCell ref="B6:M6"/>
  </mergeCells>
  <pageMargins left="0.7" right="0.7" top="0.75" bottom="0.75" header="0.3" footer="0.3"/>
  <pageSetup scale="48" orientation="portrait" horizontalDpi="1200" verticalDpi="1200" r:id="rId1"/>
  <ignoredErrors>
    <ignoredError sqref="B12:L12 B14:L14 B16:L16 B18:L18 B20 C20:L20 B22 C22:L22 B24 C24:L24 B26 C26:L26 B28 C28:L28 B30 C30:L30 B55:L55 B57:L57 B59:L59 B61:L61 B67 B65 C65:L65 C67:L67 B79:L79 B81:L81 B83:L83 B43:L43 C45:L45 B47:L47 B49:L49 C51:L51 B53:L53 B63:L63 B69:L69" formula="1"/>
  </ignoredErrors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00000000-0003-0000-0300-000001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Horizontal!C84:L84</xm:f>
              <xm:sqref>M84</xm:sqref>
            </x14:sparkline>
          </x14:sparklines>
        </x14:sparklineGroup>
        <x14:sparklineGroup displayEmptyCellsAs="gap" markers="1" xr2:uid="{00000000-0003-0000-0300-000002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Horizontal!C82:L82</xm:f>
              <xm:sqref>M82</xm:sqref>
            </x14:sparkline>
          </x14:sparklines>
        </x14:sparklineGroup>
        <x14:sparklineGroup displayEmptyCellsAs="gap" markers="1" xr2:uid="{00000000-0003-0000-0300-000003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Horizontal!C80:L80</xm:f>
              <xm:sqref>M80</xm:sqref>
            </x14:sparkline>
          </x14:sparklines>
        </x14:sparklineGroup>
        <x14:sparklineGroup displayEmptyCellsAs="gap" markers="1" xr2:uid="{00000000-0003-0000-0300-000004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Horizontal!C78:L78</xm:f>
              <xm:sqref>M78</xm:sqref>
            </x14:sparkline>
          </x14:sparklines>
        </x14:sparklineGroup>
        <x14:sparklineGroup displayEmptyCellsAs="gap" markers="1" xr2:uid="{00000000-0003-0000-0300-000005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Horizontal!C73:L73</xm:f>
              <xm:sqref>M73</xm:sqref>
            </x14:sparkline>
          </x14:sparklines>
        </x14:sparklineGroup>
        <x14:sparklineGroup displayEmptyCellsAs="gap" markers="1" xr2:uid="{00000000-0003-0000-0300-000006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Horizontal!C70:L70</xm:f>
              <xm:sqref>M70</xm:sqref>
            </x14:sparkline>
          </x14:sparklines>
        </x14:sparklineGroup>
        <x14:sparklineGroup displayEmptyCellsAs="gap" markers="1" xr2:uid="{00000000-0003-0000-0300-000007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Horizontal!C68:L68</xm:f>
              <xm:sqref>M68</xm:sqref>
            </x14:sparkline>
          </x14:sparklines>
        </x14:sparklineGroup>
        <x14:sparklineGroup displayEmptyCellsAs="gap" markers="1" xr2:uid="{00000000-0003-0000-0300-000008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Horizontal!C66:L66</xm:f>
              <xm:sqref>M66</xm:sqref>
            </x14:sparkline>
          </x14:sparklines>
        </x14:sparklineGroup>
        <x14:sparklineGroup displayEmptyCellsAs="gap" markers="1" xr2:uid="{00000000-0003-0000-0300-000009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Horizontal!C64:L64</xm:f>
              <xm:sqref>M64</xm:sqref>
            </x14:sparkline>
          </x14:sparklines>
        </x14:sparklineGroup>
        <x14:sparklineGroup displayEmptyCellsAs="gap" markers="1" xr2:uid="{00000000-0003-0000-0300-00000A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Horizontal!C62:L62</xm:f>
              <xm:sqref>M62</xm:sqref>
            </x14:sparkline>
          </x14:sparklines>
        </x14:sparklineGroup>
        <x14:sparklineGroup displayEmptyCellsAs="gap" markers="1" xr2:uid="{00000000-0003-0000-0300-00000B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Horizontal!C60:L60</xm:f>
              <xm:sqref>M60</xm:sqref>
            </x14:sparkline>
          </x14:sparklines>
        </x14:sparklineGroup>
        <x14:sparklineGroup displayEmptyCellsAs="gap" markers="1" xr2:uid="{00000000-0003-0000-0300-00000C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Horizontal!C58:L58</xm:f>
              <xm:sqref>M58</xm:sqref>
            </x14:sparkline>
          </x14:sparklines>
        </x14:sparklineGroup>
        <x14:sparklineGroup displayEmptyCellsAs="gap" markers="1" xr2:uid="{00000000-0003-0000-0300-00000D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Horizontal!C56:L56</xm:f>
              <xm:sqref>M56</xm:sqref>
            </x14:sparkline>
          </x14:sparklines>
        </x14:sparklineGroup>
        <x14:sparklineGroup displayEmptyCellsAs="gap" markers="1" xr2:uid="{00000000-0003-0000-0300-00000E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Horizontal!C54:L54</xm:f>
              <xm:sqref>M54</xm:sqref>
            </x14:sparkline>
          </x14:sparklines>
        </x14:sparklineGroup>
        <x14:sparklineGroup displayEmptyCellsAs="gap" markers="1" xr2:uid="{00000000-0003-0000-0300-00000F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Horizontal!C52:L52</xm:f>
              <xm:sqref>M52</xm:sqref>
            </x14:sparkline>
          </x14:sparklines>
        </x14:sparklineGroup>
        <x14:sparklineGroup displayEmptyCellsAs="gap" markers="1" xr2:uid="{00000000-0003-0000-0300-000010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Horizontal!C50:L50</xm:f>
              <xm:sqref>M50</xm:sqref>
            </x14:sparkline>
          </x14:sparklines>
        </x14:sparklineGroup>
        <x14:sparklineGroup displayEmptyCellsAs="gap" markers="1" xr2:uid="{00000000-0003-0000-0300-000011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Horizontal!C48:L48</xm:f>
              <xm:sqref>M48</xm:sqref>
            </x14:sparkline>
          </x14:sparklines>
        </x14:sparklineGroup>
        <x14:sparklineGroup displayEmptyCellsAs="gap" markers="1" xr2:uid="{00000000-0003-0000-0300-000012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Horizontal!C46:L46</xm:f>
              <xm:sqref>M46</xm:sqref>
            </x14:sparkline>
          </x14:sparklines>
        </x14:sparklineGroup>
        <x14:sparklineGroup displayEmptyCellsAs="gap" markers="1" xr2:uid="{00000000-0003-0000-0300-000013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Horizontal!C44:L44</xm:f>
              <xm:sqref>M44</xm:sqref>
            </x14:sparkline>
          </x14:sparklines>
        </x14:sparklineGroup>
        <x14:sparklineGroup displayEmptyCellsAs="gap" markers="1" xr2:uid="{00000000-0003-0000-0300-000014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Horizontal!C42:L42</xm:f>
              <xm:sqref>M42</xm:sqref>
            </x14:sparkline>
          </x14:sparklines>
        </x14:sparklineGroup>
        <x14:sparklineGroup displayEmptyCellsAs="gap" markers="1" xr2:uid="{00000000-0003-0000-0300-000015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Horizontal!C37:L37</xm:f>
              <xm:sqref>M37</xm:sqref>
            </x14:sparkline>
          </x14:sparklines>
        </x14:sparklineGroup>
        <x14:sparklineGroup displayEmptyCellsAs="gap" markers="1" xr2:uid="{00000000-0003-0000-0300-000016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Horizontal!C34:L34</xm:f>
              <xm:sqref>M34</xm:sqref>
            </x14:sparkline>
          </x14:sparklines>
        </x14:sparklineGroup>
        <x14:sparklineGroup displayEmptyCellsAs="gap" markers="1" xr2:uid="{00000000-0003-0000-0300-000017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Horizontal!C31:L31</xm:f>
              <xm:sqref>M31</xm:sqref>
            </x14:sparkline>
          </x14:sparklines>
        </x14:sparklineGroup>
        <x14:sparklineGroup displayEmptyCellsAs="gap" markers="1" xr2:uid="{00000000-0003-0000-0300-000018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Horizontal!C29:L29</xm:f>
              <xm:sqref>M29</xm:sqref>
            </x14:sparkline>
          </x14:sparklines>
        </x14:sparklineGroup>
        <x14:sparklineGroup displayEmptyCellsAs="gap" markers="1" xr2:uid="{00000000-0003-0000-0300-000019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Horizontal!C27:L27</xm:f>
              <xm:sqref>M27</xm:sqref>
            </x14:sparkline>
          </x14:sparklines>
        </x14:sparklineGroup>
        <x14:sparklineGroup displayEmptyCellsAs="gap" markers="1" xr2:uid="{00000000-0003-0000-0300-00001A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Horizontal!C25:L25</xm:f>
              <xm:sqref>M25</xm:sqref>
            </x14:sparkline>
          </x14:sparklines>
        </x14:sparklineGroup>
        <x14:sparklineGroup displayEmptyCellsAs="gap" markers="1" xr2:uid="{00000000-0003-0000-0300-00001B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Horizontal!C23:L23</xm:f>
              <xm:sqref>M23</xm:sqref>
            </x14:sparkline>
          </x14:sparklines>
        </x14:sparklineGroup>
        <x14:sparklineGroup displayEmptyCellsAs="gap" markers="1" xr2:uid="{00000000-0003-0000-0300-00001C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Horizontal!C21:L21</xm:f>
              <xm:sqref>M21</xm:sqref>
            </x14:sparkline>
          </x14:sparklines>
        </x14:sparklineGroup>
        <x14:sparklineGroup displayEmptyCellsAs="gap" markers="1" xr2:uid="{00000000-0003-0000-0300-00001D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Horizontal!C19:L19</xm:f>
              <xm:sqref>M19</xm:sqref>
            </x14:sparkline>
          </x14:sparklines>
        </x14:sparklineGroup>
        <x14:sparklineGroup displayEmptyCellsAs="gap" markers="1" xr2:uid="{00000000-0003-0000-0300-00001E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Horizontal!C15:L15</xm:f>
              <xm:sqref>M15</xm:sqref>
            </x14:sparkline>
            <x14:sparkline>
              <xm:f>Horizontal!C13:L13</xm:f>
              <xm:sqref>M13</xm:sqref>
            </x14:sparkline>
          </x14:sparklines>
        </x14:sparklineGroup>
        <x14:sparklineGroup displayEmptyCellsAs="gap" markers="1" xr2:uid="{00000000-0003-0000-0300-00001F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Horizontal!C17:L17</xm:f>
              <xm:sqref>M17</xm:sqref>
            </x14:sparkline>
          </x14:sparklines>
        </x14:sparklineGroup>
        <x14:sparklineGroup displayEmptyCellsAs="gap" markers="1" xr2:uid="{00000000-0003-0000-0300-000020000000}">
          <x14:colorSeries theme="7" tint="0.39997558519241921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Horizontal!C11:L11</xm:f>
              <xm:sqref>M11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6:K71"/>
  <sheetViews>
    <sheetView showGridLines="0" topLeftCell="A25" zoomScale="80" zoomScaleNormal="80" workbookViewId="0">
      <selection activeCell="C37" sqref="C37"/>
    </sheetView>
  </sheetViews>
  <sheetFormatPr defaultRowHeight="15" x14ac:dyDescent="0.25"/>
  <cols>
    <col min="1" max="1" width="1.85546875" customWidth="1"/>
    <col min="2" max="2" width="42.7109375" customWidth="1"/>
    <col min="3" max="6" width="11.42578125" bestFit="1" customWidth="1"/>
    <col min="7" max="10" width="11.7109375" bestFit="1" customWidth="1"/>
    <col min="11" max="11" width="13" bestFit="1" customWidth="1"/>
  </cols>
  <sheetData>
    <row r="6" spans="1:11" ht="21" x14ac:dyDescent="0.35">
      <c r="A6" s="51" t="s">
        <v>56</v>
      </c>
      <c r="B6" s="204" t="str">
        <f>"DuPont Analysis"&amp;" - "&amp;'Data Sheet'!B1</f>
        <v>DuPont Analysis - ULTRATECH CEMENT LTD</v>
      </c>
      <c r="C6" s="204"/>
      <c r="D6" s="204"/>
      <c r="E6" s="204"/>
      <c r="F6" s="204"/>
      <c r="G6" s="204"/>
      <c r="H6" s="204"/>
      <c r="I6" s="204"/>
      <c r="J6" s="204"/>
      <c r="K6" s="204"/>
    </row>
    <row r="18" spans="1:11" x14ac:dyDescent="0.25">
      <c r="C18" s="20"/>
    </row>
    <row r="20" spans="1:11" x14ac:dyDescent="0.25">
      <c r="C20" s="20"/>
    </row>
    <row r="29" spans="1:11" x14ac:dyDescent="0.25">
      <c r="A29" s="51" t="s">
        <v>56</v>
      </c>
      <c r="B29" s="203" t="s">
        <v>116</v>
      </c>
      <c r="C29" s="203"/>
      <c r="D29" s="203"/>
      <c r="E29" s="203"/>
      <c r="F29" s="203"/>
      <c r="G29" s="203"/>
      <c r="H29" s="203"/>
      <c r="I29" s="203"/>
      <c r="J29" s="203"/>
      <c r="K29" s="203"/>
    </row>
    <row r="30" spans="1:11" x14ac:dyDescent="0.25">
      <c r="B30" s="48"/>
      <c r="C30" s="50">
        <f>'Data Sheet'!C16</f>
        <v>42825</v>
      </c>
      <c r="D30" s="50">
        <f>'Data Sheet'!D16</f>
        <v>43190</v>
      </c>
      <c r="E30" s="50">
        <f>'Data Sheet'!E16</f>
        <v>43555</v>
      </c>
      <c r="F30" s="50">
        <f>'Data Sheet'!F16</f>
        <v>43921</v>
      </c>
      <c r="G30" s="50">
        <f>'Data Sheet'!G16</f>
        <v>44286</v>
      </c>
      <c r="H30" s="50">
        <f>'Data Sheet'!H16</f>
        <v>44651</v>
      </c>
      <c r="I30" s="50">
        <f>'Data Sheet'!I16</f>
        <v>45016</v>
      </c>
      <c r="J30" s="50">
        <f>'Data Sheet'!J16</f>
        <v>45382</v>
      </c>
      <c r="K30" s="50">
        <f>'Data Sheet'!K16</f>
        <v>45747</v>
      </c>
    </row>
    <row r="31" spans="1:11" x14ac:dyDescent="0.25">
      <c r="B31" t="str">
        <f>IFERROR(Historical_FS!B42,0)</f>
        <v>Net Profit</v>
      </c>
      <c r="C31" s="25">
        <f>IFERROR(Historical_FS!D42,0)</f>
        <v>2713.5099999999979</v>
      </c>
      <c r="D31" s="25">
        <f>IFERROR(Historical_FS!E42,0)</f>
        <v>2224.4599999999982</v>
      </c>
      <c r="E31" s="25">
        <f>IFERROR(Historical_FS!F42,0)</f>
        <v>2400.3800000000065</v>
      </c>
      <c r="F31" s="25">
        <f>IFERROR(Historical_FS!G42,0)</f>
        <v>5750.880000000001</v>
      </c>
      <c r="G31" s="25">
        <f>IFERROR(Historical_FS!H42,0)</f>
        <v>5461.8499999999995</v>
      </c>
      <c r="H31" s="25">
        <f>IFERROR(Historical_FS!I42,0)</f>
        <v>7334.26</v>
      </c>
      <c r="I31" s="25">
        <f>IFERROR(Historical_FS!J42,0)</f>
        <v>5073.4000000000015</v>
      </c>
      <c r="J31" s="25">
        <f>IFERROR(Historical_FS!K42,0)</f>
        <v>7003.9599999999973</v>
      </c>
      <c r="K31" s="25">
        <f>IFERROR(Historical_FS!L42,0)</f>
        <v>6039.640000000004</v>
      </c>
    </row>
    <row r="32" spans="1:11" x14ac:dyDescent="0.25">
      <c r="B32" t="s">
        <v>117</v>
      </c>
      <c r="C32" s="25">
        <f>IFERROR((('Data Sheet'!C57+'Data Sheet'!C58)+('Data Sheet'!B57+'Data Sheet'!B58))/2,"-")</f>
        <v>23168.760000000002</v>
      </c>
      <c r="D32" s="25">
        <f>IFERROR((('Data Sheet'!D57+'Data Sheet'!D58)+('Data Sheet'!C57+'Data Sheet'!C58))/2,"-")</f>
        <v>25386.525000000001</v>
      </c>
      <c r="E32" s="25">
        <f>IFERROR((('Data Sheet'!E57+'Data Sheet'!E58)+('Data Sheet'!D57+'Data Sheet'!D58))/2,"-")</f>
        <v>30065.904999999999</v>
      </c>
      <c r="F32" s="25">
        <f>IFERROR((('Data Sheet'!F57+'Data Sheet'!F58)+('Data Sheet'!E57+'Data Sheet'!E58))/2,"-")</f>
        <v>36397.205000000002</v>
      </c>
      <c r="G32" s="25">
        <f>IFERROR((('Data Sheet'!G57+'Data Sheet'!G58)+('Data Sheet'!F57+'Data Sheet'!F58))/2,"-")</f>
        <v>41609.22</v>
      </c>
      <c r="H32" s="25">
        <f>IFERROR((('Data Sheet'!H57+'Data Sheet'!H58)+('Data Sheet'!G57+'Data Sheet'!G58))/2,"-")</f>
        <v>47304.974999999999</v>
      </c>
      <c r="I32" s="25">
        <f>IFERROR((('Data Sheet'!I57+'Data Sheet'!I58)+('Data Sheet'!H57+'Data Sheet'!H58))/2,"-")</f>
        <v>52379.904999999999</v>
      </c>
      <c r="J32" s="25">
        <f>IFERROR((('Data Sheet'!J57+'Data Sheet'!J58)+('Data Sheet'!I57+'Data Sheet'!I58))/2,"-")</f>
        <v>57276.01</v>
      </c>
      <c r="K32" s="25">
        <f>IFERROR((('Data Sheet'!K57+'Data Sheet'!K58)+('Data Sheet'!J57+'Data Sheet'!J58))/2,"-")</f>
        <v>65467.125</v>
      </c>
    </row>
    <row r="33" spans="2:11" x14ac:dyDescent="0.25">
      <c r="B33" s="113" t="s">
        <v>116</v>
      </c>
      <c r="C33" s="114">
        <f>IFERROR(C31/C32,"-")</f>
        <v>0.11711934518722615</v>
      </c>
      <c r="D33" s="114">
        <f t="shared" ref="D33:J33" si="0">IFERROR(D31/D32,"-")</f>
        <v>8.7623650735971073E-2</v>
      </c>
      <c r="E33" s="114">
        <f t="shared" si="0"/>
        <v>7.9837277474268831E-2</v>
      </c>
      <c r="F33" s="114">
        <f t="shared" si="0"/>
        <v>0.15800334119062168</v>
      </c>
      <c r="G33" s="114">
        <f t="shared" si="0"/>
        <v>0.13126537820223497</v>
      </c>
      <c r="H33" s="114">
        <f t="shared" si="0"/>
        <v>0.15504204367511029</v>
      </c>
      <c r="I33" s="114">
        <f t="shared" si="0"/>
        <v>9.6857754896653617E-2</v>
      </c>
      <c r="J33" s="114">
        <f t="shared" si="0"/>
        <v>0.12228435605063966</v>
      </c>
      <c r="K33" s="114">
        <f>IFERROR(K31/K32,"-")</f>
        <v>9.225454760690964E-2</v>
      </c>
    </row>
    <row r="35" spans="2:11" x14ac:dyDescent="0.25">
      <c r="B35" s="203" t="s">
        <v>119</v>
      </c>
      <c r="C35" s="203"/>
      <c r="D35" s="203"/>
      <c r="E35" s="203"/>
      <c r="F35" s="203"/>
      <c r="G35" s="203"/>
      <c r="H35" s="203"/>
      <c r="I35" s="203"/>
      <c r="J35" s="203"/>
      <c r="K35" s="203"/>
    </row>
    <row r="36" spans="2:11" x14ac:dyDescent="0.25">
      <c r="B36" s="48"/>
      <c r="C36" s="50">
        <f t="shared" ref="C36:J36" si="1">C30</f>
        <v>42825</v>
      </c>
      <c r="D36" s="50">
        <f t="shared" si="1"/>
        <v>43190</v>
      </c>
      <c r="E36" s="50">
        <f t="shared" si="1"/>
        <v>43555</v>
      </c>
      <c r="F36" s="50">
        <f t="shared" si="1"/>
        <v>43921</v>
      </c>
      <c r="G36" s="50">
        <f t="shared" si="1"/>
        <v>44286</v>
      </c>
      <c r="H36" s="50">
        <f t="shared" si="1"/>
        <v>44651</v>
      </c>
      <c r="I36" s="50">
        <f t="shared" si="1"/>
        <v>45016</v>
      </c>
      <c r="J36" s="50">
        <f t="shared" si="1"/>
        <v>45382</v>
      </c>
      <c r="K36" s="50">
        <f>K30</f>
        <v>45747</v>
      </c>
    </row>
    <row r="37" spans="2:11" x14ac:dyDescent="0.25">
      <c r="B37" t="str">
        <f>IFERROR(B31,0)</f>
        <v>Net Profit</v>
      </c>
      <c r="C37" s="25">
        <f>IFERROR(C31,0)</f>
        <v>2713.5099999999979</v>
      </c>
      <c r="D37" s="25">
        <f t="shared" ref="D37:K37" si="2">IFERROR(D31,0)</f>
        <v>2224.4599999999982</v>
      </c>
      <c r="E37" s="25">
        <f t="shared" si="2"/>
        <v>2400.3800000000065</v>
      </c>
      <c r="F37" s="25">
        <f t="shared" si="2"/>
        <v>5750.880000000001</v>
      </c>
      <c r="G37" s="25">
        <f t="shared" si="2"/>
        <v>5461.8499999999995</v>
      </c>
      <c r="H37" s="25">
        <f t="shared" si="2"/>
        <v>7334.26</v>
      </c>
      <c r="I37" s="25">
        <f t="shared" si="2"/>
        <v>5073.4000000000015</v>
      </c>
      <c r="J37" s="25">
        <f t="shared" si="2"/>
        <v>7003.9599999999973</v>
      </c>
      <c r="K37" s="25">
        <f t="shared" si="2"/>
        <v>6039.640000000004</v>
      </c>
    </row>
    <row r="38" spans="2:11" x14ac:dyDescent="0.25">
      <c r="B38" t="s">
        <v>1</v>
      </c>
      <c r="C38" s="25">
        <f>IFERROR(Historical_FS!D9,0)</f>
        <v>25374.94</v>
      </c>
      <c r="D38" s="25">
        <f>IFERROR(Historical_FS!E9,0)</f>
        <v>30978.62</v>
      </c>
      <c r="E38" s="25">
        <f>IFERROR(Historical_FS!F9,0)</f>
        <v>41462.26</v>
      </c>
      <c r="F38" s="25">
        <f>IFERROR(Historical_FS!G9,0)</f>
        <v>42429.89</v>
      </c>
      <c r="G38" s="25">
        <f>IFERROR(Historical_FS!H9,0)</f>
        <v>44725.8</v>
      </c>
      <c r="H38" s="25">
        <f>IFERROR(Historical_FS!I9,0)</f>
        <v>52598.83</v>
      </c>
      <c r="I38" s="25">
        <f>IFERROR(Historical_FS!J9,0)</f>
        <v>63239.98</v>
      </c>
      <c r="J38" s="25">
        <f>IFERROR(Historical_FS!K9,0)</f>
        <v>70908.14</v>
      </c>
      <c r="K38" s="25">
        <f>IFERROR(Historical_FS!L9,0)</f>
        <v>75955.13</v>
      </c>
    </row>
    <row r="39" spans="2:11" x14ac:dyDescent="0.25">
      <c r="B39" s="113" t="s">
        <v>118</v>
      </c>
      <c r="C39" s="114">
        <f t="shared" ref="C39:J39" si="3">IFERROR(C37/C38,0)</f>
        <v>0.10693660753483547</v>
      </c>
      <c r="D39" s="114">
        <f t="shared" si="3"/>
        <v>7.1806297375415634E-2</v>
      </c>
      <c r="E39" s="114">
        <f t="shared" si="3"/>
        <v>5.7893129800450006E-2</v>
      </c>
      <c r="F39" s="114">
        <f t="shared" si="3"/>
        <v>0.13553841407554912</v>
      </c>
      <c r="G39" s="114">
        <f t="shared" si="3"/>
        <v>0.12211855349708667</v>
      </c>
      <c r="H39" s="114">
        <f t="shared" si="3"/>
        <v>0.13943770232151551</v>
      </c>
      <c r="I39" s="114">
        <f t="shared" si="3"/>
        <v>8.0224566800938285E-2</v>
      </c>
      <c r="J39" s="114">
        <f t="shared" si="3"/>
        <v>9.8775119471473896E-2</v>
      </c>
      <c r="K39" s="114">
        <f>IFERROR(K37/K38,0)</f>
        <v>7.9515893133222257E-2</v>
      </c>
    </row>
    <row r="41" spans="2:11" x14ac:dyDescent="0.25">
      <c r="B41" t="str">
        <f>IFERROR(B38,0)</f>
        <v>Sales</v>
      </c>
      <c r="C41" s="25">
        <f t="shared" ref="C41:K41" si="4">IFERROR(C38,0)</f>
        <v>25374.94</v>
      </c>
      <c r="D41" s="25">
        <f t="shared" si="4"/>
        <v>30978.62</v>
      </c>
      <c r="E41" s="25">
        <f t="shared" si="4"/>
        <v>41462.26</v>
      </c>
      <c r="F41" s="25">
        <f t="shared" si="4"/>
        <v>42429.89</v>
      </c>
      <c r="G41" s="25">
        <f t="shared" si="4"/>
        <v>44725.8</v>
      </c>
      <c r="H41" s="25">
        <f t="shared" si="4"/>
        <v>52598.83</v>
      </c>
      <c r="I41" s="25">
        <f t="shared" si="4"/>
        <v>63239.98</v>
      </c>
      <c r="J41" s="25">
        <f t="shared" si="4"/>
        <v>70908.14</v>
      </c>
      <c r="K41" s="25">
        <f t="shared" si="4"/>
        <v>75955.13</v>
      </c>
    </row>
    <row r="42" spans="2:11" x14ac:dyDescent="0.25">
      <c r="B42" t="s">
        <v>120</v>
      </c>
      <c r="C42" s="25">
        <f>IFERROR((Historical_FS!D76+Historical_FS!C76)/2,0)</f>
        <v>41701.11</v>
      </c>
      <c r="D42" s="25">
        <f>IFERROR((Historical_FS!E76+Historical_FS!D76)/2,0)</f>
        <v>49675.100000000006</v>
      </c>
      <c r="E42" s="25">
        <f>IFERROR((Historical_FS!F76+Historical_FS!E76)/2,0)</f>
        <v>66833.23000000001</v>
      </c>
      <c r="F42" s="25">
        <f>IFERROR((Historical_FS!G76+Historical_FS!F76)/2,0)</f>
        <v>77869.59</v>
      </c>
      <c r="G42" s="25">
        <f>IFERROR((Historical_FS!H76+Historical_FS!G76)/2,0)</f>
        <v>82695.079999999987</v>
      </c>
      <c r="H42" s="25">
        <f>IFERROR((Historical_FS!I76+Historical_FS!H76)/2,0)</f>
        <v>84993.89499999999</v>
      </c>
      <c r="I42" s="25">
        <f>IFERROR((Historical_FS!J76+Historical_FS!I76)/2,0)</f>
        <v>87595.919999999984</v>
      </c>
      <c r="J42" s="25">
        <f>IFERROR((Historical_FS!K76+Historical_FS!J76)/2,0)</f>
        <v>96088.755000000005</v>
      </c>
      <c r="K42" s="25">
        <f>IFERROR((Historical_FS!L76+Historical_FS!K76)/2,0)</f>
        <v>117214.58499999999</v>
      </c>
    </row>
    <row r="43" spans="2:11" x14ac:dyDescent="0.25">
      <c r="B43" s="113" t="s">
        <v>121</v>
      </c>
      <c r="C43" s="115">
        <f>IFERROR(C41/C42,0)</f>
        <v>0.60849555323587301</v>
      </c>
      <c r="D43" s="115">
        <f t="shared" ref="D43" si="5">IFERROR(D41/D42,0)</f>
        <v>0.62362471338759251</v>
      </c>
      <c r="E43" s="115">
        <f t="shared" ref="E43" si="6">IFERROR(E41/E42,0)</f>
        <v>0.62038390184044667</v>
      </c>
      <c r="F43" s="115">
        <f t="shared" ref="F43" si="7">IFERROR(F41/F42,0)</f>
        <v>0.54488395277283475</v>
      </c>
      <c r="G43" s="115">
        <f t="shared" ref="G43" si="8">IFERROR(G41/G42,0)</f>
        <v>0.54085200715689508</v>
      </c>
      <c r="H43" s="115">
        <f t="shared" ref="H43" si="9">IFERROR(H41/H42,0)</f>
        <v>0.61885421299965138</v>
      </c>
      <c r="I43" s="115">
        <f t="shared" ref="I43" si="10">IFERROR(I41/I42,0)</f>
        <v>0.72195120503329391</v>
      </c>
      <c r="J43" s="115">
        <f t="shared" ref="J43" si="11">IFERROR(J41/J42,0)</f>
        <v>0.73794420585426457</v>
      </c>
      <c r="K43" s="115">
        <f>IFERROR(K41/K42,0)</f>
        <v>0.64800067329505118</v>
      </c>
    </row>
    <row r="45" spans="2:11" x14ac:dyDescent="0.25">
      <c r="B45" t="str">
        <f>IFERROR(B42,0)</f>
        <v>Average Total Assets</v>
      </c>
      <c r="C45" s="25">
        <f t="shared" ref="C45:K45" si="12">IFERROR(C42,0)</f>
        <v>41701.11</v>
      </c>
      <c r="D45" s="25">
        <f t="shared" si="12"/>
        <v>49675.100000000006</v>
      </c>
      <c r="E45" s="25">
        <f t="shared" si="12"/>
        <v>66833.23000000001</v>
      </c>
      <c r="F45" s="25">
        <f t="shared" si="12"/>
        <v>77869.59</v>
      </c>
      <c r="G45" s="25">
        <f t="shared" si="12"/>
        <v>82695.079999999987</v>
      </c>
      <c r="H45" s="25">
        <f t="shared" si="12"/>
        <v>84993.89499999999</v>
      </c>
      <c r="I45" s="25">
        <f t="shared" si="12"/>
        <v>87595.919999999984</v>
      </c>
      <c r="J45" s="25">
        <f t="shared" si="12"/>
        <v>96088.755000000005</v>
      </c>
      <c r="K45" s="25">
        <f t="shared" si="12"/>
        <v>117214.58499999999</v>
      </c>
    </row>
    <row r="46" spans="2:11" x14ac:dyDescent="0.25">
      <c r="B46" t="str">
        <f>IFERROR(B32,0)</f>
        <v>Average Shareholder's Equity</v>
      </c>
      <c r="C46" s="25">
        <f t="shared" ref="C46:K46" si="13">IFERROR(C32,0)</f>
        <v>23168.760000000002</v>
      </c>
      <c r="D46" s="25">
        <f t="shared" si="13"/>
        <v>25386.525000000001</v>
      </c>
      <c r="E46" s="25">
        <f t="shared" si="13"/>
        <v>30065.904999999999</v>
      </c>
      <c r="F46" s="25">
        <f t="shared" si="13"/>
        <v>36397.205000000002</v>
      </c>
      <c r="G46" s="25">
        <f t="shared" si="13"/>
        <v>41609.22</v>
      </c>
      <c r="H46" s="25">
        <f t="shared" si="13"/>
        <v>47304.974999999999</v>
      </c>
      <c r="I46" s="25">
        <f t="shared" si="13"/>
        <v>52379.904999999999</v>
      </c>
      <c r="J46" s="25">
        <f t="shared" si="13"/>
        <v>57276.01</v>
      </c>
      <c r="K46" s="25">
        <f t="shared" si="13"/>
        <v>65467.125</v>
      </c>
    </row>
    <row r="47" spans="2:11" x14ac:dyDescent="0.25">
      <c r="B47" s="113" t="s">
        <v>122</v>
      </c>
      <c r="C47" s="115">
        <f>IFERROR(C45/C46,0)</f>
        <v>1.7998852765534279</v>
      </c>
      <c r="D47" s="115">
        <f t="shared" ref="D47" si="14">IFERROR(D45/D46,0)</f>
        <v>1.9567506777709829</v>
      </c>
      <c r="E47" s="115">
        <f t="shared" ref="E47" si="15">IFERROR(E45/E46,0)</f>
        <v>2.2228910122612313</v>
      </c>
      <c r="F47" s="115">
        <f t="shared" ref="F47" si="16">IFERROR(F45/F46,0)</f>
        <v>2.139438728880418</v>
      </c>
      <c r="G47" s="115">
        <f t="shared" ref="G47" si="17">IFERROR(G45/G46,0)</f>
        <v>1.9874220184853257</v>
      </c>
      <c r="H47" s="115">
        <f t="shared" ref="H47" si="18">IFERROR(H45/H46,0)</f>
        <v>1.7967221206648982</v>
      </c>
      <c r="I47" s="115">
        <f t="shared" ref="I47" si="19">IFERROR(I45/I46,0)</f>
        <v>1.6723191842367791</v>
      </c>
      <c r="J47" s="115">
        <f t="shared" ref="J47" si="20">IFERROR(J45/J46,0)</f>
        <v>1.6776440083727899</v>
      </c>
      <c r="K47" s="115">
        <f>IFERROR(K45/K46,0)</f>
        <v>1.790434282855708</v>
      </c>
    </row>
    <row r="49" spans="1:11" x14ac:dyDescent="0.25">
      <c r="B49" s="109" t="s">
        <v>123</v>
      </c>
      <c r="C49" s="116">
        <f>IFERROR(C39*C43*C47,0)</f>
        <v>0.11711934518722614</v>
      </c>
      <c r="D49" s="116">
        <f t="shared" ref="D49:K49" si="21">IFERROR(D39*D43*D47,0)</f>
        <v>8.7623650735971073E-2</v>
      </c>
      <c r="E49" s="116">
        <f t="shared" si="21"/>
        <v>7.9837277474268831E-2</v>
      </c>
      <c r="F49" s="116">
        <f t="shared" si="21"/>
        <v>0.15800334119062168</v>
      </c>
      <c r="G49" s="116">
        <f t="shared" si="21"/>
        <v>0.13126537820223497</v>
      </c>
      <c r="H49" s="116">
        <f t="shared" si="21"/>
        <v>0.15504204367511026</v>
      </c>
      <c r="I49" s="116">
        <f t="shared" si="21"/>
        <v>9.6857754896653617E-2</v>
      </c>
      <c r="J49" s="116">
        <f t="shared" si="21"/>
        <v>0.12228435605063964</v>
      </c>
      <c r="K49" s="116">
        <f t="shared" si="21"/>
        <v>9.225454760690964E-2</v>
      </c>
    </row>
    <row r="51" spans="1:11" x14ac:dyDescent="0.25">
      <c r="B51" s="36" t="s">
        <v>76</v>
      </c>
      <c r="C51" s="36" t="b">
        <f>C49=C33</f>
        <v>1</v>
      </c>
      <c r="D51" s="36" t="b">
        <f t="shared" ref="D51:K51" si="22">D49=D33</f>
        <v>1</v>
      </c>
      <c r="E51" s="36" t="b">
        <f t="shared" si="22"/>
        <v>1</v>
      </c>
      <c r="F51" s="36" t="b">
        <f t="shared" si="22"/>
        <v>1</v>
      </c>
      <c r="G51" s="36" t="b">
        <f t="shared" si="22"/>
        <v>1</v>
      </c>
      <c r="H51" s="36" t="b">
        <f t="shared" si="22"/>
        <v>1</v>
      </c>
      <c r="I51" s="36" t="b">
        <f t="shared" si="22"/>
        <v>1</v>
      </c>
      <c r="J51" s="36" t="b">
        <f t="shared" si="22"/>
        <v>1</v>
      </c>
      <c r="K51" s="36" t="b">
        <f t="shared" si="22"/>
        <v>1</v>
      </c>
    </row>
    <row r="53" spans="1:11" x14ac:dyDescent="0.25">
      <c r="A53" s="51" t="s">
        <v>56</v>
      </c>
      <c r="B53" s="203" t="s">
        <v>124</v>
      </c>
      <c r="C53" s="203"/>
      <c r="D53" s="203"/>
      <c r="E53" s="203"/>
      <c r="F53" s="203"/>
      <c r="G53" s="203"/>
      <c r="H53" s="203"/>
      <c r="I53" s="203"/>
      <c r="J53" s="203"/>
      <c r="K53" s="203"/>
    </row>
    <row r="54" spans="1:11" x14ac:dyDescent="0.25">
      <c r="B54" s="48"/>
      <c r="C54" s="50">
        <f t="shared" ref="C54:J54" si="23">C30</f>
        <v>42825</v>
      </c>
      <c r="D54" s="50">
        <f t="shared" si="23"/>
        <v>43190</v>
      </c>
      <c r="E54" s="50">
        <f t="shared" si="23"/>
        <v>43555</v>
      </c>
      <c r="F54" s="50">
        <f t="shared" si="23"/>
        <v>43921</v>
      </c>
      <c r="G54" s="50">
        <f t="shared" si="23"/>
        <v>44286</v>
      </c>
      <c r="H54" s="50">
        <f t="shared" si="23"/>
        <v>44651</v>
      </c>
      <c r="I54" s="50">
        <f t="shared" si="23"/>
        <v>45016</v>
      </c>
      <c r="J54" s="50">
        <f t="shared" si="23"/>
        <v>45382</v>
      </c>
      <c r="K54" s="50">
        <f>K30</f>
        <v>45747</v>
      </c>
    </row>
    <row r="55" spans="1:11" x14ac:dyDescent="0.25">
      <c r="B55" t="str">
        <f>IFERROR(B37,0)</f>
        <v>Net Profit</v>
      </c>
      <c r="C55" s="25">
        <f t="shared" ref="C55:K55" si="24">IFERROR(C37,0)</f>
        <v>2713.5099999999979</v>
      </c>
      <c r="D55" s="25">
        <f t="shared" si="24"/>
        <v>2224.4599999999982</v>
      </c>
      <c r="E55" s="25">
        <f t="shared" si="24"/>
        <v>2400.3800000000065</v>
      </c>
      <c r="F55" s="25">
        <f t="shared" si="24"/>
        <v>5750.880000000001</v>
      </c>
      <c r="G55" s="25">
        <f t="shared" si="24"/>
        <v>5461.8499999999995</v>
      </c>
      <c r="H55" s="25">
        <f t="shared" si="24"/>
        <v>7334.26</v>
      </c>
      <c r="I55" s="25">
        <f t="shared" si="24"/>
        <v>5073.4000000000015</v>
      </c>
      <c r="J55" s="25">
        <f t="shared" si="24"/>
        <v>7003.9599999999973</v>
      </c>
      <c r="K55" s="25">
        <f t="shared" si="24"/>
        <v>6039.640000000004</v>
      </c>
    </row>
    <row r="56" spans="1:11" x14ac:dyDescent="0.25">
      <c r="B56" t="str">
        <f>IFERROR(B42,0)</f>
        <v>Average Total Assets</v>
      </c>
      <c r="C56" s="25">
        <f t="shared" ref="C56:K56" si="25">IFERROR(C42,0)</f>
        <v>41701.11</v>
      </c>
      <c r="D56" s="25">
        <f t="shared" si="25"/>
        <v>49675.100000000006</v>
      </c>
      <c r="E56" s="25">
        <f t="shared" si="25"/>
        <v>66833.23000000001</v>
      </c>
      <c r="F56" s="25">
        <f t="shared" si="25"/>
        <v>77869.59</v>
      </c>
      <c r="G56" s="25">
        <f t="shared" si="25"/>
        <v>82695.079999999987</v>
      </c>
      <c r="H56" s="25">
        <f t="shared" si="25"/>
        <v>84993.89499999999</v>
      </c>
      <c r="I56" s="25">
        <f t="shared" si="25"/>
        <v>87595.919999999984</v>
      </c>
      <c r="J56" s="25">
        <f t="shared" si="25"/>
        <v>96088.755000000005</v>
      </c>
      <c r="K56" s="25">
        <f t="shared" si="25"/>
        <v>117214.58499999999</v>
      </c>
    </row>
    <row r="57" spans="1:11" x14ac:dyDescent="0.25">
      <c r="B57" s="113" t="s">
        <v>124</v>
      </c>
      <c r="C57" s="114">
        <f>IFERROR(C55/C56,"-")</f>
        <v>6.5070450163077137E-2</v>
      </c>
      <c r="D57" s="114">
        <f t="shared" ref="D57" si="26">IFERROR(D55/D56,"-")</f>
        <v>4.4780181620167808E-2</v>
      </c>
      <c r="E57" s="114">
        <f t="shared" ref="E57" si="27">IFERROR(E55/E56,"-")</f>
        <v>3.5915965755358617E-2</v>
      </c>
      <c r="F57" s="114">
        <f t="shared" ref="F57" si="28">IFERROR(F55/F56,"-")</f>
        <v>7.3852706814046418E-2</v>
      </c>
      <c r="G57" s="114">
        <f t="shared" ref="G57" si="29">IFERROR(G55/G56,"-")</f>
        <v>6.6048064769995987E-2</v>
      </c>
      <c r="H57" s="114">
        <f t="shared" ref="H57" si="30">IFERROR(H55/H56,"-")</f>
        <v>8.6291609532661157E-2</v>
      </c>
      <c r="I57" s="114">
        <f t="shared" ref="I57" si="31">IFERROR(I55/I56,"-")</f>
        <v>5.7918222675211385E-2</v>
      </c>
      <c r="J57" s="114">
        <f t="shared" ref="J57" si="32">IFERROR(J55/J56,"-")</f>
        <v>7.2890527096536914E-2</v>
      </c>
      <c r="K57" s="114">
        <f>IFERROR(K55/K56,"-")</f>
        <v>5.1526352287985362E-2</v>
      </c>
    </row>
    <row r="59" spans="1:11" x14ac:dyDescent="0.25">
      <c r="B59" s="203" t="s">
        <v>125</v>
      </c>
      <c r="C59" s="203"/>
      <c r="D59" s="203"/>
      <c r="E59" s="203"/>
      <c r="F59" s="203"/>
      <c r="G59" s="203"/>
      <c r="H59" s="203"/>
      <c r="I59" s="203"/>
      <c r="J59" s="203"/>
      <c r="K59" s="203"/>
    </row>
    <row r="60" spans="1:11" x14ac:dyDescent="0.25">
      <c r="B60" s="48"/>
      <c r="C60" s="50">
        <f t="shared" ref="C60:J60" si="33">C36</f>
        <v>42825</v>
      </c>
      <c r="D60" s="50">
        <f t="shared" si="33"/>
        <v>43190</v>
      </c>
      <c r="E60" s="50">
        <f t="shared" si="33"/>
        <v>43555</v>
      </c>
      <c r="F60" s="50">
        <f t="shared" si="33"/>
        <v>43921</v>
      </c>
      <c r="G60" s="50">
        <f t="shared" si="33"/>
        <v>44286</v>
      </c>
      <c r="H60" s="50">
        <f t="shared" si="33"/>
        <v>44651</v>
      </c>
      <c r="I60" s="50">
        <f t="shared" si="33"/>
        <v>45016</v>
      </c>
      <c r="J60" s="50">
        <f t="shared" si="33"/>
        <v>45382</v>
      </c>
      <c r="K60" s="50">
        <f>K36</f>
        <v>45747</v>
      </c>
    </row>
    <row r="61" spans="1:11" x14ac:dyDescent="0.25">
      <c r="B61" t="str">
        <f>IFERROR(B37,0)</f>
        <v>Net Profit</v>
      </c>
      <c r="C61" s="25">
        <f t="shared" ref="C61:K61" si="34">IFERROR(C37,0)</f>
        <v>2713.5099999999979</v>
      </c>
      <c r="D61" s="25">
        <f t="shared" si="34"/>
        <v>2224.4599999999982</v>
      </c>
      <c r="E61" s="25">
        <f t="shared" si="34"/>
        <v>2400.3800000000065</v>
      </c>
      <c r="F61" s="25">
        <f t="shared" si="34"/>
        <v>5750.880000000001</v>
      </c>
      <c r="G61" s="25">
        <f t="shared" si="34"/>
        <v>5461.8499999999995</v>
      </c>
      <c r="H61" s="25">
        <f t="shared" si="34"/>
        <v>7334.26</v>
      </c>
      <c r="I61" s="25">
        <f t="shared" si="34"/>
        <v>5073.4000000000015</v>
      </c>
      <c r="J61" s="25">
        <f t="shared" si="34"/>
        <v>7003.9599999999973</v>
      </c>
      <c r="K61" s="25">
        <f t="shared" si="34"/>
        <v>6039.640000000004</v>
      </c>
    </row>
    <row r="62" spans="1:11" x14ac:dyDescent="0.25">
      <c r="B62" t="str">
        <f>IFERROR(B38,0)</f>
        <v>Sales</v>
      </c>
      <c r="C62" s="25">
        <f t="shared" ref="C62:K62" si="35">IFERROR(C38,0)</f>
        <v>25374.94</v>
      </c>
      <c r="D62" s="25">
        <f t="shared" si="35"/>
        <v>30978.62</v>
      </c>
      <c r="E62" s="25">
        <f t="shared" si="35"/>
        <v>41462.26</v>
      </c>
      <c r="F62" s="25">
        <f t="shared" si="35"/>
        <v>42429.89</v>
      </c>
      <c r="G62" s="25">
        <f t="shared" si="35"/>
        <v>44725.8</v>
      </c>
      <c r="H62" s="25">
        <f t="shared" si="35"/>
        <v>52598.83</v>
      </c>
      <c r="I62" s="25">
        <f t="shared" si="35"/>
        <v>63239.98</v>
      </c>
      <c r="J62" s="25">
        <f t="shared" si="35"/>
        <v>70908.14</v>
      </c>
      <c r="K62" s="25">
        <f t="shared" si="35"/>
        <v>75955.13</v>
      </c>
    </row>
    <row r="63" spans="1:11" x14ac:dyDescent="0.25">
      <c r="B63" s="113" t="s">
        <v>118</v>
      </c>
      <c r="C63" s="114">
        <f>IFERROR(C61/C62,"-")</f>
        <v>0.10693660753483547</v>
      </c>
      <c r="D63" s="114">
        <f t="shared" ref="D63" si="36">IFERROR(D61/D62,"-")</f>
        <v>7.1806297375415634E-2</v>
      </c>
      <c r="E63" s="114">
        <f t="shared" ref="E63" si="37">IFERROR(E61/E62,"-")</f>
        <v>5.7893129800450006E-2</v>
      </c>
      <c r="F63" s="114">
        <f t="shared" ref="F63" si="38">IFERROR(F61/F62,"-")</f>
        <v>0.13553841407554912</v>
      </c>
      <c r="G63" s="114">
        <f t="shared" ref="G63" si="39">IFERROR(G61/G62,"-")</f>
        <v>0.12211855349708667</v>
      </c>
      <c r="H63" s="114">
        <f t="shared" ref="H63" si="40">IFERROR(H61/H62,"-")</f>
        <v>0.13943770232151551</v>
      </c>
      <c r="I63" s="114">
        <f t="shared" ref="I63" si="41">IFERROR(I61/I62,"-")</f>
        <v>8.0224566800938285E-2</v>
      </c>
      <c r="J63" s="114">
        <f t="shared" ref="J63" si="42">IFERROR(J61/J62,"-")</f>
        <v>9.8775119471473896E-2</v>
      </c>
      <c r="K63" s="114">
        <f>IFERROR(K61/K62,"-")</f>
        <v>7.9515893133222257E-2</v>
      </c>
    </row>
    <row r="65" spans="1:11" x14ac:dyDescent="0.25">
      <c r="B65" t="str">
        <f>IFERROR(B41,0)</f>
        <v>Sales</v>
      </c>
      <c r="C65" s="25">
        <f t="shared" ref="C65:K65" si="43">IFERROR(C41,0)</f>
        <v>25374.94</v>
      </c>
      <c r="D65" s="25">
        <f t="shared" si="43"/>
        <v>30978.62</v>
      </c>
      <c r="E65" s="25">
        <f t="shared" si="43"/>
        <v>41462.26</v>
      </c>
      <c r="F65" s="25">
        <f t="shared" si="43"/>
        <v>42429.89</v>
      </c>
      <c r="G65" s="25">
        <f t="shared" si="43"/>
        <v>44725.8</v>
      </c>
      <c r="H65" s="25">
        <f t="shared" si="43"/>
        <v>52598.83</v>
      </c>
      <c r="I65" s="25">
        <f t="shared" si="43"/>
        <v>63239.98</v>
      </c>
      <c r="J65" s="25">
        <f t="shared" si="43"/>
        <v>70908.14</v>
      </c>
      <c r="K65" s="25">
        <f t="shared" si="43"/>
        <v>75955.13</v>
      </c>
    </row>
    <row r="66" spans="1:11" x14ac:dyDescent="0.25">
      <c r="B66" t="str">
        <f>IFERROR(B42,0)</f>
        <v>Average Total Assets</v>
      </c>
      <c r="C66" s="25">
        <f t="shared" ref="C66:K66" si="44">IFERROR(C42,0)</f>
        <v>41701.11</v>
      </c>
      <c r="D66" s="25">
        <f t="shared" si="44"/>
        <v>49675.100000000006</v>
      </c>
      <c r="E66" s="25">
        <f t="shared" si="44"/>
        <v>66833.23000000001</v>
      </c>
      <c r="F66" s="25">
        <f t="shared" si="44"/>
        <v>77869.59</v>
      </c>
      <c r="G66" s="25">
        <f t="shared" si="44"/>
        <v>82695.079999999987</v>
      </c>
      <c r="H66" s="25">
        <f t="shared" si="44"/>
        <v>84993.89499999999</v>
      </c>
      <c r="I66" s="25">
        <f t="shared" si="44"/>
        <v>87595.919999999984</v>
      </c>
      <c r="J66" s="25">
        <f t="shared" si="44"/>
        <v>96088.755000000005</v>
      </c>
      <c r="K66" s="25">
        <f t="shared" si="44"/>
        <v>117214.58499999999</v>
      </c>
    </row>
    <row r="67" spans="1:11" x14ac:dyDescent="0.25">
      <c r="B67" s="113" t="s">
        <v>121</v>
      </c>
      <c r="C67" s="114">
        <f>IFERROR(C65/C66,"-")</f>
        <v>0.60849555323587301</v>
      </c>
      <c r="D67" s="114">
        <f t="shared" ref="D67" si="45">IFERROR(D65/D66,"-")</f>
        <v>0.62362471338759251</v>
      </c>
      <c r="E67" s="114">
        <f t="shared" ref="E67" si="46">IFERROR(E65/E66,"-")</f>
        <v>0.62038390184044667</v>
      </c>
      <c r="F67" s="114">
        <f t="shared" ref="F67" si="47">IFERROR(F65/F66,"-")</f>
        <v>0.54488395277283475</v>
      </c>
      <c r="G67" s="114">
        <f t="shared" ref="G67" si="48">IFERROR(G65/G66,"-")</f>
        <v>0.54085200715689508</v>
      </c>
      <c r="H67" s="114">
        <f t="shared" ref="H67" si="49">IFERROR(H65/H66,"-")</f>
        <v>0.61885421299965138</v>
      </c>
      <c r="I67" s="114">
        <f t="shared" ref="I67" si="50">IFERROR(I65/I66,"-")</f>
        <v>0.72195120503329391</v>
      </c>
      <c r="J67" s="114">
        <f t="shared" ref="J67" si="51">IFERROR(J65/J66,"-")</f>
        <v>0.73794420585426457</v>
      </c>
      <c r="K67" s="114">
        <f>IFERROR(K65/K66,"-")</f>
        <v>0.64800067329505118</v>
      </c>
    </row>
    <row r="69" spans="1:11" x14ac:dyDescent="0.25">
      <c r="A69" s="51" t="s">
        <v>56</v>
      </c>
      <c r="B69" s="109" t="s">
        <v>126</v>
      </c>
      <c r="C69" s="116">
        <f t="shared" ref="C69:J69" si="52">IFERROR(C63*C67,0)</f>
        <v>6.5070450163077137E-2</v>
      </c>
      <c r="D69" s="116">
        <f t="shared" si="52"/>
        <v>4.4780181620167808E-2</v>
      </c>
      <c r="E69" s="116">
        <f t="shared" si="52"/>
        <v>3.5915965755358617E-2</v>
      </c>
      <c r="F69" s="116">
        <f t="shared" si="52"/>
        <v>7.3852706814046432E-2</v>
      </c>
      <c r="G69" s="116">
        <f t="shared" si="52"/>
        <v>6.6048064769995987E-2</v>
      </c>
      <c r="H69" s="116">
        <f t="shared" si="52"/>
        <v>8.6291609532661143E-2</v>
      </c>
      <c r="I69" s="116">
        <f t="shared" si="52"/>
        <v>5.7918222675211378E-2</v>
      </c>
      <c r="J69" s="116">
        <f t="shared" si="52"/>
        <v>7.2890527096536914E-2</v>
      </c>
      <c r="K69" s="116">
        <f>IFERROR(K63*K67,0)</f>
        <v>5.1526352287985362E-2</v>
      </c>
    </row>
    <row r="71" spans="1:11" x14ac:dyDescent="0.25">
      <c r="B71" s="36" t="s">
        <v>76</v>
      </c>
      <c r="C71" s="36" t="b">
        <f>C69=C57</f>
        <v>1</v>
      </c>
      <c r="D71" s="36" t="b">
        <f t="shared" ref="D71:K71" si="53">D69=D57</f>
        <v>1</v>
      </c>
      <c r="E71" s="36" t="b">
        <f t="shared" si="53"/>
        <v>1</v>
      </c>
      <c r="F71" s="36" t="b">
        <f t="shared" si="53"/>
        <v>1</v>
      </c>
      <c r="G71" s="36" t="b">
        <f t="shared" si="53"/>
        <v>1</v>
      </c>
      <c r="H71" s="36" t="b">
        <f t="shared" si="53"/>
        <v>0</v>
      </c>
      <c r="I71" s="36" t="b">
        <f t="shared" si="53"/>
        <v>1</v>
      </c>
      <c r="J71" s="36" t="b">
        <f t="shared" si="53"/>
        <v>1</v>
      </c>
      <c r="K71" s="36" t="b">
        <f t="shared" si="53"/>
        <v>1</v>
      </c>
    </row>
  </sheetData>
  <mergeCells count="5">
    <mergeCell ref="B29:K29"/>
    <mergeCell ref="B35:K35"/>
    <mergeCell ref="B53:K53"/>
    <mergeCell ref="B59:K59"/>
    <mergeCell ref="B6:K6"/>
  </mergeCells>
  <pageMargins left="0.7" right="0.7" top="0.75" bottom="0.75" header="0.3" footer="0.3"/>
  <pageSetup scale="65"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245D-1AF7-4F2C-8173-B59321CB9EAD}">
  <dimension ref="B1:L23"/>
  <sheetViews>
    <sheetView showGridLines="0" zoomScale="80" zoomScaleNormal="80" workbookViewId="0">
      <selection activeCell="G29" sqref="G29"/>
    </sheetView>
  </sheetViews>
  <sheetFormatPr defaultRowHeight="15" x14ac:dyDescent="0.25"/>
  <cols>
    <col min="1" max="1" width="1.85546875" customWidth="1"/>
    <col min="3" max="3" width="11.42578125" bestFit="1" customWidth="1"/>
    <col min="4" max="4" width="11.42578125" customWidth="1"/>
  </cols>
  <sheetData>
    <row r="1" spans="2:12" s="170" customFormat="1" x14ac:dyDescent="0.25"/>
    <row r="2" spans="2:12" s="170" customFormat="1" x14ac:dyDescent="0.25"/>
    <row r="3" spans="2:12" s="170" customFormat="1" x14ac:dyDescent="0.25"/>
    <row r="4" spans="2:12" s="170" customFormat="1" x14ac:dyDescent="0.25"/>
    <row r="5" spans="2:12" s="170" customFormat="1" x14ac:dyDescent="0.25"/>
    <row r="7" spans="2:12" x14ac:dyDescent="0.25">
      <c r="B7" s="203" t="s">
        <v>312</v>
      </c>
      <c r="C7" s="203"/>
      <c r="D7" s="203"/>
      <c r="F7" s="203" t="s">
        <v>313</v>
      </c>
      <c r="G7" s="203"/>
      <c r="H7" s="203"/>
      <c r="J7" s="203" t="s">
        <v>314</v>
      </c>
      <c r="K7" s="203"/>
      <c r="L7" s="203"/>
    </row>
    <row r="8" spans="2:12" x14ac:dyDescent="0.25">
      <c r="C8" s="172"/>
      <c r="D8" s="172"/>
    </row>
    <row r="9" spans="2:12" x14ac:dyDescent="0.25">
      <c r="B9" s="173"/>
      <c r="C9" s="25"/>
      <c r="D9" s="25"/>
    </row>
    <row r="10" spans="2:12" x14ac:dyDescent="0.25">
      <c r="B10" s="173"/>
      <c r="C10" s="25"/>
      <c r="D10" s="25"/>
    </row>
    <row r="11" spans="2:12" x14ac:dyDescent="0.25">
      <c r="B11" s="173"/>
      <c r="C11" s="25"/>
      <c r="D11" s="25"/>
    </row>
    <row r="12" spans="2:12" x14ac:dyDescent="0.25">
      <c r="B12" s="173"/>
      <c r="C12" s="25"/>
      <c r="D12" s="25"/>
    </row>
    <row r="13" spans="2:12" x14ac:dyDescent="0.25">
      <c r="B13" s="173"/>
      <c r="C13" s="25"/>
      <c r="D13" s="25"/>
    </row>
    <row r="14" spans="2:12" x14ac:dyDescent="0.25">
      <c r="B14" s="173"/>
      <c r="C14" s="25"/>
      <c r="D14" s="25"/>
    </row>
    <row r="15" spans="2:12" x14ac:dyDescent="0.25">
      <c r="B15" s="173"/>
      <c r="C15" s="25"/>
      <c r="D15" s="25"/>
    </row>
    <row r="16" spans="2:12" x14ac:dyDescent="0.25">
      <c r="B16" s="173"/>
      <c r="C16" s="25"/>
      <c r="D16" s="25"/>
    </row>
    <row r="17" spans="2:4" x14ac:dyDescent="0.25">
      <c r="B17" s="173"/>
      <c r="C17" s="25"/>
      <c r="D17" s="25"/>
    </row>
    <row r="18" spans="2:4" x14ac:dyDescent="0.25">
      <c r="B18" s="173"/>
      <c r="C18" s="25"/>
      <c r="D18" s="25"/>
    </row>
    <row r="19" spans="2:4" x14ac:dyDescent="0.25">
      <c r="B19" s="174"/>
      <c r="C19" s="175"/>
      <c r="D19" s="175"/>
    </row>
    <row r="20" spans="2:4" x14ac:dyDescent="0.25">
      <c r="B20" s="174"/>
      <c r="C20" s="175"/>
      <c r="D20" s="175"/>
    </row>
    <row r="21" spans="2:4" x14ac:dyDescent="0.25">
      <c r="B21" s="174"/>
      <c r="C21" s="175"/>
      <c r="D21" s="175"/>
    </row>
    <row r="22" spans="2:4" x14ac:dyDescent="0.25">
      <c r="B22" s="174"/>
      <c r="C22" s="175"/>
      <c r="D22" s="175"/>
    </row>
    <row r="23" spans="2:4" x14ac:dyDescent="0.25">
      <c r="B23" s="174"/>
      <c r="C23" s="175"/>
      <c r="D23" s="175"/>
    </row>
  </sheetData>
  <mergeCells count="3">
    <mergeCell ref="F7:H7"/>
    <mergeCell ref="J7:L7"/>
    <mergeCell ref="B7:D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25C6-689C-4098-95D9-5499B7929A3D}">
  <sheetPr>
    <pageSetUpPr fitToPage="1"/>
  </sheetPr>
  <dimension ref="B6:N45"/>
  <sheetViews>
    <sheetView showGridLines="0" zoomScale="80" zoomScaleNormal="80" workbookViewId="0"/>
  </sheetViews>
  <sheetFormatPr defaultRowHeight="15" x14ac:dyDescent="0.25"/>
  <cols>
    <col min="1" max="1" width="1.85546875" customWidth="1"/>
    <col min="2" max="2" width="24.5703125" customWidth="1"/>
    <col min="3" max="3" width="13" bestFit="1" customWidth="1"/>
    <col min="4" max="4" width="14.7109375" customWidth="1"/>
    <col min="5" max="5" width="14.28515625" customWidth="1"/>
    <col min="6" max="6" width="16" customWidth="1"/>
    <col min="7" max="7" width="14.85546875" customWidth="1"/>
    <col min="8" max="8" width="12.85546875" customWidth="1"/>
    <col min="9" max="9" width="14.5703125" customWidth="1"/>
    <col min="10" max="10" width="15.28515625" customWidth="1"/>
    <col min="12" max="12" width="11.42578125" bestFit="1" customWidth="1"/>
    <col min="13" max="13" width="10.28515625" bestFit="1" customWidth="1"/>
    <col min="14" max="14" width="11.42578125" bestFit="1" customWidth="1"/>
  </cols>
  <sheetData>
    <row r="6" spans="2:14" x14ac:dyDescent="0.25">
      <c r="B6" s="9" t="s">
        <v>367</v>
      </c>
    </row>
    <row r="7" spans="2:14" ht="4.5" customHeight="1" x14ac:dyDescent="0.25"/>
    <row r="8" spans="2:14" x14ac:dyDescent="0.25">
      <c r="B8" s="65" t="s">
        <v>183</v>
      </c>
      <c r="C8" s="104"/>
      <c r="D8" s="54"/>
      <c r="E8" s="54"/>
      <c r="F8" s="54"/>
      <c r="G8" s="54"/>
      <c r="H8" s="54"/>
      <c r="I8" s="54"/>
      <c r="J8" s="54"/>
    </row>
    <row r="9" spans="2:14" x14ac:dyDescent="0.25">
      <c r="B9" s="56"/>
      <c r="C9" s="56"/>
      <c r="D9" s="56"/>
      <c r="E9" s="56"/>
      <c r="F9" s="56"/>
      <c r="G9" s="99" t="s">
        <v>187</v>
      </c>
      <c r="H9" s="99" t="s">
        <v>187</v>
      </c>
      <c r="I9" s="99" t="s">
        <v>190</v>
      </c>
      <c r="J9" s="99" t="s">
        <v>191</v>
      </c>
    </row>
    <row r="10" spans="2:14" ht="17.25" x14ac:dyDescent="0.25">
      <c r="B10" s="54" t="s">
        <v>184</v>
      </c>
      <c r="C10" s="54" t="s">
        <v>185</v>
      </c>
      <c r="D10" s="100" t="s">
        <v>107</v>
      </c>
      <c r="E10" s="100" t="s">
        <v>106</v>
      </c>
      <c r="F10" s="100" t="s">
        <v>186</v>
      </c>
      <c r="G10" s="100" t="s">
        <v>188</v>
      </c>
      <c r="H10" s="100" t="s">
        <v>189</v>
      </c>
      <c r="I10" s="100" t="s">
        <v>192</v>
      </c>
      <c r="J10" s="100" t="s">
        <v>193</v>
      </c>
    </row>
    <row r="12" spans="2:14" x14ac:dyDescent="0.25">
      <c r="B12" t="s">
        <v>217</v>
      </c>
      <c r="C12" t="s">
        <v>194</v>
      </c>
      <c r="D12" s="178">
        <v>25214.91</v>
      </c>
      <c r="E12" s="178">
        <v>363976.05</v>
      </c>
      <c r="F12" s="91">
        <v>0.3</v>
      </c>
      <c r="G12" s="34">
        <f>D12/E12</f>
        <v>6.9276288920658374E-2</v>
      </c>
      <c r="H12" s="34">
        <f>D12/(D12+E12)</f>
        <v>6.4788015631195545E-2</v>
      </c>
      <c r="I12" s="119">
        <f>UltraTech_Beta!J10</f>
        <v>1.2661066359509003</v>
      </c>
      <c r="J12" s="119">
        <f>I12/(1+(1-F12)*G12)</f>
        <v>1.2075485007732094</v>
      </c>
      <c r="K12" s="20"/>
    </row>
    <row r="13" spans="2:14" x14ac:dyDescent="0.25">
      <c r="B13" t="s">
        <v>218</v>
      </c>
      <c r="C13" t="s">
        <v>194</v>
      </c>
      <c r="D13" s="178">
        <v>186325.56</v>
      </c>
      <c r="E13" s="178">
        <v>195247.41</v>
      </c>
      <c r="F13" s="143">
        <f>$F$12</f>
        <v>0.3</v>
      </c>
      <c r="G13" s="34">
        <f>D13/E13</f>
        <v>0.95430489961428933</v>
      </c>
      <c r="H13" s="34">
        <f>D13/(D13+E13)</f>
        <v>0.48830911686433137</v>
      </c>
      <c r="I13" s="120">
        <f>Grasim_Beta!J9</f>
        <v>0.99528527427917546</v>
      </c>
      <c r="J13" s="119">
        <f t="shared" ref="J13:J16" si="0">I13/(1+(1-F13)*G13)</f>
        <v>0.59668900533989111</v>
      </c>
    </row>
    <row r="14" spans="2:14" x14ac:dyDescent="0.25">
      <c r="B14" t="s">
        <v>219</v>
      </c>
      <c r="C14" t="s">
        <v>194</v>
      </c>
      <c r="D14" s="178">
        <v>788.5</v>
      </c>
      <c r="E14" s="178">
        <v>140263.57999999999</v>
      </c>
      <c r="F14" s="143">
        <f t="shared" ref="F14:F16" si="1">$F$12</f>
        <v>0.3</v>
      </c>
      <c r="G14" s="34">
        <f>D14/E14</f>
        <v>5.6215590675783413E-3</v>
      </c>
      <c r="H14" s="34">
        <f t="shared" ref="H14:H16" si="2">D14/(D14+E14)</f>
        <v>5.5901338002247117E-3</v>
      </c>
      <c r="I14" s="120">
        <f>Ambuja_Beta!J9</f>
        <v>1.0716281188018857</v>
      </c>
      <c r="J14" s="119">
        <f t="shared" si="0"/>
        <v>1.0674276933220206</v>
      </c>
      <c r="L14" s="34"/>
    </row>
    <row r="15" spans="2:14" x14ac:dyDescent="0.25">
      <c r="B15" t="s">
        <v>220</v>
      </c>
      <c r="C15" t="s">
        <v>194</v>
      </c>
      <c r="D15" s="178">
        <v>1046.1300000000001</v>
      </c>
      <c r="E15" s="178">
        <v>104451.6</v>
      </c>
      <c r="F15" s="143">
        <f t="shared" si="1"/>
        <v>0.3</v>
      </c>
      <c r="G15" s="34">
        <f>D15/E15</f>
        <v>1.0015452132853877E-2</v>
      </c>
      <c r="H15" s="34">
        <f>D15/(D15+E15)</f>
        <v>9.9161375320587462E-3</v>
      </c>
      <c r="I15" s="120">
        <f>ShreeC_Beta!J9</f>
        <v>0.80764538070758396</v>
      </c>
      <c r="J15" s="119">
        <f t="shared" si="0"/>
        <v>0.80202254780169979</v>
      </c>
    </row>
    <row r="16" spans="2:14" x14ac:dyDescent="0.25">
      <c r="B16" t="s">
        <v>221</v>
      </c>
      <c r="C16" t="s">
        <v>194</v>
      </c>
      <c r="D16" s="178">
        <v>6028.23</v>
      </c>
      <c r="E16" s="178">
        <v>49938.35</v>
      </c>
      <c r="F16" s="143">
        <f t="shared" si="1"/>
        <v>0.3</v>
      </c>
      <c r="G16" s="34">
        <f>D16/E16</f>
        <v>0.12071343967111448</v>
      </c>
      <c r="H16" s="34">
        <f t="shared" si="2"/>
        <v>0.10771124481788952</v>
      </c>
      <c r="I16" s="120">
        <f>JKC_Beta!J9</f>
        <v>1.0994855575687337</v>
      </c>
      <c r="J16" s="119">
        <f t="shared" si="0"/>
        <v>1.0138184951430926</v>
      </c>
      <c r="L16" s="8"/>
      <c r="N16" s="34"/>
    </row>
    <row r="17" spans="2:14" x14ac:dyDescent="0.25">
      <c r="N17" s="8"/>
    </row>
    <row r="18" spans="2:14" x14ac:dyDescent="0.25">
      <c r="E18" s="93" t="s">
        <v>195</v>
      </c>
      <c r="F18" s="95">
        <f>AVERAGE(F12:F16)</f>
        <v>0.3</v>
      </c>
      <c r="G18" s="95">
        <f>AVERAGE(G12:G16)</f>
        <v>0.23198632788129889</v>
      </c>
      <c r="H18" s="95">
        <f>AVERAGE(H12:H16)</f>
        <v>0.13526292972913997</v>
      </c>
      <c r="I18" s="117">
        <f>AVERAGE(I12:I16)</f>
        <v>1.0480301934616558</v>
      </c>
      <c r="J18" s="117">
        <f>AVERAGE(J12:J16)</f>
        <v>0.93750124847598271</v>
      </c>
    </row>
    <row r="19" spans="2:14" x14ac:dyDescent="0.25">
      <c r="E19" s="65" t="s">
        <v>196</v>
      </c>
      <c r="F19" s="96">
        <f>MEDIAN(F12:F16)</f>
        <v>0.3</v>
      </c>
      <c r="G19" s="96">
        <f>MEDIAN(G12:G16)</f>
        <v>6.9276288920658374E-2</v>
      </c>
      <c r="H19" s="96">
        <f>MEDIAN(H12:H16)</f>
        <v>6.4788015631195545E-2</v>
      </c>
      <c r="I19" s="118">
        <f>MEDIAN(I12:I16)</f>
        <v>1.0716281188018857</v>
      </c>
      <c r="J19" s="118">
        <f>MEDIAN(J12:J16)</f>
        <v>1.0138184951430926</v>
      </c>
      <c r="M19" s="8"/>
    </row>
    <row r="20" spans="2:14" x14ac:dyDescent="0.25">
      <c r="C20" s="20"/>
    </row>
    <row r="22" spans="2:14" x14ac:dyDescent="0.25">
      <c r="B22" s="65" t="s">
        <v>197</v>
      </c>
      <c r="C22" s="54"/>
      <c r="D22" s="54"/>
      <c r="E22" s="54"/>
      <c r="G22" s="65" t="s">
        <v>201</v>
      </c>
      <c r="H22" s="65"/>
      <c r="I22" s="65"/>
      <c r="J22" s="65"/>
    </row>
    <row r="24" spans="2:14" x14ac:dyDescent="0.25">
      <c r="B24" t="s">
        <v>198</v>
      </c>
      <c r="E24" s="34">
        <f>RM!G13/D12</f>
        <v>7.2338152307503775E-2</v>
      </c>
      <c r="G24" t="s">
        <v>202</v>
      </c>
      <c r="J24" s="91">
        <v>6.5070000000000003E-2</v>
      </c>
    </row>
    <row r="25" spans="2:14" x14ac:dyDescent="0.25">
      <c r="B25" t="s">
        <v>199</v>
      </c>
      <c r="E25" s="102">
        <f>F12</f>
        <v>0.3</v>
      </c>
      <c r="G25" t="s">
        <v>203</v>
      </c>
      <c r="J25" s="102">
        <f>RM!G11-WACC!J24</f>
        <v>8.8277999999999981E-2</v>
      </c>
    </row>
    <row r="26" spans="2:14" x14ac:dyDescent="0.25">
      <c r="B26" s="97" t="s">
        <v>200</v>
      </c>
      <c r="C26" s="97"/>
      <c r="D26" s="97"/>
      <c r="E26" s="149">
        <f>E24*(1-E25)</f>
        <v>5.0636706615252637E-2</v>
      </c>
      <c r="G26" t="s">
        <v>204</v>
      </c>
      <c r="J26" s="14">
        <f>J35</f>
        <v>1.2703893306612779</v>
      </c>
    </row>
    <row r="27" spans="2:14" x14ac:dyDescent="0.25">
      <c r="G27" s="97" t="s">
        <v>201</v>
      </c>
      <c r="H27" s="97"/>
      <c r="I27" s="97"/>
      <c r="J27" s="150">
        <f>J24+J25*J26</f>
        <v>0.17721742933211626</v>
      </c>
    </row>
    <row r="30" spans="2:14" x14ac:dyDescent="0.25">
      <c r="B30" s="65" t="s">
        <v>205</v>
      </c>
      <c r="C30" s="54"/>
      <c r="D30" s="54"/>
      <c r="E30" s="54"/>
      <c r="G30" s="65" t="s">
        <v>204</v>
      </c>
      <c r="H30" s="54"/>
      <c r="I30" s="54"/>
      <c r="J30" s="54"/>
    </row>
    <row r="32" spans="2:14" x14ac:dyDescent="0.25">
      <c r="D32" s="98" t="s">
        <v>206</v>
      </c>
      <c r="E32" s="98" t="s">
        <v>207</v>
      </c>
      <c r="G32" t="s">
        <v>209</v>
      </c>
      <c r="J32" s="14">
        <f>J19</f>
        <v>1.0138184951430926</v>
      </c>
    </row>
    <row r="33" spans="2:10" x14ac:dyDescent="0.25">
      <c r="B33" t="s">
        <v>107</v>
      </c>
      <c r="C33" s="13">
        <f>D12</f>
        <v>25214.91</v>
      </c>
      <c r="D33" s="121">
        <f>C33/$C$35</f>
        <v>6.4788015631195545E-2</v>
      </c>
      <c r="E33" s="122">
        <f>H18</f>
        <v>0.13526292972913997</v>
      </c>
      <c r="G33" t="s">
        <v>211</v>
      </c>
      <c r="J33" s="102">
        <f>E37</f>
        <v>0.15642087563884802</v>
      </c>
    </row>
    <row r="34" spans="2:10" x14ac:dyDescent="0.25">
      <c r="B34" t="s">
        <v>43</v>
      </c>
      <c r="C34" s="13">
        <f>E12</f>
        <v>363976.05</v>
      </c>
      <c r="D34" s="121">
        <f>C34/$C$35</f>
        <v>0.93521198436880448</v>
      </c>
      <c r="E34" s="122">
        <f>E35-E33</f>
        <v>0.86473707027086</v>
      </c>
      <c r="G34" t="s">
        <v>199</v>
      </c>
      <c r="J34" s="102">
        <f>F12</f>
        <v>0.3</v>
      </c>
    </row>
    <row r="35" spans="2:10" x14ac:dyDescent="0.25">
      <c r="B35" s="97" t="s">
        <v>208</v>
      </c>
      <c r="C35" s="101">
        <f>SUM(C33:C34)</f>
        <v>389190.95999999996</v>
      </c>
      <c r="D35" s="123">
        <f>SUM(D33:D34)</f>
        <v>1</v>
      </c>
      <c r="E35" s="123">
        <f>D35</f>
        <v>1</v>
      </c>
      <c r="G35" s="97" t="s">
        <v>204</v>
      </c>
      <c r="H35" s="97"/>
      <c r="I35" s="97"/>
      <c r="J35" s="151">
        <f>J32*(1+(1-J33)*J34)</f>
        <v>1.2703893306612779</v>
      </c>
    </row>
    <row r="37" spans="2:10" x14ac:dyDescent="0.25">
      <c r="B37" s="19" t="s">
        <v>210</v>
      </c>
      <c r="D37" s="103">
        <f>D33/D34</f>
        <v>6.9276288920658374E-2</v>
      </c>
      <c r="E37" s="103">
        <f>E33/E34</f>
        <v>0.15642087563884802</v>
      </c>
      <c r="G37" s="65" t="s">
        <v>370</v>
      </c>
      <c r="H37" s="54"/>
      <c r="I37" s="54"/>
      <c r="J37" s="54"/>
    </row>
    <row r="39" spans="2:10" x14ac:dyDescent="0.25">
      <c r="G39" t="s">
        <v>222</v>
      </c>
      <c r="J39" s="34">
        <f>E26</f>
        <v>5.0636706615252637E-2</v>
      </c>
    </row>
    <row r="40" spans="2:10" x14ac:dyDescent="0.25">
      <c r="G40" t="s">
        <v>223</v>
      </c>
      <c r="J40" s="102">
        <f>E33</f>
        <v>0.13526292972913997</v>
      </c>
    </row>
    <row r="42" spans="2:10" x14ac:dyDescent="0.25">
      <c r="G42" t="s">
        <v>201</v>
      </c>
      <c r="J42" s="29">
        <f>J27</f>
        <v>0.17721742933211626</v>
      </c>
    </row>
    <row r="43" spans="2:10" x14ac:dyDescent="0.25">
      <c r="G43" t="s">
        <v>224</v>
      </c>
      <c r="J43" s="102">
        <f>E34</f>
        <v>0.86473707027086</v>
      </c>
    </row>
    <row r="45" spans="2:10" x14ac:dyDescent="0.25">
      <c r="G45" s="129" t="s">
        <v>212</v>
      </c>
      <c r="H45" s="97"/>
      <c r="I45" s="97"/>
      <c r="J45" s="149">
        <f>(J39*J40)+(J42*J43)</f>
        <v>0.16009574993020137</v>
      </c>
    </row>
  </sheetData>
  <pageMargins left="0.7" right="0.7" top="0.75" bottom="0.75" header="0.3" footer="0.3"/>
  <pageSetup scale="76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0A92C-AE9B-401A-A76B-EE68CEA092F9}">
  <dimension ref="A6:N71"/>
  <sheetViews>
    <sheetView showGridLines="0" zoomScale="80" zoomScaleNormal="80" workbookViewId="0">
      <selection activeCell="O1" sqref="O1"/>
    </sheetView>
  </sheetViews>
  <sheetFormatPr defaultRowHeight="15" x14ac:dyDescent="0.25"/>
  <cols>
    <col min="1" max="1" width="1.85546875" customWidth="1"/>
    <col min="7" max="12" width="12.140625" customWidth="1"/>
    <col min="13" max="13" width="13" bestFit="1" customWidth="1"/>
  </cols>
  <sheetData>
    <row r="6" spans="2:13" x14ac:dyDescent="0.25">
      <c r="B6" s="9" t="s">
        <v>368</v>
      </c>
    </row>
    <row r="7" spans="2:13" ht="4.5" customHeight="1" x14ac:dyDescent="0.25">
      <c r="B7" s="9"/>
    </row>
    <row r="8" spans="2:13" x14ac:dyDescent="0.25">
      <c r="B8" s="131" t="s">
        <v>233</v>
      </c>
      <c r="C8" s="130"/>
      <c r="D8" s="130"/>
      <c r="E8" s="130"/>
      <c r="F8" s="130"/>
      <c r="G8" s="134">
        <f>'Raw FS'!F2</f>
        <v>43525</v>
      </c>
      <c r="H8" s="134">
        <f>'Raw FS'!G2</f>
        <v>43891</v>
      </c>
      <c r="I8" s="134">
        <f>'Raw FS'!H2</f>
        <v>44256</v>
      </c>
      <c r="J8" s="134">
        <f>'Raw FS'!I2</f>
        <v>44621</v>
      </c>
      <c r="K8" s="134">
        <f>'Raw FS'!J2</f>
        <v>44986</v>
      </c>
      <c r="L8" s="134">
        <f>'Raw FS'!K2</f>
        <v>45352</v>
      </c>
      <c r="M8" s="134">
        <f>'Raw FS'!L2</f>
        <v>45717</v>
      </c>
    </row>
    <row r="10" spans="2:13" x14ac:dyDescent="0.25">
      <c r="B10" s="19" t="s">
        <v>73</v>
      </c>
    </row>
    <row r="11" spans="2:13" x14ac:dyDescent="0.25">
      <c r="B11" t="str">
        <f>'Raw FS'!B49</f>
        <v>Inventories</v>
      </c>
      <c r="G11" s="179">
        <f>'Raw FS'!F49</f>
        <v>4099</v>
      </c>
      <c r="H11" s="179">
        <f>'Raw FS'!G49</f>
        <v>4183</v>
      </c>
      <c r="I11" s="179">
        <f>'Raw FS'!H49</f>
        <v>4018</v>
      </c>
      <c r="J11" s="179">
        <f>'Raw FS'!I49</f>
        <v>5596</v>
      </c>
      <c r="K11" s="179">
        <f>'Raw FS'!J49</f>
        <v>6612</v>
      </c>
      <c r="L11" s="179">
        <f>'Raw FS'!K49</f>
        <v>8330</v>
      </c>
      <c r="M11" s="179">
        <f>'Raw FS'!L49</f>
        <v>9563</v>
      </c>
    </row>
    <row r="12" spans="2:13" x14ac:dyDescent="0.25">
      <c r="B12" t="str">
        <f>'Raw FS'!B50</f>
        <v>Trade receivables</v>
      </c>
      <c r="G12" s="179">
        <f>'Raw FS'!F50</f>
        <v>2787</v>
      </c>
      <c r="H12" s="179">
        <f>'Raw FS'!G50</f>
        <v>2383</v>
      </c>
      <c r="I12" s="179">
        <f>'Raw FS'!H50</f>
        <v>2572</v>
      </c>
      <c r="J12" s="179">
        <f>'Raw FS'!I50</f>
        <v>3072</v>
      </c>
      <c r="K12" s="179">
        <f>'Raw FS'!J50</f>
        <v>3867</v>
      </c>
      <c r="L12" s="179">
        <f>'Raw FS'!K50</f>
        <v>4278</v>
      </c>
      <c r="M12" s="179">
        <f>'Raw FS'!L50</f>
        <v>5890</v>
      </c>
    </row>
    <row r="13" spans="2:13" x14ac:dyDescent="0.25">
      <c r="B13" t="str">
        <f>'Raw FS'!B52</f>
        <v>Loans n Advances</v>
      </c>
      <c r="G13" s="179">
        <f>'Raw FS'!F52</f>
        <v>750</v>
      </c>
      <c r="H13" s="179">
        <f>'Raw FS'!G52</f>
        <v>796</v>
      </c>
      <c r="I13" s="179">
        <f>'Raw FS'!H52</f>
        <v>660</v>
      </c>
      <c r="J13" s="179">
        <f>'Raw FS'!I52</f>
        <v>873</v>
      </c>
      <c r="K13" s="179">
        <f>'Raw FS'!J52</f>
        <v>951</v>
      </c>
      <c r="L13" s="179">
        <f>'Raw FS'!K52</f>
        <v>985</v>
      </c>
      <c r="M13" s="179">
        <f>'Raw FS'!L52</f>
        <v>1259</v>
      </c>
    </row>
    <row r="14" spans="2:13" x14ac:dyDescent="0.25">
      <c r="B14" t="str">
        <f>'Raw FS'!B53</f>
        <v>Other asset items</v>
      </c>
      <c r="G14" s="179">
        <f>'Raw FS'!F53</f>
        <v>7430</v>
      </c>
      <c r="H14" s="179">
        <f>'Raw FS'!G53</f>
        <v>7312</v>
      </c>
      <c r="I14" s="179">
        <f>'Raw FS'!H53</f>
        <v>7642</v>
      </c>
      <c r="J14" s="179">
        <f>'Raw FS'!I53</f>
        <v>7304</v>
      </c>
      <c r="K14" s="179">
        <f>'Raw FS'!J53</f>
        <v>7885</v>
      </c>
      <c r="L14" s="179">
        <f>'Raw FS'!K53</f>
        <v>8483</v>
      </c>
      <c r="M14" s="179">
        <f>'Raw FS'!L53</f>
        <v>9292</v>
      </c>
    </row>
    <row r="15" spans="2:13" x14ac:dyDescent="0.25">
      <c r="B15" s="93" t="s">
        <v>74</v>
      </c>
      <c r="C15" s="56"/>
      <c r="D15" s="56"/>
      <c r="E15" s="56"/>
      <c r="F15" s="56"/>
      <c r="G15" s="180">
        <f>SUM(G11:G14)</f>
        <v>15066</v>
      </c>
      <c r="H15" s="180">
        <f t="shared" ref="H15:M15" si="0">SUM(H11:H14)</f>
        <v>14674</v>
      </c>
      <c r="I15" s="180">
        <f t="shared" si="0"/>
        <v>14892</v>
      </c>
      <c r="J15" s="180">
        <f t="shared" si="0"/>
        <v>16845</v>
      </c>
      <c r="K15" s="180">
        <f t="shared" si="0"/>
        <v>19315</v>
      </c>
      <c r="L15" s="180">
        <f t="shared" si="0"/>
        <v>22076</v>
      </c>
      <c r="M15" s="180">
        <f t="shared" si="0"/>
        <v>26004</v>
      </c>
    </row>
    <row r="16" spans="2:13" x14ac:dyDescent="0.25">
      <c r="G16" s="181"/>
      <c r="H16" s="181"/>
      <c r="I16" s="181"/>
      <c r="J16" s="181"/>
      <c r="K16" s="181"/>
      <c r="L16" s="181"/>
      <c r="M16" s="181"/>
    </row>
    <row r="17" spans="1:13" x14ac:dyDescent="0.25">
      <c r="B17" s="19" t="s">
        <v>267</v>
      </c>
      <c r="G17" s="181"/>
      <c r="H17" s="181"/>
      <c r="I17" s="181"/>
      <c r="J17" s="181"/>
      <c r="K17" s="181"/>
      <c r="L17" s="181"/>
      <c r="M17" s="181"/>
    </row>
    <row r="18" spans="1:13" x14ac:dyDescent="0.25">
      <c r="B18" t="str">
        <f>'Raw FS'!B28</f>
        <v>Trade Payables</v>
      </c>
      <c r="G18" s="179">
        <f>'Raw FS'!F28</f>
        <v>3160</v>
      </c>
      <c r="H18" s="179">
        <f>'Raw FS'!G28</f>
        <v>3363</v>
      </c>
      <c r="I18" s="179">
        <f>'Raw FS'!H28</f>
        <v>4548</v>
      </c>
      <c r="J18" s="179">
        <f>'Raw FS'!I28</f>
        <v>5863</v>
      </c>
      <c r="K18" s="179">
        <f>'Raw FS'!J28</f>
        <v>7209</v>
      </c>
      <c r="L18" s="179">
        <f>'Raw FS'!K28</f>
        <v>8478</v>
      </c>
      <c r="M18" s="179">
        <f>'Raw FS'!L28</f>
        <v>9327</v>
      </c>
    </row>
    <row r="19" spans="1:13" x14ac:dyDescent="0.25">
      <c r="B19" t="str">
        <f>'Raw FS'!B29</f>
        <v>Advance from Customers</v>
      </c>
      <c r="G19" s="179">
        <f>'Raw FS'!F29</f>
        <v>357</v>
      </c>
      <c r="H19" s="179">
        <f>'Raw FS'!G29</f>
        <v>464</v>
      </c>
      <c r="I19" s="179">
        <f>'Raw FS'!H29</f>
        <v>415</v>
      </c>
      <c r="J19" s="179">
        <f>'Raw FS'!I29</f>
        <v>465</v>
      </c>
      <c r="K19" s="179">
        <f>'Raw FS'!J29</f>
        <v>384</v>
      </c>
      <c r="L19" s="179">
        <f>'Raw FS'!K29</f>
        <v>527</v>
      </c>
      <c r="M19" s="179">
        <f>'Raw FS'!L29</f>
        <v>541</v>
      </c>
    </row>
    <row r="20" spans="1:13" x14ac:dyDescent="0.25">
      <c r="B20" t="str">
        <f>'Raw FS'!B30</f>
        <v>Other liability items</v>
      </c>
      <c r="G20" s="179">
        <f>'Raw FS'!F30</f>
        <v>13909</v>
      </c>
      <c r="H20" s="179">
        <f>'Raw FS'!G30</f>
        <v>13316</v>
      </c>
      <c r="I20" s="179">
        <f>'Raw FS'!H30</f>
        <v>15313</v>
      </c>
      <c r="J20" s="179">
        <f>'Raw FS'!I30</f>
        <v>15753</v>
      </c>
      <c r="K20" s="179">
        <f>'Raw FS'!J30</f>
        <v>18349</v>
      </c>
      <c r="L20" s="179">
        <f>'Raw FS'!K30</f>
        <v>20106</v>
      </c>
      <c r="M20" s="179">
        <f>'Raw FS'!L30</f>
        <v>25768</v>
      </c>
    </row>
    <row r="21" spans="1:13" x14ac:dyDescent="0.25">
      <c r="B21" s="93" t="s">
        <v>268</v>
      </c>
      <c r="C21" s="56"/>
      <c r="D21" s="56"/>
      <c r="E21" s="56"/>
      <c r="F21" s="56"/>
      <c r="G21" s="180">
        <f>SUM(G18:G20)</f>
        <v>17426</v>
      </c>
      <c r="H21" s="180">
        <f t="shared" ref="H21:M21" si="1">SUM(H18:H20)</f>
        <v>17143</v>
      </c>
      <c r="I21" s="180">
        <f t="shared" si="1"/>
        <v>20276</v>
      </c>
      <c r="J21" s="180">
        <f t="shared" si="1"/>
        <v>22081</v>
      </c>
      <c r="K21" s="180">
        <f t="shared" si="1"/>
        <v>25942</v>
      </c>
      <c r="L21" s="180">
        <f t="shared" si="1"/>
        <v>29111</v>
      </c>
      <c r="M21" s="180">
        <f t="shared" si="1"/>
        <v>35636</v>
      </c>
    </row>
    <row r="22" spans="1:13" x14ac:dyDescent="0.25">
      <c r="G22" s="181"/>
      <c r="H22" s="181"/>
      <c r="I22" s="181"/>
      <c r="J22" s="181"/>
      <c r="K22" s="181"/>
      <c r="L22" s="181"/>
      <c r="M22" s="181"/>
    </row>
    <row r="23" spans="1:13" x14ac:dyDescent="0.25">
      <c r="A23" t="s">
        <v>56</v>
      </c>
      <c r="B23" s="133" t="s">
        <v>269</v>
      </c>
      <c r="C23" s="133"/>
      <c r="D23" s="133"/>
      <c r="E23" s="133"/>
      <c r="F23" s="133"/>
      <c r="G23" s="182">
        <f>G15-G21</f>
        <v>-2360</v>
      </c>
      <c r="H23" s="182">
        <f t="shared" ref="H23:M23" si="2">H15-H21</f>
        <v>-2469</v>
      </c>
      <c r="I23" s="182">
        <f t="shared" si="2"/>
        <v>-5384</v>
      </c>
      <c r="J23" s="182">
        <f t="shared" si="2"/>
        <v>-5236</v>
      </c>
      <c r="K23" s="182">
        <f t="shared" si="2"/>
        <v>-6627</v>
      </c>
      <c r="L23" s="182">
        <f t="shared" si="2"/>
        <v>-7035</v>
      </c>
      <c r="M23" s="182">
        <f t="shared" si="2"/>
        <v>-9632</v>
      </c>
    </row>
    <row r="24" spans="1:13" x14ac:dyDescent="0.25">
      <c r="G24" s="181"/>
      <c r="H24" s="181"/>
      <c r="I24" s="181"/>
      <c r="J24" s="181"/>
      <c r="K24" s="181"/>
      <c r="L24" s="181"/>
      <c r="M24" s="181"/>
    </row>
    <row r="25" spans="1:13" x14ac:dyDescent="0.25">
      <c r="B25" s="19" t="s">
        <v>270</v>
      </c>
      <c r="G25" s="181"/>
      <c r="H25" s="181"/>
      <c r="I25" s="181"/>
      <c r="J25" s="181"/>
      <c r="K25" s="181"/>
      <c r="L25" s="181"/>
      <c r="M25" s="181"/>
    </row>
    <row r="26" spans="1:13" x14ac:dyDescent="0.25">
      <c r="B26" t="s">
        <v>247</v>
      </c>
      <c r="G26" s="179">
        <f>IFERROR('Raw FS'!F34,0)</f>
        <v>7492</v>
      </c>
      <c r="H26" s="179">
        <f>IFERROR('Raw FS'!G34,0)</f>
        <v>7943</v>
      </c>
      <c r="I26" s="179">
        <f>IFERROR('Raw FS'!H34,0)</f>
        <v>8085</v>
      </c>
      <c r="J26" s="179">
        <f>IFERROR('Raw FS'!I34,0)</f>
        <v>8454</v>
      </c>
      <c r="K26" s="179">
        <f>IFERROR('Raw FS'!J34,0)</f>
        <v>8709</v>
      </c>
      <c r="L26" s="179">
        <f>IFERROR('Raw FS'!K34,0)</f>
        <v>9259</v>
      </c>
      <c r="M26" s="179">
        <f>IFERROR('Raw FS'!L34,0)</f>
        <v>19872</v>
      </c>
    </row>
    <row r="27" spans="1:13" x14ac:dyDescent="0.25">
      <c r="B27" t="s">
        <v>248</v>
      </c>
      <c r="G27" s="179">
        <f>IFERROR('Raw FS'!F35,0)</f>
        <v>5130</v>
      </c>
      <c r="H27" s="179">
        <f>IFERROR('Raw FS'!G35,0)</f>
        <v>5511</v>
      </c>
      <c r="I27" s="179">
        <f>IFERROR('Raw FS'!H35,0)</f>
        <v>5606</v>
      </c>
      <c r="J27" s="179">
        <f>IFERROR('Raw FS'!I35,0)</f>
        <v>5831</v>
      </c>
      <c r="K27" s="179">
        <f>IFERROR('Raw FS'!J35,0)</f>
        <v>6287</v>
      </c>
      <c r="L27" s="179">
        <f>IFERROR('Raw FS'!K35,0)</f>
        <v>6772</v>
      </c>
      <c r="M27" s="179">
        <f>IFERROR('Raw FS'!L35,0)</f>
        <v>9361</v>
      </c>
    </row>
    <row r="28" spans="1:13" x14ac:dyDescent="0.25">
      <c r="B28" t="s">
        <v>249</v>
      </c>
      <c r="G28" s="179">
        <f>IFERROR('Raw FS'!F36,0)</f>
        <v>36920</v>
      </c>
      <c r="H28" s="179">
        <f>IFERROR('Raw FS'!G36,0)</f>
        <v>38369</v>
      </c>
      <c r="I28" s="179">
        <f>IFERROR('Raw FS'!H36,0)</f>
        <v>38655</v>
      </c>
      <c r="J28" s="179">
        <f>IFERROR('Raw FS'!I36,0)</f>
        <v>40604</v>
      </c>
      <c r="K28" s="179">
        <f>IFERROR('Raw FS'!J36,0)</f>
        <v>46270</v>
      </c>
      <c r="L28" s="179">
        <f>IFERROR('Raw FS'!K36,0)</f>
        <v>51343</v>
      </c>
      <c r="M28" s="179">
        <f>IFERROR('Raw FS'!L36,0)</f>
        <v>67010</v>
      </c>
    </row>
    <row r="29" spans="1:13" x14ac:dyDescent="0.25">
      <c r="B29" t="s">
        <v>250</v>
      </c>
      <c r="G29" s="179">
        <f>IFERROR('Raw FS'!F37,0)</f>
        <v>0</v>
      </c>
      <c r="H29" s="179">
        <f>IFERROR('Raw FS'!G37,0)</f>
        <v>717</v>
      </c>
      <c r="I29" s="179">
        <f>IFERROR('Raw FS'!H37,0)</f>
        <v>830</v>
      </c>
      <c r="J29" s="179">
        <f>IFERROR('Raw FS'!I37,0)</f>
        <v>719</v>
      </c>
      <c r="K29" s="179">
        <f>IFERROR('Raw FS'!J37,0)</f>
        <v>793</v>
      </c>
      <c r="L29" s="179">
        <f>IFERROR('Raw FS'!K37,0)</f>
        <v>801</v>
      </c>
      <c r="M29" s="179">
        <f>IFERROR('Raw FS'!L37,0)</f>
        <v>792</v>
      </c>
    </row>
    <row r="30" spans="1:13" x14ac:dyDescent="0.25">
      <c r="B30" t="s">
        <v>251</v>
      </c>
      <c r="G30" s="179">
        <f>IFERROR('Raw FS'!F38,0)</f>
        <v>208</v>
      </c>
      <c r="H30" s="179">
        <f>IFERROR('Raw FS'!G38,0)</f>
        <v>265</v>
      </c>
      <c r="I30" s="179">
        <f>IFERROR('Raw FS'!H38,0)</f>
        <v>289</v>
      </c>
      <c r="J30" s="179">
        <f>IFERROR('Raw FS'!I38,0)</f>
        <v>336</v>
      </c>
      <c r="K30" s="179">
        <f>IFERROR('Raw FS'!J38,0)</f>
        <v>387</v>
      </c>
      <c r="L30" s="179">
        <f>IFERROR('Raw FS'!K38,0)</f>
        <v>466</v>
      </c>
      <c r="M30" s="179">
        <f>IFERROR('Raw FS'!L38,0)</f>
        <v>555</v>
      </c>
    </row>
    <row r="31" spans="1:13" x14ac:dyDescent="0.25">
      <c r="B31" t="s">
        <v>252</v>
      </c>
      <c r="G31" s="179">
        <f>IFERROR('Raw FS'!F39,0)</f>
        <v>106</v>
      </c>
      <c r="H31" s="179">
        <f>IFERROR('Raw FS'!G39,0)</f>
        <v>112</v>
      </c>
      <c r="I31" s="179">
        <f>IFERROR('Raw FS'!H39,0)</f>
        <v>111</v>
      </c>
      <c r="J31" s="179">
        <f>IFERROR('Raw FS'!I39,0)</f>
        <v>114</v>
      </c>
      <c r="K31" s="179">
        <f>IFERROR('Raw FS'!J39,0)</f>
        <v>122</v>
      </c>
      <c r="L31" s="179">
        <f>IFERROR('Raw FS'!K39,0)</f>
        <v>154</v>
      </c>
      <c r="M31" s="179">
        <f>IFERROR('Raw FS'!L39,0)</f>
        <v>219</v>
      </c>
    </row>
    <row r="32" spans="1:13" x14ac:dyDescent="0.25">
      <c r="B32" t="s">
        <v>253</v>
      </c>
      <c r="G32" s="179">
        <f>IFERROR('Raw FS'!F40,0)</f>
        <v>890</v>
      </c>
      <c r="H32" s="179">
        <f>IFERROR('Raw FS'!G40,0)</f>
        <v>906</v>
      </c>
      <c r="I32" s="179">
        <f>IFERROR('Raw FS'!H40,0)</f>
        <v>959</v>
      </c>
      <c r="J32" s="179">
        <f>IFERROR('Raw FS'!I40,0)</f>
        <v>989</v>
      </c>
      <c r="K32" s="179">
        <f>IFERROR('Raw FS'!J40,0)</f>
        <v>1008</v>
      </c>
      <c r="L32" s="179">
        <f>IFERROR('Raw FS'!K40,0)</f>
        <v>1088</v>
      </c>
      <c r="M32" s="179">
        <f>IFERROR('Raw FS'!L40,0)</f>
        <v>1305</v>
      </c>
    </row>
    <row r="33" spans="1:14" x14ac:dyDescent="0.25">
      <c r="B33" t="s">
        <v>254</v>
      </c>
      <c r="G33" s="179">
        <f>IFERROR('Raw FS'!F41,0)</f>
        <v>110</v>
      </c>
      <c r="H33" s="179">
        <f>IFERROR('Raw FS'!G41,0)</f>
        <v>122</v>
      </c>
      <c r="I33" s="179">
        <f>IFERROR('Raw FS'!H41,0)</f>
        <v>133</v>
      </c>
      <c r="J33" s="179">
        <f>IFERROR('Raw FS'!I41,0)</f>
        <v>163</v>
      </c>
      <c r="K33" s="179">
        <f>IFERROR('Raw FS'!J41,0)</f>
        <v>200</v>
      </c>
      <c r="L33" s="179">
        <f>IFERROR('Raw FS'!K41,0)</f>
        <v>260</v>
      </c>
      <c r="M33" s="179">
        <f>IFERROR('Raw FS'!L41,0)</f>
        <v>354</v>
      </c>
      <c r="N33" s="20"/>
    </row>
    <row r="34" spans="1:14" x14ac:dyDescent="0.25">
      <c r="B34" t="s">
        <v>255</v>
      </c>
      <c r="G34" s="179">
        <f>IFERROR('Raw FS'!F42,0)</f>
        <v>6626</v>
      </c>
      <c r="H34" s="179">
        <f>IFERROR('Raw FS'!G42,0)</f>
        <v>6680</v>
      </c>
      <c r="I34" s="179">
        <f>IFERROR('Raw FS'!H42,0)</f>
        <v>6375</v>
      </c>
      <c r="J34" s="179">
        <f>IFERROR('Raw FS'!I42,0)</f>
        <v>6405</v>
      </c>
      <c r="K34" s="179">
        <f>IFERROR('Raw FS'!J42,0)</f>
        <v>6484</v>
      </c>
      <c r="L34" s="179">
        <f>IFERROR('Raw FS'!K42,0)</f>
        <v>6501</v>
      </c>
      <c r="M34" s="179">
        <f>IFERROR('Raw FS'!L42,0)</f>
        <v>8108</v>
      </c>
    </row>
    <row r="35" spans="1:14" x14ac:dyDescent="0.25">
      <c r="B35" t="s">
        <v>256</v>
      </c>
      <c r="G35" s="179">
        <f>IFERROR('Raw FS'!F43,0)</f>
        <v>5899</v>
      </c>
      <c r="H35" s="179">
        <f>IFERROR('Raw FS'!G43,0)</f>
        <v>5927</v>
      </c>
      <c r="I35" s="179">
        <f>IFERROR('Raw FS'!H43,0)</f>
        <v>6289</v>
      </c>
      <c r="J35" s="179">
        <f>IFERROR('Raw FS'!I43,0)</f>
        <v>6387</v>
      </c>
      <c r="K35" s="179">
        <f>IFERROR('Raw FS'!J43,0)</f>
        <v>6695</v>
      </c>
      <c r="L35" s="179">
        <f>IFERROR('Raw FS'!K43,0)</f>
        <v>6637</v>
      </c>
      <c r="M35" s="179">
        <f>IFERROR('Raw FS'!L43,0)</f>
        <v>11055</v>
      </c>
    </row>
    <row r="36" spans="1:14" x14ac:dyDescent="0.25">
      <c r="B36" s="93" t="s">
        <v>257</v>
      </c>
      <c r="C36" s="56"/>
      <c r="D36" s="56"/>
      <c r="E36" s="56"/>
      <c r="F36" s="56"/>
      <c r="G36" s="183">
        <f>SUM(G26:G35)</f>
        <v>63381</v>
      </c>
      <c r="H36" s="183">
        <f t="shared" ref="H36:M36" si="3">SUM(H26:H35)</f>
        <v>66552</v>
      </c>
      <c r="I36" s="183">
        <f t="shared" si="3"/>
        <v>67332</v>
      </c>
      <c r="J36" s="183">
        <f t="shared" si="3"/>
        <v>70002</v>
      </c>
      <c r="K36" s="183">
        <f t="shared" si="3"/>
        <v>76955</v>
      </c>
      <c r="L36" s="183">
        <f t="shared" si="3"/>
        <v>83281</v>
      </c>
      <c r="M36" s="183">
        <f t="shared" si="3"/>
        <v>118631</v>
      </c>
    </row>
    <row r="37" spans="1:14" x14ac:dyDescent="0.25">
      <c r="B37" t="s">
        <v>271</v>
      </c>
      <c r="G37" s="179">
        <f>'Raw FS'!F45</f>
        <v>6737</v>
      </c>
      <c r="H37" s="179">
        <f>'Raw FS'!G45</f>
        <v>9399</v>
      </c>
      <c r="I37" s="179">
        <f>'Raw FS'!H45</f>
        <v>11921</v>
      </c>
      <c r="J37" s="179">
        <f>'Raw FS'!I45</f>
        <v>14514</v>
      </c>
      <c r="K37" s="179">
        <f>'Raw FS'!J45</f>
        <v>17378</v>
      </c>
      <c r="L37" s="179">
        <f>'Raw FS'!K45</f>
        <v>20403</v>
      </c>
      <c r="M37" s="179">
        <f>'Raw FS'!L45</f>
        <v>24067</v>
      </c>
    </row>
    <row r="38" spans="1:14" x14ac:dyDescent="0.25">
      <c r="A38" t="s">
        <v>56</v>
      </c>
      <c r="B38" s="133" t="s">
        <v>272</v>
      </c>
      <c r="C38" s="133"/>
      <c r="D38" s="133"/>
      <c r="E38" s="133"/>
      <c r="F38" s="133"/>
      <c r="G38" s="182">
        <f>G36-G37</f>
        <v>56644</v>
      </c>
      <c r="H38" s="182">
        <f t="shared" ref="H38:M38" si="4">H36-H37</f>
        <v>57153</v>
      </c>
      <c r="I38" s="182">
        <f t="shared" si="4"/>
        <v>55411</v>
      </c>
      <c r="J38" s="182">
        <f t="shared" si="4"/>
        <v>55488</v>
      </c>
      <c r="K38" s="182">
        <f t="shared" si="4"/>
        <v>59577</v>
      </c>
      <c r="L38" s="182">
        <f t="shared" si="4"/>
        <v>62878</v>
      </c>
      <c r="M38" s="182">
        <f t="shared" si="4"/>
        <v>94564</v>
      </c>
    </row>
    <row r="39" spans="1:14" x14ac:dyDescent="0.25">
      <c r="G39" s="181"/>
      <c r="H39" s="181"/>
      <c r="I39" s="181"/>
      <c r="J39" s="181"/>
      <c r="K39" s="181"/>
      <c r="L39" s="181"/>
      <c r="M39" s="181"/>
    </row>
    <row r="40" spans="1:14" x14ac:dyDescent="0.25">
      <c r="A40" t="s">
        <v>56</v>
      </c>
      <c r="B40" s="141" t="s">
        <v>273</v>
      </c>
      <c r="C40" s="20"/>
      <c r="D40" s="20"/>
      <c r="E40" s="20"/>
      <c r="F40" s="20"/>
      <c r="G40" s="184">
        <f>G38+G23</f>
        <v>54284</v>
      </c>
      <c r="H40" s="184">
        <f t="shared" ref="H40:M40" si="5">H38+H23</f>
        <v>54684</v>
      </c>
      <c r="I40" s="184">
        <f t="shared" si="5"/>
        <v>50027</v>
      </c>
      <c r="J40" s="184">
        <f t="shared" si="5"/>
        <v>50252</v>
      </c>
      <c r="K40" s="184">
        <f t="shared" si="5"/>
        <v>52950</v>
      </c>
      <c r="L40" s="184">
        <f t="shared" si="5"/>
        <v>55843</v>
      </c>
      <c r="M40" s="184">
        <f t="shared" si="5"/>
        <v>84932</v>
      </c>
    </row>
    <row r="41" spans="1:14" x14ac:dyDescent="0.25">
      <c r="B41" s="20" t="s">
        <v>99</v>
      </c>
      <c r="C41" s="20"/>
      <c r="D41" s="20"/>
      <c r="E41" s="20"/>
      <c r="F41" s="20"/>
      <c r="G41" s="184">
        <f>Historical_FS!F27</f>
        <v>4896.2100000000064</v>
      </c>
      <c r="H41" s="184">
        <f>Historical_FS!G27</f>
        <v>6523.3100000000013</v>
      </c>
      <c r="I41" s="184">
        <f>Historical_FS!H27</f>
        <v>8867.6799999999985</v>
      </c>
      <c r="J41" s="184">
        <f>Historical_FS!I27</f>
        <v>8799.6</v>
      </c>
      <c r="K41" s="184">
        <f>Historical_FS!J27</f>
        <v>7731.8600000000024</v>
      </c>
      <c r="L41" s="184">
        <f>Historical_FS!K27</f>
        <v>9833.2599999999984</v>
      </c>
      <c r="M41" s="184">
        <f>Historical_FS!L27</f>
        <v>8781.9300000000039</v>
      </c>
    </row>
    <row r="42" spans="1:14" x14ac:dyDescent="0.25">
      <c r="B42" s="20" t="s">
        <v>278</v>
      </c>
      <c r="C42" s="20"/>
      <c r="D42" s="20"/>
      <c r="E42" s="20"/>
      <c r="F42" s="20"/>
      <c r="G42" s="184">
        <f>WACC!$F$12</f>
        <v>0.3</v>
      </c>
      <c r="H42" s="184">
        <f>WACC!$F$12</f>
        <v>0.3</v>
      </c>
      <c r="I42" s="184">
        <f>WACC!$F$12</f>
        <v>0.3</v>
      </c>
      <c r="J42" s="184">
        <f>WACC!$F$12</f>
        <v>0.3</v>
      </c>
      <c r="K42" s="184">
        <f>WACC!$F$12</f>
        <v>0.3</v>
      </c>
      <c r="L42" s="184">
        <f>WACC!$F$12</f>
        <v>0.3</v>
      </c>
      <c r="M42" s="184">
        <f>WACC!$F$12</f>
        <v>0.3</v>
      </c>
    </row>
    <row r="43" spans="1:14" x14ac:dyDescent="0.25">
      <c r="B43" s="93" t="s">
        <v>286</v>
      </c>
      <c r="C43" s="56"/>
      <c r="D43" s="56"/>
      <c r="E43" s="56"/>
      <c r="F43" s="142"/>
      <c r="G43" s="183">
        <f>G41*(1-G42)</f>
        <v>3427.3470000000043</v>
      </c>
      <c r="H43" s="183">
        <f t="shared" ref="H43:M43" si="6">H41*(1-H42)</f>
        <v>4566.3170000000009</v>
      </c>
      <c r="I43" s="183">
        <f t="shared" si="6"/>
        <v>6207.3759999999984</v>
      </c>
      <c r="J43" s="183">
        <f t="shared" si="6"/>
        <v>6159.72</v>
      </c>
      <c r="K43" s="183">
        <f t="shared" si="6"/>
        <v>5412.3020000000015</v>
      </c>
      <c r="L43" s="183">
        <f t="shared" si="6"/>
        <v>6883.2819999999983</v>
      </c>
      <c r="M43" s="183">
        <f t="shared" si="6"/>
        <v>6147.3510000000024</v>
      </c>
    </row>
    <row r="44" spans="1:14" x14ac:dyDescent="0.25">
      <c r="F44" s="20"/>
    </row>
    <row r="45" spans="1:14" x14ac:dyDescent="0.25">
      <c r="A45" t="s">
        <v>56</v>
      </c>
      <c r="B45" s="19" t="s">
        <v>274</v>
      </c>
      <c r="G45" s="35">
        <f>G43/G40</f>
        <v>6.3137333284209049E-2</v>
      </c>
      <c r="H45" s="35">
        <f t="shared" ref="H45:M45" si="7">H43/H40</f>
        <v>8.3503712237583225E-2</v>
      </c>
      <c r="I45" s="35">
        <f t="shared" si="7"/>
        <v>0.12408051652107858</v>
      </c>
      <c r="J45" s="35">
        <f t="shared" si="7"/>
        <v>0.12257661386611479</v>
      </c>
      <c r="K45" s="35">
        <f t="shared" si="7"/>
        <v>0.10221533522190748</v>
      </c>
      <c r="L45" s="35">
        <f t="shared" si="7"/>
        <v>0.1232613219203839</v>
      </c>
      <c r="M45" s="35">
        <f t="shared" si="7"/>
        <v>7.2379680214760073E-2</v>
      </c>
    </row>
    <row r="47" spans="1:14" x14ac:dyDescent="0.25">
      <c r="A47" t="s">
        <v>56</v>
      </c>
      <c r="B47" s="131" t="s">
        <v>275</v>
      </c>
      <c r="C47" s="130"/>
      <c r="D47" s="130"/>
      <c r="E47" s="130"/>
      <c r="F47" s="130"/>
      <c r="G47" s="134">
        <f>G8</f>
        <v>43525</v>
      </c>
      <c r="H47" s="134">
        <f t="shared" ref="H47:M47" si="8">H8</f>
        <v>43891</v>
      </c>
      <c r="I47" s="134">
        <f t="shared" si="8"/>
        <v>44256</v>
      </c>
      <c r="J47" s="134">
        <f t="shared" si="8"/>
        <v>44621</v>
      </c>
      <c r="K47" s="134">
        <f t="shared" si="8"/>
        <v>44986</v>
      </c>
      <c r="L47" s="134">
        <f t="shared" si="8"/>
        <v>45352</v>
      </c>
      <c r="M47" s="134">
        <f t="shared" si="8"/>
        <v>45717</v>
      </c>
    </row>
    <row r="49" spans="1:13" x14ac:dyDescent="0.25">
      <c r="B49" t="s">
        <v>276</v>
      </c>
      <c r="G49" s="184">
        <f>-SUM(Historical_FS!F93:F94)</f>
        <v>1648</v>
      </c>
      <c r="H49" s="184">
        <f>-SUM(Historical_FS!G93:G94)</f>
        <v>1687</v>
      </c>
      <c r="I49" s="184">
        <f>-SUM(Historical_FS!H93:H94)</f>
        <v>1839</v>
      </c>
      <c r="J49" s="184">
        <f>-SUM(Historical_FS!I93:I94)</f>
        <v>5540</v>
      </c>
      <c r="K49" s="184">
        <f>-SUM(Historical_FS!J93:J94)</f>
        <v>6105</v>
      </c>
      <c r="L49" s="184">
        <f>-SUM(Historical_FS!K93:K94)</f>
        <v>8884</v>
      </c>
      <c r="M49" s="184">
        <f>-SUM(Historical_FS!L93:L94)</f>
        <v>8950</v>
      </c>
    </row>
    <row r="50" spans="1:13" x14ac:dyDescent="0.25">
      <c r="B50" t="s">
        <v>277</v>
      </c>
      <c r="G50" s="184"/>
      <c r="H50" s="184">
        <f t="shared" ref="H50:M50" si="9">H23-G23</f>
        <v>-109</v>
      </c>
      <c r="I50" s="184">
        <f t="shared" si="9"/>
        <v>-2915</v>
      </c>
      <c r="J50" s="184">
        <f t="shared" si="9"/>
        <v>148</v>
      </c>
      <c r="K50" s="184">
        <f t="shared" si="9"/>
        <v>-1391</v>
      </c>
      <c r="L50" s="184">
        <f t="shared" si="9"/>
        <v>-408</v>
      </c>
      <c r="M50" s="184">
        <f t="shared" si="9"/>
        <v>-2597</v>
      </c>
    </row>
    <row r="51" spans="1:13" x14ac:dyDescent="0.25">
      <c r="G51" s="184"/>
      <c r="H51" s="184"/>
      <c r="I51" s="184"/>
      <c r="J51" s="184"/>
      <c r="K51" s="184"/>
      <c r="L51" s="184"/>
      <c r="M51" s="184"/>
    </row>
    <row r="52" spans="1:13" x14ac:dyDescent="0.25">
      <c r="B52" t="s">
        <v>99</v>
      </c>
      <c r="G52" s="184">
        <f t="shared" ref="G52:M52" si="10">G41</f>
        <v>4896.2100000000064</v>
      </c>
      <c r="H52" s="184">
        <f t="shared" si="10"/>
        <v>6523.3100000000013</v>
      </c>
      <c r="I52" s="184">
        <f t="shared" si="10"/>
        <v>8867.6799999999985</v>
      </c>
      <c r="J52" s="184">
        <f t="shared" si="10"/>
        <v>8799.6</v>
      </c>
      <c r="K52" s="184">
        <f t="shared" si="10"/>
        <v>7731.8600000000024</v>
      </c>
      <c r="L52" s="184">
        <f t="shared" si="10"/>
        <v>9833.2599999999984</v>
      </c>
      <c r="M52" s="184">
        <f t="shared" si="10"/>
        <v>8781.9300000000039</v>
      </c>
    </row>
    <row r="53" spans="1:13" x14ac:dyDescent="0.25">
      <c r="B53" t="s">
        <v>278</v>
      </c>
      <c r="G53" s="102">
        <f>WACC!$F$12</f>
        <v>0.3</v>
      </c>
      <c r="H53" s="102">
        <f>WACC!$F$12</f>
        <v>0.3</v>
      </c>
      <c r="I53" s="102">
        <f>WACC!$F$12</f>
        <v>0.3</v>
      </c>
      <c r="J53" s="102">
        <f>WACC!$F$12</f>
        <v>0.3</v>
      </c>
      <c r="K53" s="102">
        <f>WACC!$F$12</f>
        <v>0.3</v>
      </c>
      <c r="L53" s="102">
        <f>WACC!$F$12</f>
        <v>0.3</v>
      </c>
      <c r="M53" s="102">
        <f>WACC!$F$12</f>
        <v>0.3</v>
      </c>
    </row>
    <row r="54" spans="1:13" x14ac:dyDescent="0.25">
      <c r="B54" s="93" t="s">
        <v>286</v>
      </c>
      <c r="C54" s="93"/>
      <c r="D54" s="93"/>
      <c r="E54" s="93"/>
      <c r="F54" s="93"/>
      <c r="G54" s="183">
        <f>G52*(1-G53)</f>
        <v>3427.3470000000043</v>
      </c>
      <c r="H54" s="183">
        <f t="shared" ref="H54:M54" si="11">H52*(1-H53)</f>
        <v>4566.3170000000009</v>
      </c>
      <c r="I54" s="183">
        <f t="shared" si="11"/>
        <v>6207.3759999999984</v>
      </c>
      <c r="J54" s="183">
        <f t="shared" si="11"/>
        <v>6159.72</v>
      </c>
      <c r="K54" s="183">
        <f t="shared" si="11"/>
        <v>5412.3020000000015</v>
      </c>
      <c r="L54" s="183">
        <f t="shared" si="11"/>
        <v>6883.2819999999983</v>
      </c>
      <c r="M54" s="183">
        <f t="shared" si="11"/>
        <v>6147.3510000000024</v>
      </c>
    </row>
    <row r="56" spans="1:13" x14ac:dyDescent="0.25">
      <c r="B56" t="s">
        <v>279</v>
      </c>
      <c r="H56" s="184">
        <f>SUM(H49:H50)</f>
        <v>1578</v>
      </c>
      <c r="I56" s="184">
        <f>SUM(I49:I50)</f>
        <v>-1076</v>
      </c>
      <c r="J56" s="184">
        <f>SUM(J49:J50)</f>
        <v>5688</v>
      </c>
      <c r="K56" s="184">
        <f>SUM(K49:K50)</f>
        <v>4714</v>
      </c>
      <c r="L56" s="184">
        <f t="shared" ref="L56" si="12">SUM(L49:L50)</f>
        <v>8476</v>
      </c>
      <c r="M56" s="184">
        <f>SUM(M49:M50)</f>
        <v>6353</v>
      </c>
    </row>
    <row r="57" spans="1:13" x14ac:dyDescent="0.25">
      <c r="H57" s="13"/>
      <c r="I57" s="13"/>
      <c r="J57" s="13"/>
      <c r="K57" s="13"/>
      <c r="L57" s="13"/>
      <c r="M57" s="13"/>
    </row>
    <row r="58" spans="1:13" x14ac:dyDescent="0.25">
      <c r="A58" t="s">
        <v>56</v>
      </c>
      <c r="B58" s="133" t="s">
        <v>280</v>
      </c>
      <c r="C58" s="133"/>
      <c r="D58" s="133"/>
      <c r="E58" s="133"/>
      <c r="F58" s="133"/>
      <c r="G58" s="133"/>
      <c r="H58" s="138">
        <f>H56/H54</f>
        <v>0.34557390562240853</v>
      </c>
      <c r="I58" s="138">
        <f t="shared" ref="I58:M58" si="13">I56/I54</f>
        <v>-0.17334216583625678</v>
      </c>
      <c r="J58" s="138">
        <f t="shared" si="13"/>
        <v>0.92341859694921191</v>
      </c>
      <c r="K58" s="138">
        <f t="shared" si="13"/>
        <v>0.87097874434944667</v>
      </c>
      <c r="L58" s="138">
        <f t="shared" si="13"/>
        <v>1.2313893285209006</v>
      </c>
      <c r="M58" s="138">
        <f t="shared" si="13"/>
        <v>1.0334532711732252</v>
      </c>
    </row>
    <row r="60" spans="1:13" x14ac:dyDescent="0.25">
      <c r="K60" s="139" t="s">
        <v>281</v>
      </c>
      <c r="L60" s="139"/>
      <c r="M60" s="125">
        <f>AVERAGE(H58:M58)</f>
        <v>0.70524528012982257</v>
      </c>
    </row>
    <row r="61" spans="1:13" x14ac:dyDescent="0.25">
      <c r="K61" s="139" t="s">
        <v>282</v>
      </c>
      <c r="L61" s="139"/>
      <c r="M61" s="125">
        <f>MEDIAN(H58:M58)</f>
        <v>0.89719867064932934</v>
      </c>
    </row>
    <row r="63" spans="1:13" x14ac:dyDescent="0.25">
      <c r="A63" t="s">
        <v>56</v>
      </c>
      <c r="B63" s="131" t="s">
        <v>283</v>
      </c>
      <c r="C63" s="130"/>
      <c r="D63" s="130"/>
      <c r="E63" s="130"/>
      <c r="F63" s="130"/>
      <c r="G63" s="134">
        <f t="shared" ref="G63:M63" si="14">G47</f>
        <v>43525</v>
      </c>
      <c r="H63" s="134">
        <f t="shared" si="14"/>
        <v>43891</v>
      </c>
      <c r="I63" s="134">
        <f t="shared" si="14"/>
        <v>44256</v>
      </c>
      <c r="J63" s="134">
        <f t="shared" si="14"/>
        <v>44621</v>
      </c>
      <c r="K63" s="134">
        <f t="shared" si="14"/>
        <v>44986</v>
      </c>
      <c r="L63" s="134">
        <f t="shared" si="14"/>
        <v>45352</v>
      </c>
      <c r="M63" s="134">
        <f t="shared" si="14"/>
        <v>45717</v>
      </c>
    </row>
    <row r="65" spans="2:13" x14ac:dyDescent="0.25">
      <c r="B65" t="s">
        <v>280</v>
      </c>
      <c r="G65" s="20"/>
      <c r="H65" s="102">
        <f>H58</f>
        <v>0.34557390562240853</v>
      </c>
      <c r="I65" s="102">
        <f t="shared" ref="I65:M65" si="15">I58</f>
        <v>-0.17334216583625678</v>
      </c>
      <c r="J65" s="102">
        <f t="shared" si="15"/>
        <v>0.92341859694921191</v>
      </c>
      <c r="K65" s="102">
        <f t="shared" si="15"/>
        <v>0.87097874434944667</v>
      </c>
      <c r="L65" s="102">
        <f t="shared" si="15"/>
        <v>1.2313893285209006</v>
      </c>
      <c r="M65" s="102">
        <f t="shared" si="15"/>
        <v>1.0334532711732252</v>
      </c>
    </row>
    <row r="66" spans="2:13" x14ac:dyDescent="0.25">
      <c r="B66" t="s">
        <v>284</v>
      </c>
      <c r="H66" s="102">
        <f t="shared" ref="H66:M66" si="16">H45</f>
        <v>8.3503712237583225E-2</v>
      </c>
      <c r="I66" s="102">
        <f t="shared" si="16"/>
        <v>0.12408051652107858</v>
      </c>
      <c r="J66" s="102">
        <f t="shared" si="16"/>
        <v>0.12257661386611479</v>
      </c>
      <c r="K66" s="102">
        <f t="shared" si="16"/>
        <v>0.10221533522190748</v>
      </c>
      <c r="L66" s="102">
        <f t="shared" si="16"/>
        <v>0.1232613219203839</v>
      </c>
      <c r="M66" s="102">
        <f t="shared" si="16"/>
        <v>7.2379680214760073E-2</v>
      </c>
    </row>
    <row r="68" spans="2:13" x14ac:dyDescent="0.25">
      <c r="B68" s="133" t="s">
        <v>285</v>
      </c>
      <c r="C68" s="67"/>
      <c r="D68" s="67"/>
      <c r="E68" s="67"/>
      <c r="F68" s="67"/>
      <c r="G68" s="67"/>
      <c r="H68" s="140">
        <f t="shared" ref="H68:M68" si="17">H65*H66</f>
        <v>2.8856703971911344E-2</v>
      </c>
      <c r="I68" s="140">
        <f t="shared" si="17"/>
        <v>-2.1508385471845203E-2</v>
      </c>
      <c r="J68" s="140">
        <f t="shared" si="17"/>
        <v>0.11318952479503304</v>
      </c>
      <c r="K68" s="140">
        <f t="shared" si="17"/>
        <v>8.9027384324834744E-2</v>
      </c>
      <c r="L68" s="140">
        <f t="shared" si="17"/>
        <v>0.15178267643214008</v>
      </c>
      <c r="M68" s="140">
        <f t="shared" si="17"/>
        <v>7.4801017284415766E-2</v>
      </c>
    </row>
    <row r="69" spans="2:13" x14ac:dyDescent="0.25">
      <c r="H69" s="20"/>
    </row>
    <row r="70" spans="2:13" x14ac:dyDescent="0.25">
      <c r="K70" s="139" t="s">
        <v>281</v>
      </c>
      <c r="L70" s="139"/>
      <c r="M70" s="125">
        <f>AVERAGE(H68:M68)</f>
        <v>7.2691486889414958E-2</v>
      </c>
    </row>
    <row r="71" spans="2:13" x14ac:dyDescent="0.25">
      <c r="K71" s="139" t="s">
        <v>282</v>
      </c>
      <c r="L71" s="139"/>
      <c r="M71" s="125">
        <f>MEDIAN(H68:M68)</f>
        <v>8.1914200804625248E-2</v>
      </c>
    </row>
  </sheetData>
  <pageMargins left="0.7" right="0.7" top="0.75" bottom="0.75" header="0.3" footer="0.3"/>
  <pageSetup orientation="portrait" r:id="rId1"/>
  <ignoredErrors>
    <ignoredError sqref="G49:M49" formulaRange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AACA-3CDB-4EB7-85F4-DA844F527E86}">
  <dimension ref="A1:N46"/>
  <sheetViews>
    <sheetView showGridLines="0" topLeftCell="A2" zoomScale="80" zoomScaleNormal="80" workbookViewId="0">
      <selection activeCell="E2" sqref="E2"/>
    </sheetView>
  </sheetViews>
  <sheetFormatPr defaultRowHeight="15" x14ac:dyDescent="0.25"/>
  <cols>
    <col min="1" max="1" width="1.85546875" customWidth="1"/>
    <col min="5" max="5" width="12.5703125" customWidth="1"/>
    <col min="8" max="8" width="11.28515625" customWidth="1"/>
    <col min="9" max="14" width="12.7109375" customWidth="1"/>
  </cols>
  <sheetData>
    <row r="1" spans="1:14" s="15" customFormat="1" x14ac:dyDescent="0.25">
      <c r="A1" s="15" t="s">
        <v>371</v>
      </c>
    </row>
    <row r="2" spans="1:14" s="15" customFormat="1" x14ac:dyDescent="0.25"/>
    <row r="3" spans="1:14" s="15" customFormat="1" x14ac:dyDescent="0.25"/>
    <row r="4" spans="1:14" s="15" customFormat="1" x14ac:dyDescent="0.25"/>
    <row r="5" spans="1:14" s="15" customFormat="1" x14ac:dyDescent="0.25"/>
    <row r="6" spans="1:14" s="15" customFormat="1" x14ac:dyDescent="0.25">
      <c r="B6" s="194" t="s">
        <v>368</v>
      </c>
    </row>
    <row r="7" spans="1:14" s="15" customFormat="1" ht="4.5" customHeight="1" x14ac:dyDescent="0.25">
      <c r="B7" s="194"/>
    </row>
    <row r="8" spans="1:14" x14ac:dyDescent="0.25">
      <c r="B8" s="131" t="s">
        <v>287</v>
      </c>
      <c r="C8" s="130"/>
      <c r="D8" s="130"/>
      <c r="E8" s="130"/>
      <c r="F8" s="130"/>
      <c r="G8" s="130"/>
      <c r="H8" s="130"/>
      <c r="I8" s="144">
        <f>Intrinsic_Growth!M8</f>
        <v>45717</v>
      </c>
      <c r="J8" s="145">
        <f>I8+365</f>
        <v>46082</v>
      </c>
      <c r="K8" s="145">
        <f t="shared" ref="K8:N8" si="0">J8+365</f>
        <v>46447</v>
      </c>
      <c r="L8" s="145">
        <f>K8+366</f>
        <v>46813</v>
      </c>
      <c r="M8" s="145">
        <f t="shared" si="0"/>
        <v>47178</v>
      </c>
      <c r="N8" s="145">
        <f t="shared" si="0"/>
        <v>47543</v>
      </c>
    </row>
    <row r="10" spans="1:14" x14ac:dyDescent="0.25">
      <c r="B10" t="s">
        <v>286</v>
      </c>
      <c r="I10" s="184">
        <f>Intrinsic_Growth!M54</f>
        <v>6147.3510000000024</v>
      </c>
      <c r="J10" s="184">
        <f>I10*(1+$E$20)</f>
        <v>6650.906344230516</v>
      </c>
      <c r="K10" s="184">
        <f>J10*(1+$E$20)</f>
        <v>7195.71002204457</v>
      </c>
      <c r="L10" s="184">
        <f>K10*(1+$E$20)</f>
        <v>7785.1408577221828</v>
      </c>
      <c r="M10" s="184">
        <f>L10*(1+$E$20)</f>
        <v>8422.8544492339297</v>
      </c>
      <c r="N10" s="184">
        <f>M10*(1+$E$20)</f>
        <v>9112.8058399366091</v>
      </c>
    </row>
    <row r="11" spans="1:14" x14ac:dyDescent="0.25">
      <c r="B11" t="s">
        <v>288</v>
      </c>
      <c r="I11" s="102">
        <f>Intrinsic_Growth!M61</f>
        <v>0.89719867064932934</v>
      </c>
      <c r="J11" s="34">
        <f>I11+(($N$11-$I$11)/4)</f>
        <v>0.79724900298699697</v>
      </c>
      <c r="K11" s="34">
        <f>J11+(($N$11-$I$11)/4)</f>
        <v>0.69729933532466459</v>
      </c>
      <c r="L11" s="34">
        <f>K11+(($N$11-$I$11)/4)</f>
        <v>0.59734966766233222</v>
      </c>
      <c r="M11" s="34">
        <f>L11+(($N$11-$I$11)/4)</f>
        <v>0.4973999999999999</v>
      </c>
      <c r="N11" s="91">
        <v>0.49740000000000001</v>
      </c>
    </row>
    <row r="13" spans="1:14" x14ac:dyDescent="0.25">
      <c r="B13" s="133" t="s">
        <v>289</v>
      </c>
      <c r="C13" s="133"/>
      <c r="D13" s="133"/>
      <c r="E13" s="133"/>
      <c r="F13" s="133"/>
      <c r="G13" s="133"/>
      <c r="H13" s="133"/>
      <c r="I13" s="182">
        <f t="shared" ref="I13:N13" si="1">I10*(1-I11)</f>
        <v>631.95585478517489</v>
      </c>
      <c r="J13" s="182">
        <f t="shared" si="1"/>
        <v>1348.4778923328442</v>
      </c>
      <c r="K13" s="182">
        <f t="shared" si="1"/>
        <v>2178.1462064838638</v>
      </c>
      <c r="L13" s="182">
        <f t="shared" si="1"/>
        <v>3134.6895536573929</v>
      </c>
      <c r="M13" s="182">
        <f t="shared" si="1"/>
        <v>4233.3266461849744</v>
      </c>
      <c r="N13" s="182">
        <f t="shared" si="1"/>
        <v>4580.0962151521389</v>
      </c>
    </row>
    <row r="15" spans="1:14" x14ac:dyDescent="0.25">
      <c r="B15" t="s">
        <v>290</v>
      </c>
      <c r="J15" s="154">
        <v>0.5</v>
      </c>
      <c r="K15" s="155">
        <f>J15+1</f>
        <v>1.5</v>
      </c>
      <c r="L15" s="155">
        <f t="shared" ref="L15:M15" si="2">K15+1</f>
        <v>2.5</v>
      </c>
      <c r="M15" s="155">
        <f t="shared" si="2"/>
        <v>3.5</v>
      </c>
      <c r="N15" s="155">
        <f t="shared" ref="N15" si="3">M15+1</f>
        <v>4.5</v>
      </c>
    </row>
    <row r="16" spans="1:14" x14ac:dyDescent="0.25">
      <c r="B16" t="s">
        <v>291</v>
      </c>
      <c r="J16" s="156">
        <f>1/(1+$E$22)^J15</f>
        <v>0.92843837361152259</v>
      </c>
      <c r="K16" s="156">
        <f>1/(1+$E$22)^K15</f>
        <v>0.80031184811028167</v>
      </c>
      <c r="L16" s="156">
        <f>1/(1+$E$22)^L15</f>
        <v>0.68986706326476366</v>
      </c>
      <c r="M16" s="156">
        <f>1/(1+$E$22)^M15</f>
        <v>0.59466390020502213</v>
      </c>
      <c r="N16" s="156">
        <f>1/(1+$E$22)^N15</f>
        <v>0.51259898180025298</v>
      </c>
    </row>
    <row r="18" spans="2:14" ht="15.75" thickBot="1" x14ac:dyDescent="0.3">
      <c r="B18" s="148" t="s">
        <v>292</v>
      </c>
      <c r="C18" s="147"/>
      <c r="D18" s="147"/>
      <c r="E18" s="147"/>
      <c r="F18" s="147"/>
      <c r="G18" s="147"/>
      <c r="H18" s="147"/>
      <c r="I18" s="147"/>
      <c r="J18" s="186">
        <f>J13*J16</f>
        <v>1251.9786212085999</v>
      </c>
      <c r="K18" s="186">
        <f>K13*K16</f>
        <v>1743.1962159655002</v>
      </c>
      <c r="L18" s="186">
        <f>L13*L16</f>
        <v>2162.5190766283586</v>
      </c>
      <c r="M18" s="186">
        <f>M13*M16</f>
        <v>2517.4065342622025</v>
      </c>
      <c r="N18" s="186">
        <f>N13*N16</f>
        <v>2347.7526564341788</v>
      </c>
    </row>
    <row r="19" spans="2:14" ht="15.75" thickTop="1" x14ac:dyDescent="0.25"/>
    <row r="20" spans="2:14" x14ac:dyDescent="0.25">
      <c r="B20" s="152" t="s">
        <v>293</v>
      </c>
      <c r="C20" s="152"/>
      <c r="D20" s="152"/>
      <c r="E20" s="122">
        <f>Intrinsic_Growth!M71</f>
        <v>8.1914200804625248E-2</v>
      </c>
    </row>
    <row r="21" spans="2:14" x14ac:dyDescent="0.25">
      <c r="B21" s="152" t="s">
        <v>294</v>
      </c>
      <c r="C21" s="152"/>
      <c r="D21" s="152"/>
      <c r="E21" s="153">
        <v>6.8000000000000005E-2</v>
      </c>
    </row>
    <row r="22" spans="2:14" x14ac:dyDescent="0.25">
      <c r="B22" s="152" t="s">
        <v>212</v>
      </c>
      <c r="C22" s="152"/>
      <c r="D22" s="152"/>
      <c r="E22" s="122">
        <f>WACC!J45</f>
        <v>0.16009574993020137</v>
      </c>
    </row>
    <row r="23" spans="2:14" x14ac:dyDescent="0.25">
      <c r="J23" s="20"/>
    </row>
    <row r="24" spans="2:14" x14ac:dyDescent="0.25">
      <c r="B24" s="131" t="s">
        <v>295</v>
      </c>
      <c r="C24" s="131"/>
      <c r="D24" s="131"/>
      <c r="E24" s="131"/>
      <c r="G24" s="203" t="s">
        <v>369</v>
      </c>
      <c r="H24" s="203"/>
      <c r="I24" s="203"/>
      <c r="J24" s="203"/>
      <c r="K24" s="203"/>
      <c r="L24" s="203"/>
    </row>
    <row r="25" spans="2:14" x14ac:dyDescent="0.25">
      <c r="G25" s="200">
        <f>E36</f>
        <v>37603.571442728535</v>
      </c>
      <c r="H25" s="102">
        <v>0.15</v>
      </c>
      <c r="I25" s="201">
        <f>E22</f>
        <v>0.16009574993020137</v>
      </c>
      <c r="J25" s="102">
        <v>0.2</v>
      </c>
      <c r="K25" s="102">
        <v>0.22</v>
      </c>
      <c r="L25" s="102">
        <v>0.25</v>
      </c>
    </row>
    <row r="26" spans="2:14" x14ac:dyDescent="0.25">
      <c r="B26" t="s">
        <v>296</v>
      </c>
      <c r="E26" s="184">
        <f>N13*(1+E20)</f>
        <v>4955.2711362246155</v>
      </c>
      <c r="G26" s="102">
        <v>0.06</v>
      </c>
      <c r="H26" s="179">
        <f t="dataTable" ref="H26:L30" dt2D="1" dtr="1" r1="E22" r2="E20"/>
        <v>38098.6210523685</v>
      </c>
      <c r="I26" s="179">
        <v>38098.6210523685</v>
      </c>
      <c r="J26" s="179">
        <v>23163.235390005171</v>
      </c>
      <c r="K26" s="179">
        <v>19959.198407577354</v>
      </c>
      <c r="L26" s="179">
        <v>16488.58821846818</v>
      </c>
    </row>
    <row r="27" spans="2:14" x14ac:dyDescent="0.25">
      <c r="B27" t="s">
        <v>212</v>
      </c>
      <c r="E27" s="102">
        <f>E22</f>
        <v>0.16009574993020137</v>
      </c>
      <c r="G27" s="201">
        <f>E20</f>
        <v>8.1914200804625248E-2</v>
      </c>
      <c r="H27" s="179">
        <v>38098.6210523685</v>
      </c>
      <c r="I27" s="202">
        <v>38098.6210523685</v>
      </c>
      <c r="J27" s="179">
        <v>23163.235390005171</v>
      </c>
      <c r="K27" s="179">
        <v>19959.198407577354</v>
      </c>
      <c r="L27" s="179">
        <v>16488.58821846818</v>
      </c>
    </row>
    <row r="28" spans="2:14" x14ac:dyDescent="0.25">
      <c r="B28" t="s">
        <v>294</v>
      </c>
      <c r="E28" s="102">
        <f>E21</f>
        <v>6.8000000000000005E-2</v>
      </c>
      <c r="G28" s="102">
        <v>0.1</v>
      </c>
      <c r="H28" s="179">
        <v>46442.50295993888</v>
      </c>
      <c r="I28" s="179">
        <v>46442.50295993888</v>
      </c>
      <c r="J28" s="179">
        <v>27888.022593323531</v>
      </c>
      <c r="K28" s="179">
        <v>23921.549589600454</v>
      </c>
      <c r="L28" s="179">
        <v>19635.731101058023</v>
      </c>
    </row>
    <row r="29" spans="2:14" x14ac:dyDescent="0.25">
      <c r="G29" s="102">
        <v>0.12</v>
      </c>
      <c r="H29" s="179">
        <v>51182.379188781226</v>
      </c>
      <c r="I29" s="179">
        <v>51182.379188781226</v>
      </c>
      <c r="J29" s="179">
        <v>30558.923087804553</v>
      </c>
      <c r="K29" s="179">
        <v>26157.209177750621</v>
      </c>
      <c r="L29" s="179">
        <v>21406.506035851438</v>
      </c>
    </row>
    <row r="30" spans="2:14" ht="15.75" thickBot="1" x14ac:dyDescent="0.3">
      <c r="B30" s="148" t="s">
        <v>297</v>
      </c>
      <c r="C30" s="147"/>
      <c r="D30" s="147"/>
      <c r="E30" s="186">
        <f>E26/(E27-E28)</f>
        <v>53805.644017016813</v>
      </c>
      <c r="G30" s="102">
        <v>0.15</v>
      </c>
      <c r="H30" s="179">
        <v>59079.928106511856</v>
      </c>
      <c r="I30" s="179">
        <v>59079.928106511856</v>
      </c>
      <c r="J30" s="179">
        <v>34992.161205412769</v>
      </c>
      <c r="K30" s="179">
        <v>29862.50307968515</v>
      </c>
      <c r="L30" s="179">
        <v>24334.907522479116</v>
      </c>
    </row>
    <row r="31" spans="2:14" ht="15.75" thickTop="1" x14ac:dyDescent="0.25"/>
    <row r="32" spans="2:14" x14ac:dyDescent="0.25">
      <c r="B32" s="131" t="s">
        <v>304</v>
      </c>
      <c r="C32" s="131"/>
      <c r="D32" s="131"/>
      <c r="E32" s="131"/>
    </row>
    <row r="34" spans="2:5" x14ac:dyDescent="0.25">
      <c r="B34" t="s">
        <v>292</v>
      </c>
      <c r="E34" s="184">
        <f>SUM(J18:N18)</f>
        <v>10022.853104498841</v>
      </c>
    </row>
    <row r="35" spans="2:5" x14ac:dyDescent="0.25">
      <c r="B35" t="s">
        <v>298</v>
      </c>
      <c r="E35" s="184">
        <f>E30*N16</f>
        <v>27580.718338229693</v>
      </c>
    </row>
    <row r="36" spans="2:5" x14ac:dyDescent="0.25">
      <c r="B36" s="19" t="s">
        <v>299</v>
      </c>
      <c r="C36" s="19"/>
      <c r="D36" s="19"/>
      <c r="E36" s="185">
        <f>SUM(E34:E35)</f>
        <v>37603.571442728535</v>
      </c>
    </row>
    <row r="37" spans="2:5" x14ac:dyDescent="0.25">
      <c r="E37" s="146"/>
    </row>
    <row r="38" spans="2:5" x14ac:dyDescent="0.25">
      <c r="B38" t="s">
        <v>300</v>
      </c>
      <c r="E38" s="184">
        <f>'Data Sheet'!K69</f>
        <v>1673.32</v>
      </c>
    </row>
    <row r="39" spans="2:5" x14ac:dyDescent="0.25">
      <c r="B39" t="s">
        <v>301</v>
      </c>
      <c r="E39" s="184">
        <f>SUM('Raw FS'!L22:L23)</f>
        <v>23031</v>
      </c>
    </row>
    <row r="40" spans="2:5" x14ac:dyDescent="0.25">
      <c r="B40" s="19" t="s">
        <v>302</v>
      </c>
      <c r="C40" s="19"/>
      <c r="D40" s="19"/>
      <c r="E40" s="185">
        <f>E36+E38-E39</f>
        <v>16245.891442728534</v>
      </c>
    </row>
    <row r="41" spans="2:5" x14ac:dyDescent="0.25">
      <c r="B41" t="s">
        <v>303</v>
      </c>
      <c r="E41" s="157">
        <f>'Data Sheet'!B6</f>
        <v>29.490848322800193</v>
      </c>
    </row>
    <row r="43" spans="2:5" ht="15.75" thickBot="1" x14ac:dyDescent="0.3">
      <c r="B43" s="148" t="s">
        <v>305</v>
      </c>
      <c r="C43" s="147"/>
      <c r="D43" s="147"/>
      <c r="E43" s="186">
        <f>E40/E41</f>
        <v>550.87908170374283</v>
      </c>
    </row>
    <row r="44" spans="2:5" ht="15.75" thickTop="1" x14ac:dyDescent="0.25"/>
    <row r="45" spans="2:5" x14ac:dyDescent="0.25">
      <c r="B45" t="s">
        <v>306</v>
      </c>
      <c r="E45" s="171">
        <v>11918</v>
      </c>
    </row>
    <row r="46" spans="2:5" x14ac:dyDescent="0.25">
      <c r="B46" t="s">
        <v>307</v>
      </c>
      <c r="E46" s="158">
        <f>E45/E43</f>
        <v>21.634511811812413</v>
      </c>
    </row>
  </sheetData>
  <mergeCells count="1">
    <mergeCell ref="G24:L24"/>
  </mergeCells>
  <pageMargins left="0.7" right="0.7" top="0.75" bottom="0.75" header="0.3" footer="0.3"/>
  <pageSetup orientation="portrait" r:id="rId1"/>
  <ignoredErrors>
    <ignoredError sqref="L8" formula="1"/>
    <ignoredError sqref="E39" formulaRange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B515-ED29-49C7-AFFA-E751BC02EEF9}">
  <dimension ref="B6:Q41"/>
  <sheetViews>
    <sheetView showGridLines="0" zoomScale="80" zoomScaleNormal="80" workbookViewId="0"/>
  </sheetViews>
  <sheetFormatPr defaultRowHeight="15" x14ac:dyDescent="0.25"/>
  <cols>
    <col min="1" max="1" width="1.85546875" customWidth="1"/>
    <col min="2" max="2" width="30.140625" bestFit="1" customWidth="1"/>
    <col min="4" max="4" width="12.28515625" customWidth="1"/>
    <col min="5" max="5" width="15.28515625" customWidth="1"/>
    <col min="6" max="7" width="13" bestFit="1" customWidth="1"/>
    <col min="8" max="8" width="15" customWidth="1"/>
    <col min="9" max="9" width="1.42578125" customWidth="1"/>
    <col min="10" max="10" width="13" bestFit="1" customWidth="1"/>
    <col min="11" max="11" width="12.5703125" customWidth="1"/>
    <col min="12" max="12" width="12.7109375" customWidth="1"/>
    <col min="13" max="13" width="1.42578125" customWidth="1"/>
    <col min="14" max="14" width="12.85546875" bestFit="1" customWidth="1"/>
    <col min="15" max="16" width="12.140625" bestFit="1" customWidth="1"/>
  </cols>
  <sheetData>
    <row r="6" spans="2:17" x14ac:dyDescent="0.25">
      <c r="B6" s="9" t="s">
        <v>368</v>
      </c>
    </row>
    <row r="7" spans="2:17" ht="18.75" x14ac:dyDescent="0.3">
      <c r="B7" s="193" t="s">
        <v>308</v>
      </c>
      <c r="C7" s="176"/>
      <c r="D7" s="176"/>
      <c r="E7" s="176"/>
      <c r="F7" s="176"/>
      <c r="G7" s="176"/>
      <c r="H7" s="176"/>
      <c r="I7" s="176"/>
      <c r="J7" s="176"/>
      <c r="K7" s="176"/>
      <c r="L7" s="176"/>
      <c r="M7" s="176"/>
      <c r="N7" s="176"/>
      <c r="O7" s="176"/>
      <c r="P7" s="176"/>
    </row>
    <row r="8" spans="2:17" ht="4.5" customHeight="1" x14ac:dyDescent="0.25"/>
    <row r="9" spans="2:17" x14ac:dyDescent="0.25">
      <c r="B9" s="170"/>
      <c r="C9" s="170"/>
      <c r="D9" s="205" t="s">
        <v>320</v>
      </c>
      <c r="E9" s="205"/>
      <c r="F9" s="205"/>
      <c r="G9" s="205"/>
      <c r="H9" s="205"/>
      <c r="I9" s="170"/>
      <c r="J9" s="205" t="s">
        <v>323</v>
      </c>
      <c r="K9" s="205"/>
      <c r="L9" s="205"/>
      <c r="M9" s="170"/>
      <c r="N9" s="205" t="s">
        <v>324</v>
      </c>
      <c r="O9" s="205"/>
      <c r="P9" s="205"/>
    </row>
    <row r="10" spans="2:17" x14ac:dyDescent="0.25">
      <c r="B10" s="130"/>
      <c r="C10" s="130"/>
      <c r="D10" s="124" t="s">
        <v>310</v>
      </c>
      <c r="E10" s="124" t="s">
        <v>315</v>
      </c>
      <c r="F10" s="124" t="s">
        <v>188</v>
      </c>
      <c r="G10" s="187"/>
      <c r="H10" s="124" t="s">
        <v>319</v>
      </c>
      <c r="I10" s="187"/>
      <c r="J10" s="187"/>
      <c r="K10" s="187"/>
      <c r="L10" s="187"/>
      <c r="M10" s="130"/>
      <c r="N10" s="130"/>
      <c r="O10" s="130"/>
      <c r="P10" s="130"/>
    </row>
    <row r="11" spans="2:17" x14ac:dyDescent="0.25">
      <c r="B11" s="131" t="s">
        <v>184</v>
      </c>
      <c r="C11" s="131" t="s">
        <v>309</v>
      </c>
      <c r="D11" s="124" t="s">
        <v>311</v>
      </c>
      <c r="E11" s="124" t="s">
        <v>316</v>
      </c>
      <c r="F11" s="124" t="s">
        <v>317</v>
      </c>
      <c r="G11" s="124" t="s">
        <v>318</v>
      </c>
      <c r="H11" s="124" t="s">
        <v>317</v>
      </c>
      <c r="I11" s="187"/>
      <c r="J11" s="124" t="s">
        <v>321</v>
      </c>
      <c r="K11" s="124" t="s">
        <v>60</v>
      </c>
      <c r="L11" s="124" t="s">
        <v>322</v>
      </c>
      <c r="M11" s="130"/>
      <c r="N11" s="131" t="s">
        <v>355</v>
      </c>
      <c r="O11" s="131" t="s">
        <v>356</v>
      </c>
      <c r="P11" s="131" t="s">
        <v>357</v>
      </c>
    </row>
    <row r="12" spans="2:17" ht="4.5" customHeight="1" x14ac:dyDescent="0.25"/>
    <row r="13" spans="2:17" x14ac:dyDescent="0.25">
      <c r="B13" s="195" t="str">
        <f>'Comps Rel.'!C3</f>
        <v>UltraTech Cem.</v>
      </c>
      <c r="C13" s="195"/>
      <c r="D13" s="196">
        <f>'Comps Rel.'!D3</f>
        <v>11918</v>
      </c>
      <c r="E13" s="196">
        <f>'Comps Rel.'!E3</f>
        <v>29.47</v>
      </c>
      <c r="F13" s="196">
        <f>D13*E13</f>
        <v>351223.45999999996</v>
      </c>
      <c r="G13" s="196">
        <f>'Comps Rel.'!G3</f>
        <v>25214.91</v>
      </c>
      <c r="H13" s="196">
        <f>'Comps Rel.'!I3</f>
        <v>375125.48</v>
      </c>
      <c r="I13" s="196"/>
      <c r="J13" s="196">
        <f>'Comps Rel.'!J3</f>
        <v>81724.53</v>
      </c>
      <c r="K13" s="196">
        <f>'Comps Rel.'!M3</f>
        <v>15702.196735035579</v>
      </c>
      <c r="L13" s="196">
        <f>'Comps Rel.'!K3</f>
        <v>7297.12</v>
      </c>
      <c r="M13" s="195"/>
      <c r="N13" s="197">
        <f>$H13/J13</f>
        <v>4.5901209832592489</v>
      </c>
      <c r="O13" s="197">
        <f>$H13/K13</f>
        <v>23.89</v>
      </c>
      <c r="P13" s="197">
        <f>F13/L13</f>
        <v>48.131791720569204</v>
      </c>
    </row>
    <row r="14" spans="2:17" x14ac:dyDescent="0.25">
      <c r="B14" t="str">
        <f>'Comps Rel.'!C4</f>
        <v>Grasim Inds</v>
      </c>
      <c r="D14" s="179">
        <f>'Comps Rel.'!D4</f>
        <v>2841.3</v>
      </c>
      <c r="E14" s="179">
        <f>'Comps Rel.'!E4</f>
        <v>68.05</v>
      </c>
      <c r="F14" s="179">
        <f t="shared" ref="F14:F22" si="0">D14*E14</f>
        <v>193350.465</v>
      </c>
      <c r="G14" s="179">
        <f>'Comps Rel.'!G4</f>
        <v>186325.56</v>
      </c>
      <c r="H14" s="179">
        <f>'Comps Rel.'!I4</f>
        <v>371776.28</v>
      </c>
      <c r="I14" s="179"/>
      <c r="J14" s="179">
        <f>'Comps Rel.'!J4</f>
        <v>153326.53</v>
      </c>
      <c r="K14" s="179">
        <f>'Comps Rel.'!M4</f>
        <v>32216.315424610057</v>
      </c>
      <c r="L14" s="179">
        <f>'Comps Rel.'!K4</f>
        <v>8574.66</v>
      </c>
      <c r="N14" s="188">
        <f t="shared" ref="N14:N22" si="1">$H14/J14</f>
        <v>2.4247354975032698</v>
      </c>
      <c r="O14" s="188">
        <f t="shared" ref="O14:O22" si="2">$H14/K14</f>
        <v>11.54</v>
      </c>
      <c r="P14" s="188">
        <f t="shared" ref="P14:P22" si="3">F14/L14</f>
        <v>22.549053256922139</v>
      </c>
      <c r="Q14" s="20"/>
    </row>
    <row r="15" spans="2:17" x14ac:dyDescent="0.25">
      <c r="B15" t="str">
        <f>'Comps Rel.'!C5</f>
        <v>Ambuja Cements</v>
      </c>
      <c r="D15" s="179">
        <f>'Comps Rel.'!D5</f>
        <v>555</v>
      </c>
      <c r="E15" s="179">
        <f>'Comps Rel.'!E5</f>
        <v>247.18</v>
      </c>
      <c r="F15" s="179">
        <f t="shared" si="0"/>
        <v>137184.9</v>
      </c>
      <c r="G15" s="179">
        <f>'Comps Rel.'!G5</f>
        <v>788.5</v>
      </c>
      <c r="H15" s="179">
        <f>'Comps Rel.'!I5</f>
        <v>131802.54</v>
      </c>
      <c r="I15" s="179"/>
      <c r="J15" s="179">
        <f>'Comps Rel.'!J5</f>
        <v>37114.29</v>
      </c>
      <c r="K15" s="179">
        <f>'Comps Rel.'!M5</f>
        <v>9223.4107767669702</v>
      </c>
      <c r="L15" s="179">
        <f>'Comps Rel.'!K5</f>
        <v>5344.88</v>
      </c>
      <c r="N15" s="188">
        <f t="shared" si="1"/>
        <v>3.5512612527411949</v>
      </c>
      <c r="O15" s="188">
        <f t="shared" si="2"/>
        <v>14.290000000000001</v>
      </c>
      <c r="P15" s="188">
        <f t="shared" si="3"/>
        <v>25.666600559788058</v>
      </c>
      <c r="Q15" s="20"/>
    </row>
    <row r="16" spans="2:17" x14ac:dyDescent="0.25">
      <c r="B16" t="str">
        <f>'Comps Rel.'!C6</f>
        <v>Shree Cement</v>
      </c>
      <c r="D16" s="179">
        <f>'Comps Rel.'!D6</f>
        <v>28705</v>
      </c>
      <c r="E16" s="179">
        <f>'Comps Rel.'!E6</f>
        <v>3.61</v>
      </c>
      <c r="F16" s="179">
        <f t="shared" si="0"/>
        <v>103625.05</v>
      </c>
      <c r="G16" s="179">
        <f>'Comps Rel.'!G6</f>
        <v>1046.1300000000001</v>
      </c>
      <c r="H16" s="179">
        <f>'Comps Rel.'!I6</f>
        <v>104322.34</v>
      </c>
      <c r="I16" s="179"/>
      <c r="J16" s="179">
        <f>'Comps Rel.'!J6</f>
        <v>19439.75</v>
      </c>
      <c r="K16" s="179">
        <f>'Comps Rel.'!M6</f>
        <v>5025.1608863198453</v>
      </c>
      <c r="L16" s="179">
        <f>'Comps Rel.'!K6</f>
        <v>1489.01</v>
      </c>
      <c r="N16" s="188">
        <f t="shared" si="1"/>
        <v>5.3664445273215957</v>
      </c>
      <c r="O16" s="188">
        <f t="shared" si="2"/>
        <v>20.76</v>
      </c>
      <c r="P16" s="188">
        <f t="shared" si="3"/>
        <v>69.593253235371151</v>
      </c>
    </row>
    <row r="17" spans="2:16" x14ac:dyDescent="0.25">
      <c r="B17" t="str">
        <f>'Comps Rel.'!C7</f>
        <v>J K Cements</v>
      </c>
      <c r="D17" s="179">
        <f>'Comps Rel.'!D7</f>
        <v>6257.5</v>
      </c>
      <c r="E17" s="179">
        <f>'Comps Rel.'!E7</f>
        <v>7.73</v>
      </c>
      <c r="F17" s="179">
        <f t="shared" si="0"/>
        <v>48370.475000000006</v>
      </c>
      <c r="G17" s="179">
        <f>'Comps Rel.'!G7</f>
        <v>6028.23</v>
      </c>
      <c r="H17" s="179">
        <f>'Comps Rel.'!I7</f>
        <v>53009.17</v>
      </c>
      <c r="I17" s="179"/>
      <c r="J17" s="179">
        <f>'Comps Rel.'!J7</f>
        <v>12424.11</v>
      </c>
      <c r="K17" s="179">
        <f>'Comps Rel.'!M7</f>
        <v>2413.896630236794</v>
      </c>
      <c r="L17" s="179">
        <f>'Comps Rel.'!K7</f>
        <v>1011.6</v>
      </c>
      <c r="N17" s="188">
        <f t="shared" si="1"/>
        <v>4.2666372078160926</v>
      </c>
      <c r="O17" s="188">
        <f t="shared" si="2"/>
        <v>21.96</v>
      </c>
      <c r="P17" s="188">
        <f t="shared" si="3"/>
        <v>47.815811585606966</v>
      </c>
    </row>
    <row r="18" spans="2:16" x14ac:dyDescent="0.25">
      <c r="B18" t="str">
        <f>'Comps Rel.'!C8</f>
        <v>Dalmia BharatLtd</v>
      </c>
      <c r="D18" s="179">
        <f>'Comps Rel.'!D8</f>
        <v>2098.4</v>
      </c>
      <c r="E18" s="179">
        <f>'Comps Rel.'!E8</f>
        <v>18.760000000000002</v>
      </c>
      <c r="F18" s="179">
        <f t="shared" si="0"/>
        <v>39365.984000000004</v>
      </c>
      <c r="G18" s="179">
        <f>'Comps Rel.'!G8</f>
        <v>5702</v>
      </c>
      <c r="H18" s="179">
        <f>'Comps Rel.'!I8</f>
        <v>44902.67</v>
      </c>
      <c r="I18" s="179"/>
      <c r="J18" s="179">
        <f>'Comps Rel.'!J8</f>
        <v>14325</v>
      </c>
      <c r="K18" s="179">
        <f>'Comps Rel.'!M8</f>
        <v>3126.9268802228412</v>
      </c>
      <c r="L18" s="179">
        <f>'Comps Rel.'!K8</f>
        <v>1139</v>
      </c>
      <c r="N18" s="188">
        <f t="shared" si="1"/>
        <v>3.1345668411867362</v>
      </c>
      <c r="O18" s="188">
        <f t="shared" si="2"/>
        <v>14.36</v>
      </c>
      <c r="P18" s="188">
        <f t="shared" si="3"/>
        <v>34.561882352941183</v>
      </c>
    </row>
    <row r="19" spans="2:16" x14ac:dyDescent="0.25">
      <c r="B19" t="str">
        <f>'Comps Rel.'!C9</f>
        <v>ACC</v>
      </c>
      <c r="D19" s="179">
        <f>'Comps Rel.'!D9</f>
        <v>1850.1</v>
      </c>
      <c r="E19" s="179">
        <f>'Comps Rel.'!E9</f>
        <v>18.78</v>
      </c>
      <c r="F19" s="179">
        <f t="shared" si="0"/>
        <v>34744.877999999997</v>
      </c>
      <c r="G19" s="179">
        <f>'Comps Rel.'!G9</f>
        <v>429.77</v>
      </c>
      <c r="H19" s="179">
        <f>'Comps Rel.'!I9</f>
        <v>33523.019999999997</v>
      </c>
      <c r="I19" s="179"/>
      <c r="J19" s="179">
        <f>'Comps Rel.'!J9</f>
        <v>22742.68</v>
      </c>
      <c r="K19" s="179">
        <f>'Comps Rel.'!M9</f>
        <v>4232.704545454545</v>
      </c>
      <c r="L19" s="179">
        <f>'Comps Rel.'!K9</f>
        <v>2417.9499999999998</v>
      </c>
      <c r="N19" s="188">
        <f t="shared" si="1"/>
        <v>1.4740136166889741</v>
      </c>
      <c r="O19" s="188">
        <f t="shared" si="2"/>
        <v>7.92</v>
      </c>
      <c r="P19" s="188">
        <f t="shared" si="3"/>
        <v>14.369560164602246</v>
      </c>
    </row>
    <row r="20" spans="2:16" x14ac:dyDescent="0.25">
      <c r="B20" t="str">
        <f>'Comps Rel.'!C10</f>
        <v>The Ramco Cement</v>
      </c>
      <c r="D20" s="179">
        <f>'Comps Rel.'!D10</f>
        <v>1046.8</v>
      </c>
      <c r="E20" s="179">
        <f>'Comps Rel.'!E10</f>
        <v>23.63</v>
      </c>
      <c r="F20" s="179">
        <f t="shared" si="0"/>
        <v>24735.883999999998</v>
      </c>
      <c r="G20" s="179">
        <f>'Comps Rel.'!G10</f>
        <v>4674.6099999999997</v>
      </c>
      <c r="H20" s="179">
        <f>'Comps Rel.'!I10</f>
        <v>29200.55</v>
      </c>
      <c r="I20" s="179"/>
      <c r="J20" s="179">
        <f>'Comps Rel.'!J10</f>
        <v>8498.8700000000008</v>
      </c>
      <c r="K20" s="179">
        <f>'Comps Rel.'!M10</f>
        <v>1348.75519630485</v>
      </c>
      <c r="L20" s="179">
        <f>'Comps Rel.'!K10</f>
        <v>317.56</v>
      </c>
      <c r="N20" s="188">
        <f t="shared" si="1"/>
        <v>3.4358155848954035</v>
      </c>
      <c r="O20" s="188">
        <f t="shared" si="2"/>
        <v>21.65</v>
      </c>
      <c r="P20" s="188">
        <f t="shared" si="3"/>
        <v>77.893576017130613</v>
      </c>
    </row>
    <row r="21" spans="2:16" x14ac:dyDescent="0.25">
      <c r="B21" t="str">
        <f>'Comps Rel.'!C11</f>
        <v>JSW Cement</v>
      </c>
      <c r="D21" s="179">
        <f>'Comps Rel.'!D11</f>
        <v>135.27000000000001</v>
      </c>
      <c r="E21" s="179">
        <f>'Comps Rel.'!E11</f>
        <v>136.34</v>
      </c>
      <c r="F21" s="179">
        <f t="shared" si="0"/>
        <v>18442.711800000001</v>
      </c>
      <c r="G21" s="179">
        <f>'Comps Rel.'!G11</f>
        <v>6562.53</v>
      </c>
      <c r="H21" s="179">
        <f>'Comps Rel.'!I11</f>
        <v>24881.25</v>
      </c>
      <c r="I21" s="179"/>
      <c r="J21" s="179">
        <f>'Comps Rel.'!J11</f>
        <v>5785.29</v>
      </c>
      <c r="K21" s="179">
        <f>'Comps Rel.'!M11</f>
        <v>718.28088914549653</v>
      </c>
      <c r="L21" s="179">
        <f>'Comps Rel.'!K11</f>
        <v>-163.77000000000001</v>
      </c>
      <c r="N21" s="188">
        <f t="shared" si="1"/>
        <v>4.3007783533755441</v>
      </c>
      <c r="O21" s="188">
        <f t="shared" si="2"/>
        <v>34.64</v>
      </c>
      <c r="P21" s="188">
        <f t="shared" si="3"/>
        <v>-112.61349331379374</v>
      </c>
    </row>
    <row r="22" spans="2:16" x14ac:dyDescent="0.25">
      <c r="B22" t="str">
        <f>'Comps Rel.'!C12</f>
        <v>Nuvoco Vistas</v>
      </c>
      <c r="D22" s="179">
        <f>'Comps Rel.'!D12</f>
        <v>414.9</v>
      </c>
      <c r="E22" s="179">
        <f>'Comps Rel.'!E12</f>
        <v>35.72</v>
      </c>
      <c r="F22" s="179">
        <f t="shared" si="0"/>
        <v>14820.227999999999</v>
      </c>
      <c r="G22" s="179">
        <f>'Comps Rel.'!G12</f>
        <v>5803.75</v>
      </c>
      <c r="H22" s="179">
        <f>'Comps Rel.'!I12</f>
        <v>20395.14</v>
      </c>
      <c r="I22" s="179"/>
      <c r="J22" s="179">
        <f>'Comps Rel.'!J12</f>
        <v>10781.88</v>
      </c>
      <c r="K22" s="179">
        <f>'Comps Rel.'!M12</f>
        <v>1718.2089300758214</v>
      </c>
      <c r="L22" s="179">
        <f>'Comps Rel.'!K12</f>
        <v>273.76</v>
      </c>
      <c r="N22" s="188">
        <f t="shared" si="1"/>
        <v>1.8916125944640454</v>
      </c>
      <c r="O22" s="188">
        <f t="shared" si="2"/>
        <v>11.87</v>
      </c>
      <c r="P22" s="188">
        <f t="shared" si="3"/>
        <v>54.135841613091756</v>
      </c>
    </row>
    <row r="23" spans="2:16" ht="4.5" customHeight="1" x14ac:dyDescent="0.25"/>
    <row r="24" spans="2:16" x14ac:dyDescent="0.25">
      <c r="B24" s="139" t="s">
        <v>358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90">
        <f>MAX(N13:N22)</f>
        <v>5.3664445273215957</v>
      </c>
      <c r="O24" s="190">
        <f t="shared" ref="O24:P24" si="4">MAX(O13:O22)</f>
        <v>34.64</v>
      </c>
      <c r="P24" s="190">
        <f t="shared" si="4"/>
        <v>77.893576017130613</v>
      </c>
    </row>
    <row r="25" spans="2:16" x14ac:dyDescent="0.25">
      <c r="B25" s="139" t="s">
        <v>359</v>
      </c>
      <c r="C25" s="139"/>
      <c r="D25" s="139"/>
      <c r="E25" s="139"/>
      <c r="F25" s="139"/>
      <c r="G25" s="139"/>
      <c r="H25" s="139"/>
      <c r="I25" s="139"/>
      <c r="J25" s="139"/>
      <c r="K25" s="139"/>
      <c r="L25" s="139"/>
      <c r="M25" s="139"/>
      <c r="N25" s="190">
        <f>QUARTILE(N13:N22,3)</f>
        <v>4.292243066985681</v>
      </c>
      <c r="O25" s="190">
        <f t="shared" ref="O25:P25" si="5">QUARTILE(O13:O22,3)</f>
        <v>21.8825</v>
      </c>
      <c r="P25" s="190">
        <f t="shared" si="5"/>
        <v>52.63482913996112</v>
      </c>
    </row>
    <row r="26" spans="2:16" x14ac:dyDescent="0.25">
      <c r="B26" s="139" t="s">
        <v>195</v>
      </c>
      <c r="C26" s="139"/>
      <c r="D26" s="139"/>
      <c r="E26" s="139"/>
      <c r="F26" s="139"/>
      <c r="G26" s="139"/>
      <c r="H26" s="139"/>
      <c r="I26" s="139"/>
      <c r="J26" s="139"/>
      <c r="K26" s="139"/>
      <c r="L26" s="139"/>
      <c r="M26" s="139"/>
      <c r="N26" s="189">
        <f>AVERAGE(N13:N22)</f>
        <v>3.4435986459252108</v>
      </c>
      <c r="O26" s="189">
        <f t="shared" ref="O26:P26" si="6">AVERAGE(O13:O22)</f>
        <v>18.288</v>
      </c>
      <c r="P26" s="189">
        <f t="shared" si="6"/>
        <v>28.210387719222958</v>
      </c>
    </row>
    <row r="27" spans="2:16" x14ac:dyDescent="0.25">
      <c r="B27" s="139" t="s">
        <v>196</v>
      </c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89">
        <f>MEDIAN(N13:N22)</f>
        <v>3.4935384188182992</v>
      </c>
      <c r="O27" s="189">
        <f t="shared" ref="O27:P27" si="7">MEDIAN(O13:O22)</f>
        <v>17.560000000000002</v>
      </c>
      <c r="P27" s="189">
        <f t="shared" si="7"/>
        <v>41.188846969274074</v>
      </c>
    </row>
    <row r="28" spans="2:16" x14ac:dyDescent="0.25">
      <c r="B28" s="139" t="s">
        <v>360</v>
      </c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190">
        <f>QUARTILE(N13:N22,1)</f>
        <v>2.6021933334241365</v>
      </c>
      <c r="O28" s="190">
        <f t="shared" ref="O28:P28" si="8">QUARTILE(O13:O22,1)</f>
        <v>12.475</v>
      </c>
      <c r="P28" s="190">
        <f t="shared" si="8"/>
        <v>23.328440082638618</v>
      </c>
    </row>
    <row r="29" spans="2:16" x14ac:dyDescent="0.25">
      <c r="B29" s="139" t="s">
        <v>361</v>
      </c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90">
        <f>MIN(N13:N22)</f>
        <v>1.4740136166889741</v>
      </c>
      <c r="O29" s="190">
        <f t="shared" ref="O29:P29" si="9">MIN(O13:O22)</f>
        <v>7.92</v>
      </c>
      <c r="P29" s="190">
        <f t="shared" si="9"/>
        <v>-112.61349331379374</v>
      </c>
    </row>
    <row r="31" spans="2:16" x14ac:dyDescent="0.25">
      <c r="B31" s="131" t="s">
        <v>372</v>
      </c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1" t="str">
        <f>N11</f>
        <v>EV/Revenue</v>
      </c>
      <c r="O31" s="131" t="str">
        <f t="shared" ref="O31:P31" si="10">O11</f>
        <v>EV/EBITDA</v>
      </c>
      <c r="P31" s="131" t="str">
        <f t="shared" si="10"/>
        <v>P/E Ratio</v>
      </c>
    </row>
    <row r="32" spans="2:16" ht="4.5" customHeight="1" x14ac:dyDescent="0.25"/>
    <row r="33" spans="2:16" x14ac:dyDescent="0.25">
      <c r="B33" t="s">
        <v>362</v>
      </c>
      <c r="N33" s="181">
        <f>N27*J13</f>
        <v>285507.78531486867</v>
      </c>
      <c r="O33" s="181">
        <f>O27*K13</f>
        <v>275730.57466722478</v>
      </c>
      <c r="P33" s="181">
        <f>P35+P34</f>
        <v>325774.8689964292</v>
      </c>
    </row>
    <row r="34" spans="2:16" x14ac:dyDescent="0.25">
      <c r="B34" t="s">
        <v>318</v>
      </c>
      <c r="N34" s="181">
        <f>$G$13</f>
        <v>25214.91</v>
      </c>
      <c r="O34" s="181">
        <f t="shared" ref="O34:P34" si="11">$G$13</f>
        <v>25214.91</v>
      </c>
      <c r="P34" s="181">
        <f t="shared" si="11"/>
        <v>25214.91</v>
      </c>
    </row>
    <row r="35" spans="2:16" x14ac:dyDescent="0.25">
      <c r="B35" t="s">
        <v>363</v>
      </c>
      <c r="N35" s="181">
        <f>N33-N34</f>
        <v>260292.87531486867</v>
      </c>
      <c r="O35" s="181">
        <f t="shared" ref="O35" si="12">O33-O34</f>
        <v>250515.66466722477</v>
      </c>
      <c r="P35" s="181">
        <f>P27*L13</f>
        <v>300559.95899642922</v>
      </c>
    </row>
    <row r="36" spans="2:16" x14ac:dyDescent="0.25">
      <c r="B36" t="s">
        <v>364</v>
      </c>
      <c r="N36" s="184">
        <f>$E$13</f>
        <v>29.47</v>
      </c>
      <c r="O36" s="184">
        <f t="shared" ref="O36:P36" si="13">$E$13</f>
        <v>29.47</v>
      </c>
      <c r="P36" s="184">
        <f t="shared" si="13"/>
        <v>29.47</v>
      </c>
    </row>
    <row r="37" spans="2:16" ht="4.5" customHeight="1" x14ac:dyDescent="0.25"/>
    <row r="38" spans="2:16" x14ac:dyDescent="0.25">
      <c r="B38" s="191" t="s">
        <v>365</v>
      </c>
      <c r="C38" s="191"/>
      <c r="D38" s="191"/>
      <c r="E38" s="191"/>
      <c r="F38" s="191"/>
      <c r="G38" s="191"/>
      <c r="H38" s="191"/>
      <c r="I38" s="191"/>
      <c r="J38" s="191"/>
      <c r="K38" s="191"/>
      <c r="L38" s="191"/>
      <c r="M38" s="191"/>
      <c r="N38" s="192">
        <f>N35/N36</f>
        <v>8832.4694711526536</v>
      </c>
      <c r="O38" s="192">
        <f t="shared" ref="O38:P38" si="14">O35/O36</f>
        <v>8500.7012102892695</v>
      </c>
      <c r="P38" s="192">
        <f t="shared" si="14"/>
        <v>10198.844892990473</v>
      </c>
    </row>
    <row r="39" spans="2:16" s="15" customFormat="1" ht="4.5" customHeight="1" x14ac:dyDescent="0.25">
      <c r="B39" s="198"/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9"/>
      <c r="O39" s="199"/>
      <c r="P39" s="199"/>
    </row>
    <row r="40" spans="2:16" x14ac:dyDescent="0.25">
      <c r="B40" s="9" t="s">
        <v>366</v>
      </c>
    </row>
    <row r="41" spans="2:16" x14ac:dyDescent="0.25">
      <c r="N41" s="39" t="str">
        <f>IF(N38&gt;$D$13,"Undervalued","Overvalued")</f>
        <v>Overvalued</v>
      </c>
      <c r="O41" s="39" t="str">
        <f t="shared" ref="O41:P41" si="15">IF(O38&gt;$D$13,"Undervalued","Overvalued")</f>
        <v>Overvalued</v>
      </c>
      <c r="P41" s="39" t="str">
        <f t="shared" si="15"/>
        <v>Overvalued</v>
      </c>
    </row>
  </sheetData>
  <mergeCells count="3">
    <mergeCell ref="D9:H9"/>
    <mergeCell ref="J9:L9"/>
    <mergeCell ref="N9:P9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20F06-B9CD-40D6-BC21-1E18D0C6387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060"/>
  </sheetPr>
  <dimension ref="A1:K93"/>
  <sheetViews>
    <sheetView zoomScale="80" zoomScaleNormal="80" zoomScalePageLayoutView="120" workbookViewId="0">
      <pane xSplit="1" ySplit="1" topLeftCell="B7" activePane="bottomRight" state="frozen"/>
      <selection activeCell="C4" sqref="C4"/>
      <selection pane="topRight" activeCell="C4" sqref="C4"/>
      <selection pane="bottomLeft" activeCell="C4" sqref="C4"/>
      <selection pane="bottomRight" activeCell="J26" sqref="J26"/>
    </sheetView>
  </sheetViews>
  <sheetFormatPr defaultColWidth="8.85546875" defaultRowHeight="15" x14ac:dyDescent="0.25"/>
  <cols>
    <col min="1" max="1" width="27.7109375" style="2" bestFit="1" customWidth="1"/>
    <col min="2" max="11" width="13.42578125" style="2" bestFit="1" customWidth="1"/>
    <col min="12" max="16384" width="8.85546875" style="2"/>
  </cols>
  <sheetData>
    <row r="1" spans="1:11" s="1" customFormat="1" x14ac:dyDescent="0.25">
      <c r="A1" s="1" t="s">
        <v>0</v>
      </c>
      <c r="B1" s="1" t="s">
        <v>32</v>
      </c>
      <c r="E1" s="206" t="str">
        <f>IF(B2&lt;&gt;B3, "A NEW VERSION OF THE WORKSHEET IS AVAILABLE", "")</f>
        <v/>
      </c>
      <c r="F1" s="206"/>
      <c r="G1" s="206"/>
      <c r="H1" s="206"/>
      <c r="I1" s="206"/>
      <c r="J1" s="206"/>
      <c r="K1" s="206"/>
    </row>
    <row r="2" spans="1:11" x14ac:dyDescent="0.25">
      <c r="A2" s="1" t="s">
        <v>30</v>
      </c>
      <c r="B2" s="2">
        <v>2.1</v>
      </c>
      <c r="E2" s="207" t="s">
        <v>21</v>
      </c>
      <c r="F2" s="207"/>
      <c r="G2" s="207"/>
      <c r="H2" s="207"/>
      <c r="I2" s="207"/>
      <c r="J2" s="207"/>
      <c r="K2" s="207"/>
    </row>
    <row r="3" spans="1:11" x14ac:dyDescent="0.25">
      <c r="A3" s="1" t="s">
        <v>31</v>
      </c>
      <c r="B3" s="2">
        <v>2.1</v>
      </c>
    </row>
    <row r="4" spans="1:11" x14ac:dyDescent="0.25">
      <c r="A4" s="1"/>
    </row>
    <row r="5" spans="1:11" x14ac:dyDescent="0.25">
      <c r="A5" s="1" t="s">
        <v>33</v>
      </c>
    </row>
    <row r="6" spans="1:11" x14ac:dyDescent="0.25">
      <c r="A6" s="2" t="s">
        <v>27</v>
      </c>
      <c r="B6" s="2">
        <f>IF(B9&gt;0, B9/B8, 0)</f>
        <v>29.490848322800193</v>
      </c>
    </row>
    <row r="7" spans="1:11" x14ac:dyDescent="0.25">
      <c r="A7" s="2" t="s">
        <v>16</v>
      </c>
      <c r="B7">
        <v>10</v>
      </c>
    </row>
    <row r="8" spans="1:11" x14ac:dyDescent="0.25">
      <c r="A8" s="2" t="s">
        <v>28</v>
      </c>
      <c r="B8">
        <v>12342</v>
      </c>
    </row>
    <row r="9" spans="1:11" x14ac:dyDescent="0.25">
      <c r="A9" s="2" t="s">
        <v>43</v>
      </c>
      <c r="B9">
        <v>363976.05</v>
      </c>
    </row>
    <row r="15" spans="1:11" x14ac:dyDescent="0.25">
      <c r="A15" s="1" t="s">
        <v>22</v>
      </c>
    </row>
    <row r="16" spans="1:11" s="6" customFormat="1" x14ac:dyDescent="0.25">
      <c r="A16" s="5" t="s">
        <v>23</v>
      </c>
      <c r="B16" s="4">
        <v>42460</v>
      </c>
      <c r="C16" s="4">
        <v>42825</v>
      </c>
      <c r="D16" s="4">
        <v>43190</v>
      </c>
      <c r="E16" s="4">
        <v>43555</v>
      </c>
      <c r="F16" s="4">
        <v>43921</v>
      </c>
      <c r="G16" s="4">
        <v>44286</v>
      </c>
      <c r="H16" s="4">
        <v>44651</v>
      </c>
      <c r="I16" s="4">
        <v>45016</v>
      </c>
      <c r="J16" s="4">
        <v>45382</v>
      </c>
      <c r="K16" s="4">
        <v>45747</v>
      </c>
    </row>
    <row r="17" spans="1:11" s="3" customFormat="1" x14ac:dyDescent="0.25">
      <c r="A17" s="3" t="s">
        <v>1</v>
      </c>
      <c r="B17">
        <v>25153.24</v>
      </c>
      <c r="C17">
        <v>25374.94</v>
      </c>
      <c r="D17">
        <v>30978.62</v>
      </c>
      <c r="E17">
        <v>41462.26</v>
      </c>
      <c r="F17">
        <v>42429.89</v>
      </c>
      <c r="G17">
        <v>44725.8</v>
      </c>
      <c r="H17">
        <v>52598.83</v>
      </c>
      <c r="I17">
        <v>63239.98</v>
      </c>
      <c r="J17">
        <v>70908.14</v>
      </c>
      <c r="K17">
        <v>75955.13</v>
      </c>
    </row>
    <row r="18" spans="1:11" s="3" customFormat="1" x14ac:dyDescent="0.25">
      <c r="A18" s="2" t="s">
        <v>44</v>
      </c>
      <c r="B18">
        <v>4436.12</v>
      </c>
      <c r="C18">
        <v>4416.8999999999996</v>
      </c>
      <c r="D18">
        <v>5399.98</v>
      </c>
      <c r="E18">
        <v>6936.74</v>
      </c>
      <c r="F18">
        <v>6875.89</v>
      </c>
      <c r="G18">
        <v>6635.66</v>
      </c>
      <c r="H18">
        <v>8348.15</v>
      </c>
      <c r="I18">
        <v>10233.17</v>
      </c>
      <c r="J18">
        <v>11986.27</v>
      </c>
      <c r="K18">
        <v>13691.46</v>
      </c>
    </row>
    <row r="19" spans="1:11" s="3" customFormat="1" x14ac:dyDescent="0.25">
      <c r="A19" s="2" t="s">
        <v>45</v>
      </c>
      <c r="B19">
        <v>18.61</v>
      </c>
      <c r="C19">
        <v>-75.69</v>
      </c>
      <c r="D19">
        <v>111.2</v>
      </c>
      <c r="E19">
        <v>-46.35</v>
      </c>
      <c r="F19">
        <v>357.83</v>
      </c>
      <c r="G19">
        <v>-450.15</v>
      </c>
      <c r="H19">
        <v>383.16</v>
      </c>
      <c r="I19">
        <v>518.21</v>
      </c>
      <c r="J19">
        <v>83.35</v>
      </c>
      <c r="K19">
        <v>-12.27</v>
      </c>
    </row>
    <row r="20" spans="1:11" s="3" customFormat="1" x14ac:dyDescent="0.25">
      <c r="A20" s="2" t="s">
        <v>46</v>
      </c>
      <c r="B20">
        <v>4579.25</v>
      </c>
      <c r="C20">
        <v>4271.9799999999996</v>
      </c>
      <c r="D20">
        <v>6334.07</v>
      </c>
      <c r="E20">
        <v>9436.14</v>
      </c>
      <c r="F20">
        <v>8516.8700000000008</v>
      </c>
      <c r="G20">
        <v>8331.18</v>
      </c>
      <c r="H20">
        <v>12137.26</v>
      </c>
      <c r="I20">
        <v>18491.32</v>
      </c>
      <c r="J20">
        <v>18283.32</v>
      </c>
      <c r="K20">
        <v>18419.150000000001</v>
      </c>
    </row>
    <row r="21" spans="1:11" s="3" customFormat="1" x14ac:dyDescent="0.25">
      <c r="A21" s="2" t="s">
        <v>47</v>
      </c>
      <c r="B21">
        <v>1933.88</v>
      </c>
      <c r="C21">
        <v>1991.28</v>
      </c>
      <c r="D21">
        <v>2289.5300000000002</v>
      </c>
      <c r="E21">
        <v>3001.06</v>
      </c>
      <c r="F21">
        <v>3043.3</v>
      </c>
      <c r="G21">
        <v>3067.38</v>
      </c>
      <c r="H21">
        <v>3889.67</v>
      </c>
      <c r="I21">
        <v>4344.34</v>
      </c>
      <c r="J21">
        <v>4898.17</v>
      </c>
      <c r="K21">
        <v>5474.61</v>
      </c>
    </row>
    <row r="22" spans="1:11" s="3" customFormat="1" x14ac:dyDescent="0.25">
      <c r="A22" s="2" t="s">
        <v>48</v>
      </c>
      <c r="B22">
        <v>1466.49</v>
      </c>
      <c r="C22">
        <v>1547.77</v>
      </c>
      <c r="D22">
        <v>1831.81</v>
      </c>
      <c r="E22">
        <v>2309.4299999999998</v>
      </c>
      <c r="F22">
        <v>2522.64</v>
      </c>
      <c r="G22">
        <v>2363.33</v>
      </c>
      <c r="H22">
        <v>2545</v>
      </c>
      <c r="I22">
        <v>2751.31</v>
      </c>
      <c r="J22">
        <v>3051.99</v>
      </c>
      <c r="K22">
        <v>3619.25</v>
      </c>
    </row>
    <row r="23" spans="1:11" s="3" customFormat="1" x14ac:dyDescent="0.25">
      <c r="A23" s="2" t="s">
        <v>49</v>
      </c>
      <c r="B23">
        <v>7200.47</v>
      </c>
      <c r="C23">
        <v>7149.12</v>
      </c>
      <c r="D23">
        <v>8320.2800000000007</v>
      </c>
      <c r="E23">
        <v>11563.8</v>
      </c>
      <c r="F23">
        <v>11237.32</v>
      </c>
      <c r="G23">
        <v>11266.02</v>
      </c>
      <c r="H23">
        <v>13282.22</v>
      </c>
      <c r="I23">
        <v>15859.6</v>
      </c>
      <c r="J23">
        <v>18066.95</v>
      </c>
      <c r="K23">
        <v>19571.95</v>
      </c>
    </row>
    <row r="24" spans="1:11" s="3" customFormat="1" x14ac:dyDescent="0.25">
      <c r="A24" s="2" t="s">
        <v>50</v>
      </c>
      <c r="B24">
        <v>654.66999999999996</v>
      </c>
      <c r="C24">
        <v>709.76</v>
      </c>
      <c r="D24">
        <v>769.12</v>
      </c>
      <c r="E24">
        <v>821.8</v>
      </c>
      <c r="F24">
        <v>1345.73</v>
      </c>
      <c r="G24">
        <v>1044.17</v>
      </c>
      <c r="H24">
        <v>1265.3399999999999</v>
      </c>
      <c r="I24">
        <v>1458.6</v>
      </c>
      <c r="J24">
        <v>1726.23</v>
      </c>
      <c r="K24">
        <v>2369.56</v>
      </c>
    </row>
    <row r="25" spans="1:11" s="3" customFormat="1" x14ac:dyDescent="0.25">
      <c r="A25" s="3" t="s">
        <v>4</v>
      </c>
      <c r="B25">
        <v>463.81</v>
      </c>
      <c r="C25">
        <v>648.12</v>
      </c>
      <c r="D25">
        <v>241.97</v>
      </c>
      <c r="E25">
        <v>350.1</v>
      </c>
      <c r="F25">
        <v>651.05999999999995</v>
      </c>
      <c r="G25">
        <v>618.52</v>
      </c>
      <c r="H25">
        <v>669.43</v>
      </c>
      <c r="I25">
        <v>507.11</v>
      </c>
      <c r="J25">
        <v>556.96</v>
      </c>
      <c r="K25">
        <v>396.74</v>
      </c>
    </row>
    <row r="26" spans="1:11" s="3" customFormat="1" x14ac:dyDescent="0.25">
      <c r="A26" s="3" t="s">
        <v>5</v>
      </c>
      <c r="B26">
        <v>1377.17</v>
      </c>
      <c r="C26">
        <v>1348.41</v>
      </c>
      <c r="D26">
        <v>1847.93</v>
      </c>
      <c r="E26">
        <v>2450.73</v>
      </c>
      <c r="F26">
        <v>2722.66</v>
      </c>
      <c r="G26">
        <v>2700.23</v>
      </c>
      <c r="H26">
        <v>2714.75</v>
      </c>
      <c r="I26">
        <v>2887.99</v>
      </c>
      <c r="J26">
        <v>3145.3</v>
      </c>
      <c r="K26">
        <v>4014.95</v>
      </c>
    </row>
    <row r="27" spans="1:11" s="3" customFormat="1" x14ac:dyDescent="0.25">
      <c r="A27" s="3" t="s">
        <v>6</v>
      </c>
      <c r="B27">
        <v>566.29999999999995</v>
      </c>
      <c r="C27">
        <v>640.1</v>
      </c>
      <c r="D27">
        <v>1237.5999999999999</v>
      </c>
      <c r="E27">
        <v>1777.86</v>
      </c>
      <c r="F27">
        <v>1991.65</v>
      </c>
      <c r="G27">
        <v>1485.65</v>
      </c>
      <c r="H27">
        <v>944.71</v>
      </c>
      <c r="I27">
        <v>822.72</v>
      </c>
      <c r="J27">
        <v>968</v>
      </c>
      <c r="K27">
        <v>1650.54</v>
      </c>
    </row>
    <row r="28" spans="1:11" s="3" customFormat="1" x14ac:dyDescent="0.25">
      <c r="A28" s="3" t="s">
        <v>7</v>
      </c>
      <c r="B28">
        <v>3421.31</v>
      </c>
      <c r="C28">
        <v>3872.05</v>
      </c>
      <c r="D28">
        <v>3301.47</v>
      </c>
      <c r="E28">
        <v>3468.45</v>
      </c>
      <c r="F28">
        <v>5182.72</v>
      </c>
      <c r="G28">
        <v>8000.55</v>
      </c>
      <c r="H28">
        <v>8524.32</v>
      </c>
      <c r="I28">
        <v>7416.25</v>
      </c>
      <c r="J28">
        <v>9422.2199999999993</v>
      </c>
      <c r="K28">
        <v>7528.13</v>
      </c>
    </row>
    <row r="29" spans="1:11" s="3" customFormat="1" x14ac:dyDescent="0.25">
      <c r="A29" s="3" t="s">
        <v>8</v>
      </c>
      <c r="B29">
        <v>941.69</v>
      </c>
      <c r="C29">
        <v>1158.54</v>
      </c>
      <c r="D29">
        <v>1077.01</v>
      </c>
      <c r="E29">
        <v>1068.07</v>
      </c>
      <c r="F29">
        <v>-568.16</v>
      </c>
      <c r="G29">
        <v>2538.6999999999998</v>
      </c>
      <c r="H29">
        <v>1190.06</v>
      </c>
      <c r="I29">
        <v>2342.85</v>
      </c>
      <c r="J29">
        <v>2418.2600000000002</v>
      </c>
      <c r="K29">
        <v>1488.49</v>
      </c>
    </row>
    <row r="30" spans="1:11" s="3" customFormat="1" x14ac:dyDescent="0.25">
      <c r="A30" s="3" t="s">
        <v>9</v>
      </c>
      <c r="B30">
        <v>2478.04</v>
      </c>
      <c r="C30">
        <v>2714.92</v>
      </c>
      <c r="D30">
        <v>2222.17</v>
      </c>
      <c r="E30">
        <v>2403.5100000000002</v>
      </c>
      <c r="F30">
        <v>5755.26</v>
      </c>
      <c r="G30">
        <v>5463.1</v>
      </c>
      <c r="H30">
        <v>7344.31</v>
      </c>
      <c r="I30">
        <v>5063.96</v>
      </c>
      <c r="J30">
        <v>7005</v>
      </c>
      <c r="K30">
        <v>6039.11</v>
      </c>
    </row>
    <row r="31" spans="1:11" s="3" customFormat="1" x14ac:dyDescent="0.25">
      <c r="A31" s="3" t="s">
        <v>34</v>
      </c>
      <c r="B31">
        <v>260.70999999999998</v>
      </c>
      <c r="C31">
        <v>274.51</v>
      </c>
      <c r="D31">
        <v>288.33999999999997</v>
      </c>
      <c r="E31">
        <v>315.83999999999997</v>
      </c>
      <c r="F31">
        <v>375.22</v>
      </c>
      <c r="G31">
        <v>1068</v>
      </c>
      <c r="H31">
        <v>1096.95</v>
      </c>
      <c r="I31">
        <v>1097.02</v>
      </c>
      <c r="J31">
        <v>2020.83</v>
      </c>
      <c r="K31">
        <v>2283.77</v>
      </c>
    </row>
    <row r="32" spans="1:11" s="3" customFormat="1" x14ac:dyDescent="0.25"/>
    <row r="33" spans="1:11" x14ac:dyDescent="0.25">
      <c r="A33" s="3"/>
    </row>
    <row r="34" spans="1:11" x14ac:dyDescent="0.25">
      <c r="A34" s="3"/>
    </row>
    <row r="35" spans="1:11" x14ac:dyDescent="0.25">
      <c r="A35" s="3"/>
    </row>
    <row r="36" spans="1:11" x14ac:dyDescent="0.25">
      <c r="A36" s="3"/>
    </row>
    <row r="37" spans="1:11" x14ac:dyDescent="0.25">
      <c r="A37" s="3"/>
    </row>
    <row r="38" spans="1:11" x14ac:dyDescent="0.25">
      <c r="A38" s="3"/>
    </row>
    <row r="39" spans="1:11" x14ac:dyDescent="0.25">
      <c r="A39" s="3"/>
    </row>
    <row r="40" spans="1:11" x14ac:dyDescent="0.25">
      <c r="A40" s="1" t="s">
        <v>24</v>
      </c>
    </row>
    <row r="41" spans="1:11" s="6" customFormat="1" x14ac:dyDescent="0.25">
      <c r="A41" s="5" t="s">
        <v>23</v>
      </c>
      <c r="B41" s="4">
        <v>45107</v>
      </c>
      <c r="C41" s="4">
        <v>45199</v>
      </c>
      <c r="D41" s="4">
        <v>45291</v>
      </c>
      <c r="E41" s="4">
        <v>45382</v>
      </c>
      <c r="F41" s="4">
        <v>45473</v>
      </c>
      <c r="G41" s="4">
        <v>45565</v>
      </c>
      <c r="H41" s="4">
        <v>45657</v>
      </c>
      <c r="I41" s="4">
        <v>45747</v>
      </c>
      <c r="J41" s="4">
        <v>45838</v>
      </c>
      <c r="K41" s="4">
        <v>45930</v>
      </c>
    </row>
    <row r="42" spans="1:11" s="3" customFormat="1" x14ac:dyDescent="0.25">
      <c r="A42" s="3" t="s">
        <v>1</v>
      </c>
      <c r="B42">
        <v>17737.099999999999</v>
      </c>
      <c r="C42">
        <v>16012.13</v>
      </c>
      <c r="D42">
        <v>16739.97</v>
      </c>
      <c r="E42">
        <v>20418.939999999999</v>
      </c>
      <c r="F42">
        <v>18818.560000000001</v>
      </c>
      <c r="G42">
        <v>16294.42</v>
      </c>
      <c r="H42">
        <v>17778.830000000002</v>
      </c>
      <c r="I42">
        <v>23063.32</v>
      </c>
      <c r="J42">
        <v>21275.45</v>
      </c>
      <c r="K42">
        <v>19606.93</v>
      </c>
    </row>
    <row r="43" spans="1:11" s="3" customFormat="1" x14ac:dyDescent="0.25">
      <c r="A43" s="3" t="s">
        <v>2</v>
      </c>
      <c r="B43">
        <v>14687.92</v>
      </c>
      <c r="C43">
        <v>13461.24</v>
      </c>
      <c r="D43">
        <v>13485.4</v>
      </c>
      <c r="E43">
        <v>16305.02</v>
      </c>
      <c r="F43">
        <v>15801.46</v>
      </c>
      <c r="G43">
        <v>14268.68</v>
      </c>
      <c r="H43">
        <v>14885.35</v>
      </c>
      <c r="I43">
        <v>18455.650000000001</v>
      </c>
      <c r="J43">
        <v>16869.419999999998</v>
      </c>
      <c r="K43">
        <v>16518.27</v>
      </c>
    </row>
    <row r="44" spans="1:11" s="3" customFormat="1" x14ac:dyDescent="0.25">
      <c r="A44" s="3" t="s">
        <v>4</v>
      </c>
      <c r="B44">
        <v>177.43</v>
      </c>
      <c r="C44">
        <v>170.62</v>
      </c>
      <c r="D44">
        <v>146.24</v>
      </c>
      <c r="E44">
        <v>72.67</v>
      </c>
      <c r="F44">
        <v>83.31</v>
      </c>
      <c r="G44">
        <v>226.22</v>
      </c>
      <c r="H44">
        <v>247.32</v>
      </c>
      <c r="I44">
        <v>92.78</v>
      </c>
      <c r="J44">
        <v>141.85</v>
      </c>
      <c r="K44">
        <v>174.14</v>
      </c>
    </row>
    <row r="45" spans="1:11" s="3" customFormat="1" x14ac:dyDescent="0.25">
      <c r="A45" s="3" t="s">
        <v>5</v>
      </c>
      <c r="B45">
        <v>749.07</v>
      </c>
      <c r="C45">
        <v>797.83</v>
      </c>
      <c r="D45">
        <v>783.48</v>
      </c>
      <c r="E45">
        <v>814.92</v>
      </c>
      <c r="F45">
        <v>917.93</v>
      </c>
      <c r="G45">
        <v>979.67</v>
      </c>
      <c r="H45">
        <v>992.78</v>
      </c>
      <c r="I45">
        <v>1124.57</v>
      </c>
      <c r="J45">
        <v>1106.78</v>
      </c>
      <c r="K45">
        <v>1147.68</v>
      </c>
    </row>
    <row r="46" spans="1:11" s="3" customFormat="1" x14ac:dyDescent="0.25">
      <c r="A46" s="3" t="s">
        <v>6</v>
      </c>
      <c r="B46">
        <v>210.75</v>
      </c>
      <c r="C46">
        <v>233.94</v>
      </c>
      <c r="D46">
        <v>262.16000000000003</v>
      </c>
      <c r="E46">
        <v>261.14999999999998</v>
      </c>
      <c r="F46">
        <v>325.76</v>
      </c>
      <c r="G46">
        <v>392.99</v>
      </c>
      <c r="H46">
        <v>456.75</v>
      </c>
      <c r="I46">
        <v>475.04</v>
      </c>
      <c r="J46">
        <v>433.3</v>
      </c>
      <c r="K46">
        <v>459.29</v>
      </c>
    </row>
    <row r="47" spans="1:11" s="3" customFormat="1" x14ac:dyDescent="0.25">
      <c r="A47" s="3" t="s">
        <v>7</v>
      </c>
      <c r="B47">
        <v>2266.79</v>
      </c>
      <c r="C47">
        <v>1689.74</v>
      </c>
      <c r="D47">
        <v>2355.17</v>
      </c>
      <c r="E47">
        <v>3110.52</v>
      </c>
      <c r="F47">
        <v>1856.72</v>
      </c>
      <c r="G47">
        <v>879.3</v>
      </c>
      <c r="H47">
        <v>1691.27</v>
      </c>
      <c r="I47">
        <v>3100.84</v>
      </c>
      <c r="J47">
        <v>3007.8</v>
      </c>
      <c r="K47">
        <v>1655.83</v>
      </c>
    </row>
    <row r="48" spans="1:11" s="3" customFormat="1" x14ac:dyDescent="0.25">
      <c r="A48" s="3" t="s">
        <v>8</v>
      </c>
      <c r="B48">
        <v>576.57000000000005</v>
      </c>
      <c r="C48">
        <v>409.36</v>
      </c>
      <c r="D48">
        <v>580.39</v>
      </c>
      <c r="E48">
        <v>851.94</v>
      </c>
      <c r="F48">
        <v>363.27</v>
      </c>
      <c r="G48">
        <v>171.34</v>
      </c>
      <c r="H48">
        <v>327.83</v>
      </c>
      <c r="I48">
        <v>626.04999999999995</v>
      </c>
      <c r="J48">
        <v>786.89</v>
      </c>
      <c r="K48">
        <v>417.85</v>
      </c>
    </row>
    <row r="49" spans="1:11" s="3" customFormat="1" x14ac:dyDescent="0.25">
      <c r="A49" s="3" t="s">
        <v>9</v>
      </c>
      <c r="B49">
        <v>1688.45</v>
      </c>
      <c r="C49">
        <v>1281.45</v>
      </c>
      <c r="D49">
        <v>1776.98</v>
      </c>
      <c r="E49">
        <v>2258.12</v>
      </c>
      <c r="F49">
        <v>1494.82</v>
      </c>
      <c r="G49">
        <v>702.82</v>
      </c>
      <c r="H49">
        <v>1359.43</v>
      </c>
      <c r="I49">
        <v>2482.04</v>
      </c>
      <c r="J49">
        <v>2225.9</v>
      </c>
      <c r="K49">
        <v>1231.58</v>
      </c>
    </row>
    <row r="50" spans="1:11" x14ac:dyDescent="0.25">
      <c r="A50" s="3" t="s">
        <v>3</v>
      </c>
      <c r="B50">
        <v>3049.18</v>
      </c>
      <c r="C50">
        <v>2550.89</v>
      </c>
      <c r="D50">
        <v>3254.57</v>
      </c>
      <c r="E50">
        <v>4113.92</v>
      </c>
      <c r="F50">
        <v>3017.1</v>
      </c>
      <c r="G50">
        <v>2025.74</v>
      </c>
      <c r="H50">
        <v>2893.48</v>
      </c>
      <c r="I50">
        <v>4607.67</v>
      </c>
      <c r="J50">
        <v>4406.03</v>
      </c>
      <c r="K50">
        <v>3088.66</v>
      </c>
    </row>
    <row r="51" spans="1:11" x14ac:dyDescent="0.25">
      <c r="A51" s="3"/>
    </row>
    <row r="52" spans="1:11" x14ac:dyDescent="0.25">
      <c r="A52" s="3"/>
    </row>
    <row r="53" spans="1:11" x14ac:dyDescent="0.25">
      <c r="A53" s="3"/>
    </row>
    <row r="54" spans="1:11" x14ac:dyDescent="0.25">
      <c r="A54" s="3"/>
    </row>
    <row r="55" spans="1:11" x14ac:dyDescent="0.25">
      <c r="A55" s="1" t="s">
        <v>25</v>
      </c>
    </row>
    <row r="56" spans="1:11" s="6" customFormat="1" x14ac:dyDescent="0.25">
      <c r="A56" s="5" t="s">
        <v>23</v>
      </c>
      <c r="B56" s="4">
        <v>42460</v>
      </c>
      <c r="C56" s="4">
        <v>42825</v>
      </c>
      <c r="D56" s="4">
        <v>43190</v>
      </c>
      <c r="E56" s="4">
        <v>43555</v>
      </c>
      <c r="F56" s="4">
        <v>43921</v>
      </c>
      <c r="G56" s="4">
        <v>44286</v>
      </c>
      <c r="H56" s="4">
        <v>44651</v>
      </c>
      <c r="I56" s="4">
        <v>45016</v>
      </c>
      <c r="J56" s="4">
        <v>45382</v>
      </c>
      <c r="K56" s="4">
        <v>45747</v>
      </c>
    </row>
    <row r="57" spans="1:11" x14ac:dyDescent="0.25">
      <c r="A57" s="3" t="s">
        <v>10</v>
      </c>
      <c r="B57">
        <v>274.43</v>
      </c>
      <c r="C57">
        <v>274.51</v>
      </c>
      <c r="D57">
        <v>274.61</v>
      </c>
      <c r="E57">
        <v>274.64</v>
      </c>
      <c r="F57">
        <v>288.63</v>
      </c>
      <c r="G57">
        <v>288.64999999999998</v>
      </c>
      <c r="H57">
        <v>288.67</v>
      </c>
      <c r="I57">
        <v>288.69</v>
      </c>
      <c r="J57">
        <v>288.69</v>
      </c>
      <c r="K57">
        <v>294.68</v>
      </c>
    </row>
    <row r="58" spans="1:11" x14ac:dyDescent="0.25">
      <c r="A58" s="3" t="s">
        <v>11</v>
      </c>
      <c r="B58">
        <v>21671.200000000001</v>
      </c>
      <c r="C58">
        <v>24117.38</v>
      </c>
      <c r="D58">
        <v>26106.55</v>
      </c>
      <c r="E58">
        <v>33476.01</v>
      </c>
      <c r="F58">
        <v>38755.129999999997</v>
      </c>
      <c r="G58">
        <v>43886.03</v>
      </c>
      <c r="H58">
        <v>50146.6</v>
      </c>
      <c r="I58">
        <v>54035.85</v>
      </c>
      <c r="J58">
        <v>59938.79</v>
      </c>
      <c r="K58">
        <v>70412.09</v>
      </c>
    </row>
    <row r="59" spans="1:11" x14ac:dyDescent="0.25">
      <c r="A59" s="3" t="s">
        <v>35</v>
      </c>
      <c r="B59">
        <v>10615.99</v>
      </c>
      <c r="C59">
        <v>8474.49</v>
      </c>
      <c r="D59">
        <v>19480.22</v>
      </c>
      <c r="E59">
        <v>25337</v>
      </c>
      <c r="F59">
        <v>23018.959999999999</v>
      </c>
      <c r="G59">
        <v>21719.39</v>
      </c>
      <c r="H59">
        <v>11298.8</v>
      </c>
      <c r="I59">
        <v>11057.74</v>
      </c>
      <c r="J59">
        <v>11402.95</v>
      </c>
      <c r="K59">
        <v>24102.18</v>
      </c>
    </row>
    <row r="60" spans="1:11" x14ac:dyDescent="0.25">
      <c r="A60" s="3" t="s">
        <v>36</v>
      </c>
      <c r="B60">
        <v>8631.49</v>
      </c>
      <c r="C60">
        <v>9342.73</v>
      </c>
      <c r="D60">
        <v>11279.71</v>
      </c>
      <c r="E60">
        <v>17437.72</v>
      </c>
      <c r="F60">
        <v>17151.09</v>
      </c>
      <c r="G60">
        <v>20282.28</v>
      </c>
      <c r="H60">
        <v>22077.37</v>
      </c>
      <c r="I60">
        <v>25998.12</v>
      </c>
      <c r="J60">
        <v>29166.68</v>
      </c>
      <c r="K60">
        <v>38823.11</v>
      </c>
    </row>
    <row r="61" spans="1:11" s="1" customFormat="1" x14ac:dyDescent="0.25">
      <c r="A61" s="1" t="s">
        <v>12</v>
      </c>
      <c r="B61">
        <v>41193.11</v>
      </c>
      <c r="C61">
        <v>42209.11</v>
      </c>
      <c r="D61">
        <v>57141.09</v>
      </c>
      <c r="E61">
        <v>76525.37</v>
      </c>
      <c r="F61">
        <v>79213.81</v>
      </c>
      <c r="G61">
        <v>86176.35</v>
      </c>
      <c r="H61">
        <v>83811.44</v>
      </c>
      <c r="I61">
        <v>91380.4</v>
      </c>
      <c r="J61">
        <v>100797.11</v>
      </c>
      <c r="K61">
        <v>133632.06</v>
      </c>
    </row>
    <row r="62" spans="1:11" x14ac:dyDescent="0.25">
      <c r="A62" s="3" t="s">
        <v>13</v>
      </c>
      <c r="B62">
        <v>25309.42</v>
      </c>
      <c r="C62">
        <v>25903.75</v>
      </c>
      <c r="D62">
        <v>39715.300000000003</v>
      </c>
      <c r="E62">
        <v>56644.62</v>
      </c>
      <c r="F62">
        <v>57150.96</v>
      </c>
      <c r="G62">
        <v>55411.61</v>
      </c>
      <c r="H62">
        <v>55487.57</v>
      </c>
      <c r="I62">
        <v>59579</v>
      </c>
      <c r="J62">
        <v>62877.61</v>
      </c>
      <c r="K62">
        <v>94564.22</v>
      </c>
    </row>
    <row r="63" spans="1:11" x14ac:dyDescent="0.25">
      <c r="A63" s="3" t="s">
        <v>14</v>
      </c>
      <c r="B63">
        <v>1469.09</v>
      </c>
      <c r="C63">
        <v>921.48</v>
      </c>
      <c r="D63">
        <v>1511.21</v>
      </c>
      <c r="E63">
        <v>1153.32</v>
      </c>
      <c r="F63">
        <v>919.59</v>
      </c>
      <c r="G63">
        <v>1686.68</v>
      </c>
      <c r="H63">
        <v>4784.67</v>
      </c>
      <c r="I63">
        <v>4040.39</v>
      </c>
      <c r="J63">
        <v>6811.18</v>
      </c>
      <c r="K63">
        <v>6234.19</v>
      </c>
    </row>
    <row r="64" spans="1:11" x14ac:dyDescent="0.25">
      <c r="A64" s="3" t="s">
        <v>15</v>
      </c>
      <c r="B64">
        <v>5095.18</v>
      </c>
      <c r="C64">
        <v>6690.51</v>
      </c>
      <c r="D64">
        <v>5446.9</v>
      </c>
      <c r="E64">
        <v>2921.33</v>
      </c>
      <c r="F64">
        <v>5928.69</v>
      </c>
      <c r="G64">
        <v>12178.11</v>
      </c>
      <c r="H64">
        <v>6335.77</v>
      </c>
      <c r="I64">
        <v>7296.95</v>
      </c>
      <c r="J64">
        <v>8248.9500000000007</v>
      </c>
      <c r="K64">
        <v>5156.47</v>
      </c>
    </row>
    <row r="65" spans="1:11" x14ac:dyDescent="0.25">
      <c r="A65" s="3" t="s">
        <v>37</v>
      </c>
      <c r="B65">
        <v>9319.42</v>
      </c>
      <c r="C65">
        <v>8693.3700000000008</v>
      </c>
      <c r="D65">
        <v>10467.68</v>
      </c>
      <c r="E65">
        <v>15806.1</v>
      </c>
      <c r="F65">
        <v>15214.57</v>
      </c>
      <c r="G65">
        <v>16899.95</v>
      </c>
      <c r="H65">
        <v>17203.43</v>
      </c>
      <c r="I65">
        <v>20464.060000000001</v>
      </c>
      <c r="J65">
        <v>22859.37</v>
      </c>
      <c r="K65">
        <v>27677.18</v>
      </c>
    </row>
    <row r="66" spans="1:11" s="1" customFormat="1" x14ac:dyDescent="0.25">
      <c r="A66" s="1" t="s">
        <v>12</v>
      </c>
      <c r="B66">
        <v>41193.11</v>
      </c>
      <c r="C66">
        <v>42209.11</v>
      </c>
      <c r="D66">
        <v>57141.09</v>
      </c>
      <c r="E66">
        <v>76525.37</v>
      </c>
      <c r="F66">
        <v>79213.81</v>
      </c>
      <c r="G66">
        <v>86176.35</v>
      </c>
      <c r="H66">
        <v>83811.44</v>
      </c>
      <c r="I66">
        <v>91380.4</v>
      </c>
      <c r="J66">
        <v>100797.11</v>
      </c>
      <c r="K66">
        <v>133632.06</v>
      </c>
    </row>
    <row r="67" spans="1:11" s="3" customFormat="1" x14ac:dyDescent="0.25">
      <c r="A67" s="3" t="s">
        <v>42</v>
      </c>
      <c r="B67">
        <v>1928.21</v>
      </c>
      <c r="C67">
        <v>1757.09</v>
      </c>
      <c r="D67">
        <v>2220.63</v>
      </c>
      <c r="E67">
        <v>2787.03</v>
      </c>
      <c r="F67">
        <v>2383.2199999999998</v>
      </c>
      <c r="G67">
        <v>2571.73</v>
      </c>
      <c r="H67">
        <v>3071.61</v>
      </c>
      <c r="I67">
        <v>3867.02</v>
      </c>
      <c r="J67">
        <v>4278.16</v>
      </c>
      <c r="K67">
        <v>5890.25</v>
      </c>
    </row>
    <row r="68" spans="1:11" x14ac:dyDescent="0.25">
      <c r="A68" s="3" t="s">
        <v>29</v>
      </c>
      <c r="B68">
        <v>2454.58</v>
      </c>
      <c r="C68">
        <v>2400.64</v>
      </c>
      <c r="D68">
        <v>3267.59</v>
      </c>
      <c r="E68">
        <v>4098.96</v>
      </c>
      <c r="F68">
        <v>4183.3500000000004</v>
      </c>
      <c r="G68">
        <v>4017.97</v>
      </c>
      <c r="H68">
        <v>5595.58</v>
      </c>
      <c r="I68">
        <v>6611.83</v>
      </c>
      <c r="J68">
        <v>8329.74</v>
      </c>
      <c r="K68">
        <v>9562.98</v>
      </c>
    </row>
    <row r="69" spans="1:11" x14ac:dyDescent="0.25">
      <c r="A69" s="2" t="s">
        <v>51</v>
      </c>
      <c r="B69">
        <v>2266.96</v>
      </c>
      <c r="C69">
        <v>2248.7800000000002</v>
      </c>
      <c r="D69">
        <v>219.07</v>
      </c>
      <c r="E69">
        <v>739.68</v>
      </c>
      <c r="F69">
        <v>539.91</v>
      </c>
      <c r="G69">
        <v>2007.55</v>
      </c>
      <c r="H69">
        <v>359.18</v>
      </c>
      <c r="I69">
        <v>1149.5899999999999</v>
      </c>
      <c r="J69">
        <v>783.21</v>
      </c>
      <c r="K69">
        <v>1673.32</v>
      </c>
    </row>
    <row r="70" spans="1:11" x14ac:dyDescent="0.25">
      <c r="A70" s="2" t="s">
        <v>38</v>
      </c>
      <c r="B70">
        <v>274431377</v>
      </c>
      <c r="C70">
        <v>274507906</v>
      </c>
      <c r="D70">
        <v>274613985</v>
      </c>
      <c r="E70">
        <v>274642720</v>
      </c>
      <c r="F70">
        <v>288625105</v>
      </c>
      <c r="G70">
        <v>288653398</v>
      </c>
      <c r="H70">
        <v>288670847</v>
      </c>
      <c r="I70">
        <v>288686345</v>
      </c>
      <c r="J70">
        <v>288686345</v>
      </c>
      <c r="K70">
        <v>294677410</v>
      </c>
    </row>
    <row r="71" spans="1:11" x14ac:dyDescent="0.25">
      <c r="A71" s="2" t="s">
        <v>39</v>
      </c>
    </row>
    <row r="72" spans="1:11" x14ac:dyDescent="0.25">
      <c r="A72" s="2" t="s">
        <v>52</v>
      </c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10</v>
      </c>
      <c r="J72">
        <v>10</v>
      </c>
      <c r="K72">
        <v>10</v>
      </c>
    </row>
    <row r="74" spans="1:11" x14ac:dyDescent="0.25">
      <c r="A74" s="3"/>
    </row>
    <row r="75" spans="1:11" x14ac:dyDescent="0.25">
      <c r="A75" s="3"/>
    </row>
    <row r="76" spans="1:11" x14ac:dyDescent="0.25">
      <c r="A76" s="3"/>
    </row>
    <row r="77" spans="1:11" x14ac:dyDescent="0.25">
      <c r="A77" s="3"/>
    </row>
    <row r="78" spans="1:11" x14ac:dyDescent="0.25">
      <c r="A78" s="3"/>
    </row>
    <row r="79" spans="1:11" x14ac:dyDescent="0.25">
      <c r="A79" s="3"/>
    </row>
    <row r="80" spans="1:11" x14ac:dyDescent="0.25">
      <c r="A80" s="1" t="s">
        <v>26</v>
      </c>
    </row>
    <row r="81" spans="1:11" s="6" customFormat="1" x14ac:dyDescent="0.25">
      <c r="A81" s="5" t="s">
        <v>23</v>
      </c>
      <c r="B81" s="4">
        <v>42460</v>
      </c>
      <c r="C81" s="4">
        <v>42825</v>
      </c>
      <c r="D81" s="4">
        <v>43190</v>
      </c>
      <c r="E81" s="4">
        <v>43555</v>
      </c>
      <c r="F81" s="4">
        <v>43921</v>
      </c>
      <c r="G81" s="4">
        <v>44286</v>
      </c>
      <c r="H81" s="4">
        <v>44651</v>
      </c>
      <c r="I81" s="4">
        <v>45016</v>
      </c>
      <c r="J81" s="4">
        <v>45382</v>
      </c>
      <c r="K81" s="4">
        <v>45747</v>
      </c>
    </row>
    <row r="82" spans="1:11" s="1" customFormat="1" x14ac:dyDescent="0.25">
      <c r="A82" s="3" t="s">
        <v>17</v>
      </c>
      <c r="B82">
        <v>4525.51</v>
      </c>
      <c r="C82">
        <v>5005.0200000000004</v>
      </c>
      <c r="D82">
        <v>3887.72</v>
      </c>
      <c r="E82">
        <v>5956.11</v>
      </c>
      <c r="F82">
        <v>8972.43</v>
      </c>
      <c r="G82">
        <v>12500.43</v>
      </c>
      <c r="H82">
        <v>9283.24</v>
      </c>
      <c r="I82">
        <v>9068.51</v>
      </c>
      <c r="J82">
        <v>10897.54</v>
      </c>
      <c r="K82">
        <v>10673.43</v>
      </c>
    </row>
    <row r="83" spans="1:11" s="3" customFormat="1" x14ac:dyDescent="0.25">
      <c r="A83" s="3" t="s">
        <v>18</v>
      </c>
      <c r="B83">
        <v>-3673.35</v>
      </c>
      <c r="C83">
        <v>-2501.44</v>
      </c>
      <c r="D83">
        <v>1865.72</v>
      </c>
      <c r="E83">
        <v>1165.18</v>
      </c>
      <c r="F83">
        <v>-4191.95</v>
      </c>
      <c r="G83">
        <v>-8856.15</v>
      </c>
      <c r="H83">
        <v>2256.54</v>
      </c>
      <c r="I83">
        <v>-7187.68</v>
      </c>
      <c r="J83">
        <v>-8788.68</v>
      </c>
      <c r="K83">
        <v>-15835.56</v>
      </c>
    </row>
    <row r="84" spans="1:11" s="3" customFormat="1" x14ac:dyDescent="0.25">
      <c r="A84" s="3" t="s">
        <v>19</v>
      </c>
      <c r="B84">
        <v>-844.02</v>
      </c>
      <c r="C84">
        <v>-2534.98</v>
      </c>
      <c r="D84">
        <v>-5735.05</v>
      </c>
      <c r="E84">
        <v>-6757.24</v>
      </c>
      <c r="F84">
        <v>-5075.88</v>
      </c>
      <c r="G84">
        <v>-4356.47</v>
      </c>
      <c r="H84">
        <v>-12497.93</v>
      </c>
      <c r="I84">
        <v>-1631</v>
      </c>
      <c r="J84">
        <v>-1925.65</v>
      </c>
      <c r="K84">
        <v>5075.76</v>
      </c>
    </row>
    <row r="85" spans="1:11" s="1" customFormat="1" x14ac:dyDescent="0.25">
      <c r="A85" s="3" t="s">
        <v>20</v>
      </c>
      <c r="B85">
        <v>8.14</v>
      </c>
      <c r="C85">
        <v>-31.4</v>
      </c>
      <c r="D85">
        <v>18.39</v>
      </c>
      <c r="E85">
        <v>364.05</v>
      </c>
      <c r="F85">
        <v>-295.39999999999998</v>
      </c>
      <c r="G85">
        <v>-712.19</v>
      </c>
      <c r="H85">
        <v>-958.15</v>
      </c>
      <c r="I85">
        <v>249.83</v>
      </c>
      <c r="J85">
        <v>183.21</v>
      </c>
      <c r="K85">
        <v>-86.37</v>
      </c>
    </row>
    <row r="86" spans="1:11" x14ac:dyDescent="0.25">
      <c r="A86" s="3"/>
    </row>
    <row r="87" spans="1:11" x14ac:dyDescent="0.25">
      <c r="A87" s="3"/>
    </row>
    <row r="88" spans="1:11" x14ac:dyDescent="0.25">
      <c r="A88" s="3"/>
    </row>
    <row r="89" spans="1:11" x14ac:dyDescent="0.25">
      <c r="A89" s="3"/>
    </row>
    <row r="90" spans="1:11" s="1" customFormat="1" x14ac:dyDescent="0.25">
      <c r="A90" s="1" t="s">
        <v>41</v>
      </c>
      <c r="B90">
        <v>3228.75</v>
      </c>
      <c r="C90">
        <v>3984.75</v>
      </c>
      <c r="D90">
        <v>3950</v>
      </c>
      <c r="E90">
        <v>3998.35</v>
      </c>
      <c r="F90">
        <v>3244.85</v>
      </c>
      <c r="G90">
        <v>6737.95</v>
      </c>
      <c r="H90">
        <v>6602.3</v>
      </c>
      <c r="I90">
        <v>7622.15</v>
      </c>
      <c r="J90">
        <v>9749.15</v>
      </c>
      <c r="K90">
        <v>11509.55</v>
      </c>
    </row>
    <row r="92" spans="1:11" s="1" customFormat="1" x14ac:dyDescent="0.25">
      <c r="A92" s="1" t="s">
        <v>40</v>
      </c>
    </row>
    <row r="93" spans="1:11" x14ac:dyDescent="0.25">
      <c r="A93" s="2" t="s">
        <v>53</v>
      </c>
      <c r="B93" s="7">
        <v>27.44</v>
      </c>
      <c r="C93" s="7">
        <v>27.45</v>
      </c>
      <c r="D93" s="7">
        <v>27.46</v>
      </c>
      <c r="E93" s="7">
        <v>27.46</v>
      </c>
      <c r="F93" s="7">
        <v>28.86</v>
      </c>
      <c r="G93" s="7">
        <v>28.87</v>
      </c>
      <c r="H93" s="7">
        <v>28.87</v>
      </c>
      <c r="I93" s="7">
        <v>28.87</v>
      </c>
      <c r="J93" s="7">
        <v>28.87</v>
      </c>
      <c r="K93" s="7">
        <v>29.47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FB312-32AF-4C45-B7D0-4CE3AE7C600D}">
  <sheetPr>
    <tabColor rgb="FF002060"/>
  </sheetPr>
  <dimension ref="B5:Q114"/>
  <sheetViews>
    <sheetView showGridLines="0" zoomScale="80" zoomScaleNormal="80" workbookViewId="0"/>
  </sheetViews>
  <sheetFormatPr defaultRowHeight="15" x14ac:dyDescent="0.25"/>
  <cols>
    <col min="1" max="1" width="1.85546875" customWidth="1"/>
    <col min="2" max="2" width="15.7109375" bestFit="1" customWidth="1"/>
    <col min="3" max="3" width="12.28515625" customWidth="1"/>
    <col min="4" max="4" width="16" customWidth="1"/>
    <col min="6" max="6" width="12.28515625" bestFit="1" customWidth="1"/>
    <col min="7" max="7" width="15.28515625" bestFit="1" customWidth="1"/>
    <col min="9" max="9" width="20.85546875" bestFit="1" customWidth="1"/>
    <col min="10" max="10" width="12.7109375" bestFit="1" customWidth="1"/>
    <col min="11" max="11" width="14.5703125" bestFit="1" customWidth="1"/>
    <col min="12" max="13" width="12" bestFit="1" customWidth="1"/>
    <col min="14" max="14" width="13.42578125" bestFit="1" customWidth="1"/>
    <col min="15" max="15" width="12" bestFit="1" customWidth="1"/>
    <col min="16" max="16" width="12.7109375" bestFit="1" customWidth="1"/>
    <col min="17" max="17" width="12.5703125" bestFit="1" customWidth="1"/>
  </cols>
  <sheetData>
    <row r="5" spans="2:10" s="28" customFormat="1" x14ac:dyDescent="0.25">
      <c r="B5" s="65" t="s">
        <v>153</v>
      </c>
      <c r="C5" s="54"/>
      <c r="D5" s="54"/>
      <c r="E5" s="54"/>
      <c r="F5" s="54"/>
      <c r="G5" s="54"/>
      <c r="H5" s="54"/>
      <c r="I5" s="54"/>
      <c r="J5" s="54"/>
    </row>
    <row r="6" spans="2:10" s="28" customFormat="1" x14ac:dyDescent="0.25">
      <c r="B6" s="83"/>
    </row>
    <row r="7" spans="2:10" x14ac:dyDescent="0.25">
      <c r="B7" s="208" t="str">
        <f>WACC!B15&amp;" Returns"</f>
        <v>Shree Cement Returns</v>
      </c>
      <c r="C7" s="208"/>
      <c r="D7" s="208"/>
      <c r="F7" s="208" t="s">
        <v>151</v>
      </c>
      <c r="G7" s="208"/>
      <c r="I7" s="208" t="s">
        <v>152</v>
      </c>
      <c r="J7" s="208"/>
    </row>
    <row r="8" spans="2:10" s="28" customFormat="1" x14ac:dyDescent="0.25"/>
    <row r="9" spans="2:10" x14ac:dyDescent="0.25">
      <c r="B9" s="84" t="s">
        <v>148</v>
      </c>
      <c r="C9" s="85" t="s">
        <v>149</v>
      </c>
      <c r="D9" s="85" t="s">
        <v>150</v>
      </c>
      <c r="E9" s="15"/>
      <c r="F9" s="85" t="s">
        <v>149</v>
      </c>
      <c r="G9" s="85" t="s">
        <v>150</v>
      </c>
      <c r="I9" s="86" t="s">
        <v>154</v>
      </c>
      <c r="J9" s="14">
        <f>J34</f>
        <v>1.0994855575687337</v>
      </c>
    </row>
    <row r="10" spans="2:10" x14ac:dyDescent="0.25">
      <c r="B10" s="81">
        <v>45928</v>
      </c>
      <c r="C10" s="80">
        <v>6318</v>
      </c>
      <c r="F10" s="82">
        <v>24894.25</v>
      </c>
      <c r="I10" s="20" t="s">
        <v>155</v>
      </c>
      <c r="J10" s="91">
        <v>0.75</v>
      </c>
    </row>
    <row r="11" spans="2:10" x14ac:dyDescent="0.25">
      <c r="B11" s="81">
        <v>45921</v>
      </c>
      <c r="C11" s="80">
        <v>6347.5</v>
      </c>
      <c r="D11" s="34">
        <f>C11/C10-1</f>
        <v>4.6691991136436073E-3</v>
      </c>
      <c r="F11" s="82">
        <v>24654.7</v>
      </c>
      <c r="G11" s="34">
        <f>F11/F10-1</f>
        <v>-9.6227040380810758E-3</v>
      </c>
    </row>
    <row r="12" spans="2:10" x14ac:dyDescent="0.25">
      <c r="B12" s="81">
        <v>45914</v>
      </c>
      <c r="C12" s="80">
        <v>6862</v>
      </c>
      <c r="D12" s="34">
        <f t="shared" ref="D12:D75" si="0">C12/C11-1</f>
        <v>8.1055533674674995E-2</v>
      </c>
      <c r="F12" s="82">
        <v>25327.05</v>
      </c>
      <c r="G12" s="34">
        <f t="shared" ref="G12:G75" si="1">F12/F11-1</f>
        <v>2.7270662388915623E-2</v>
      </c>
      <c r="I12" s="20" t="s">
        <v>156</v>
      </c>
      <c r="J12" s="92">
        <v>1</v>
      </c>
    </row>
    <row r="13" spans="2:10" x14ac:dyDescent="0.25">
      <c r="B13" s="81">
        <v>45907</v>
      </c>
      <c r="C13" s="80">
        <v>6555</v>
      </c>
      <c r="D13" s="34">
        <f t="shared" si="0"/>
        <v>-4.4739143106965917E-2</v>
      </c>
      <c r="F13" s="82">
        <v>25114</v>
      </c>
      <c r="G13" s="34">
        <f t="shared" si="1"/>
        <v>-8.4119548072120187E-3</v>
      </c>
      <c r="I13" s="20" t="s">
        <v>157</v>
      </c>
      <c r="J13" s="91">
        <v>0.25</v>
      </c>
    </row>
    <row r="14" spans="2:10" x14ac:dyDescent="0.25">
      <c r="B14" s="81">
        <v>45900</v>
      </c>
      <c r="C14" s="80">
        <v>6634</v>
      </c>
      <c r="D14" s="34">
        <f t="shared" si="0"/>
        <v>1.2051868802440913E-2</v>
      </c>
      <c r="F14" s="82">
        <v>24741</v>
      </c>
      <c r="G14" s="34">
        <f t="shared" si="1"/>
        <v>-1.4852273632236956E-2</v>
      </c>
    </row>
    <row r="15" spans="2:10" x14ac:dyDescent="0.25">
      <c r="B15" s="81">
        <v>45893</v>
      </c>
      <c r="C15" s="80">
        <v>6946.5</v>
      </c>
      <c r="D15" s="34">
        <f t="shared" si="0"/>
        <v>4.7105818510702502E-2</v>
      </c>
      <c r="F15" s="82">
        <v>24426.85</v>
      </c>
      <c r="G15" s="34">
        <f t="shared" si="1"/>
        <v>-1.2697546582595698E-2</v>
      </c>
      <c r="I15" s="93" t="s">
        <v>158</v>
      </c>
      <c r="J15" s="94">
        <f>(J9*J10)+(J12*J13)</f>
        <v>1.0746141681765502</v>
      </c>
    </row>
    <row r="16" spans="2:10" x14ac:dyDescent="0.25">
      <c r="B16" s="81">
        <v>45886</v>
      </c>
      <c r="C16" s="80">
        <v>6841</v>
      </c>
      <c r="D16" s="34">
        <f t="shared" si="0"/>
        <v>-1.5187504498668347E-2</v>
      </c>
      <c r="F16" s="82">
        <v>24870.1</v>
      </c>
      <c r="G16" s="34">
        <f t="shared" si="1"/>
        <v>1.8146015552557904E-2</v>
      </c>
    </row>
    <row r="17" spans="2:17" x14ac:dyDescent="0.25">
      <c r="B17" s="81">
        <v>45879</v>
      </c>
      <c r="C17" s="80">
        <v>7001.5</v>
      </c>
      <c r="D17" s="34">
        <f t="shared" si="0"/>
        <v>2.346148223943878E-2</v>
      </c>
      <c r="F17" s="82">
        <v>24631.3</v>
      </c>
      <c r="G17" s="34">
        <f t="shared" si="1"/>
        <v>-9.6018914278591661E-3</v>
      </c>
      <c r="I17" t="s">
        <v>159</v>
      </c>
    </row>
    <row r="18" spans="2:17" ht="15.75" thickBot="1" x14ac:dyDescent="0.3">
      <c r="B18" s="81">
        <v>45872</v>
      </c>
      <c r="C18" s="80">
        <v>7051</v>
      </c>
      <c r="D18" s="34">
        <f t="shared" si="0"/>
        <v>7.0699135899450205E-3</v>
      </c>
      <c r="F18" s="82">
        <v>24363.3</v>
      </c>
      <c r="G18" s="34">
        <f t="shared" si="1"/>
        <v>-1.0880465099284198E-2</v>
      </c>
    </row>
    <row r="19" spans="2:17" x14ac:dyDescent="0.25">
      <c r="B19" s="81">
        <v>45865</v>
      </c>
      <c r="C19" s="80">
        <v>6681.5</v>
      </c>
      <c r="D19" s="34">
        <f t="shared" si="0"/>
        <v>-5.2403914338391755E-2</v>
      </c>
      <c r="F19" s="82">
        <v>24565.35</v>
      </c>
      <c r="G19" s="34">
        <f t="shared" si="1"/>
        <v>8.2932115107559046E-3</v>
      </c>
      <c r="I19" s="90" t="s">
        <v>160</v>
      </c>
      <c r="J19" s="90"/>
    </row>
    <row r="20" spans="2:17" x14ac:dyDescent="0.25">
      <c r="B20" s="81">
        <v>45858</v>
      </c>
      <c r="C20" s="80">
        <v>6479</v>
      </c>
      <c r="D20" s="34">
        <f t="shared" si="0"/>
        <v>-3.0307565666392255E-2</v>
      </c>
      <c r="F20" s="82">
        <v>24837</v>
      </c>
      <c r="G20" s="34">
        <f t="shared" si="1"/>
        <v>1.1058258889045103E-2</v>
      </c>
      <c r="I20" s="87" t="s">
        <v>161</v>
      </c>
      <c r="J20" s="87">
        <v>0.49206179786932314</v>
      </c>
    </row>
    <row r="21" spans="2:17" x14ac:dyDescent="0.25">
      <c r="B21" s="81">
        <v>45851</v>
      </c>
      <c r="C21" s="80">
        <v>6498</v>
      </c>
      <c r="D21" s="34">
        <f t="shared" si="0"/>
        <v>2.9325513196480912E-3</v>
      </c>
      <c r="F21" s="82">
        <v>24968.400000000001</v>
      </c>
      <c r="G21" s="34">
        <f t="shared" si="1"/>
        <v>5.2904940210170004E-3</v>
      </c>
      <c r="I21" s="87" t="s">
        <v>162</v>
      </c>
      <c r="J21" s="87">
        <v>0.2421248129223906</v>
      </c>
    </row>
    <row r="22" spans="2:17" x14ac:dyDescent="0.25">
      <c r="B22" s="81">
        <v>45844</v>
      </c>
      <c r="C22" s="80">
        <v>6447.5</v>
      </c>
      <c r="D22" s="34">
        <f t="shared" si="0"/>
        <v>-7.7716220375499967E-3</v>
      </c>
      <c r="F22" s="82">
        <v>25149.85</v>
      </c>
      <c r="G22" s="34">
        <f t="shared" si="1"/>
        <v>7.267185722753533E-3</v>
      </c>
      <c r="I22" s="87" t="s">
        <v>163</v>
      </c>
      <c r="J22" s="87">
        <v>0.23462109819884991</v>
      </c>
    </row>
    <row r="23" spans="2:17" x14ac:dyDescent="0.25">
      <c r="B23" s="81">
        <v>45837</v>
      </c>
      <c r="C23" s="80">
        <v>6252</v>
      </c>
      <c r="D23" s="34">
        <f t="shared" si="0"/>
        <v>-3.032183016673129E-2</v>
      </c>
      <c r="F23" s="82">
        <v>25461</v>
      </c>
      <c r="G23" s="34">
        <f t="shared" si="1"/>
        <v>1.2371843172026997E-2</v>
      </c>
      <c r="I23" s="87" t="s">
        <v>164</v>
      </c>
      <c r="J23" s="87">
        <v>3.398127559959644E-2</v>
      </c>
    </row>
    <row r="24" spans="2:17" ht="15.75" thickBot="1" x14ac:dyDescent="0.3">
      <c r="B24" s="81">
        <v>45830</v>
      </c>
      <c r="C24" s="80">
        <v>6336</v>
      </c>
      <c r="D24" s="34">
        <f t="shared" si="0"/>
        <v>1.3435700575815668E-2</v>
      </c>
      <c r="F24" s="82">
        <v>25637.8</v>
      </c>
      <c r="G24" s="34">
        <f t="shared" si="1"/>
        <v>6.9439534975059836E-3</v>
      </c>
      <c r="I24" s="88" t="s">
        <v>165</v>
      </c>
      <c r="J24" s="88">
        <v>103</v>
      </c>
    </row>
    <row r="25" spans="2:17" x14ac:dyDescent="0.25">
      <c r="B25" s="81">
        <v>45823</v>
      </c>
      <c r="C25" s="80">
        <v>5693.5</v>
      </c>
      <c r="D25" s="34">
        <f t="shared" si="0"/>
        <v>-0.10140467171717171</v>
      </c>
      <c r="F25" s="82">
        <v>25112.400000000001</v>
      </c>
      <c r="G25" s="34">
        <f t="shared" si="1"/>
        <v>-2.0493178041797622E-2</v>
      </c>
    </row>
    <row r="26" spans="2:17" ht="15.75" thickBot="1" x14ac:dyDescent="0.3">
      <c r="B26" s="81">
        <v>45816</v>
      </c>
      <c r="C26" s="80">
        <v>6082.5</v>
      </c>
      <c r="D26" s="34">
        <f t="shared" si="0"/>
        <v>6.8323526828839798E-2</v>
      </c>
      <c r="F26" s="82">
        <v>24718.6</v>
      </c>
      <c r="G26" s="34">
        <f t="shared" si="1"/>
        <v>-1.568149599401103E-2</v>
      </c>
      <c r="I26" t="s">
        <v>166</v>
      </c>
    </row>
    <row r="27" spans="2:17" x14ac:dyDescent="0.25">
      <c r="B27" s="81">
        <v>45809</v>
      </c>
      <c r="C27" s="80">
        <v>5876.5</v>
      </c>
      <c r="D27" s="34">
        <f t="shared" si="0"/>
        <v>-3.3867653103164863E-2</v>
      </c>
      <c r="F27" s="82">
        <v>25003.05</v>
      </c>
      <c r="G27" s="34">
        <f t="shared" si="1"/>
        <v>1.1507528743537332E-2</v>
      </c>
      <c r="I27" s="89"/>
      <c r="J27" s="89" t="s">
        <v>170</v>
      </c>
      <c r="K27" s="89" t="s">
        <v>171</v>
      </c>
      <c r="L27" s="89" t="s">
        <v>172</v>
      </c>
      <c r="M27" s="89" t="s">
        <v>173</v>
      </c>
      <c r="N27" s="89" t="s">
        <v>174</v>
      </c>
    </row>
    <row r="28" spans="2:17" x14ac:dyDescent="0.25">
      <c r="B28" s="81">
        <v>45802</v>
      </c>
      <c r="C28" s="80">
        <v>5497.5</v>
      </c>
      <c r="D28" s="34">
        <f t="shared" si="0"/>
        <v>-6.4494171700842373E-2</v>
      </c>
      <c r="F28" s="82">
        <v>24750.7</v>
      </c>
      <c r="G28" s="34">
        <f t="shared" si="1"/>
        <v>-1.0092768682220754E-2</v>
      </c>
      <c r="I28" s="87" t="s">
        <v>167</v>
      </c>
      <c r="J28" s="87">
        <v>1</v>
      </c>
      <c r="K28" s="87">
        <v>3.7259956071975853E-2</v>
      </c>
      <c r="L28" s="87">
        <v>3.7259956071975853E-2</v>
      </c>
      <c r="M28" s="87">
        <v>32.26732649667445</v>
      </c>
      <c r="N28" s="87">
        <v>1.300265737052536E-7</v>
      </c>
    </row>
    <row r="29" spans="2:17" x14ac:dyDescent="0.25">
      <c r="B29" s="81">
        <v>45795</v>
      </c>
      <c r="C29" s="80">
        <v>5108.5</v>
      </c>
      <c r="D29" s="34">
        <f t="shared" si="0"/>
        <v>-7.0759436107321494E-2</v>
      </c>
      <c r="F29" s="82">
        <v>24853.15</v>
      </c>
      <c r="G29" s="34">
        <f t="shared" si="1"/>
        <v>4.139276868937003E-3</v>
      </c>
      <c r="I29" s="87" t="s">
        <v>168</v>
      </c>
      <c r="J29" s="87">
        <v>101</v>
      </c>
      <c r="K29" s="87">
        <v>0.11662743622894856</v>
      </c>
      <c r="L29" s="87">
        <v>1.1547270913757283E-3</v>
      </c>
      <c r="M29" s="87"/>
      <c r="N29" s="87"/>
    </row>
    <row r="30" spans="2:17" ht="15.75" thickBot="1" x14ac:dyDescent="0.3">
      <c r="B30" s="81">
        <v>45788</v>
      </c>
      <c r="C30" s="80">
        <v>5251.5</v>
      </c>
      <c r="D30" s="34">
        <f t="shared" si="0"/>
        <v>2.799256141724582E-2</v>
      </c>
      <c r="F30" s="82">
        <v>25019.8</v>
      </c>
      <c r="G30" s="34">
        <f t="shared" si="1"/>
        <v>6.705387445856914E-3</v>
      </c>
      <c r="I30" s="88" t="s">
        <v>12</v>
      </c>
      <c r="J30" s="88">
        <v>102</v>
      </c>
      <c r="K30" s="88">
        <v>0.15388739230092441</v>
      </c>
      <c r="L30" s="88"/>
      <c r="M30" s="88"/>
      <c r="N30" s="88"/>
    </row>
    <row r="31" spans="2:17" ht="15.75" thickBot="1" x14ac:dyDescent="0.3">
      <c r="B31" s="81">
        <v>45781</v>
      </c>
      <c r="C31" s="80">
        <v>5108</v>
      </c>
      <c r="D31" s="34">
        <f t="shared" si="0"/>
        <v>-2.7325526040179016E-2</v>
      </c>
      <c r="F31" s="82">
        <v>24008</v>
      </c>
      <c r="G31" s="34">
        <f t="shared" si="1"/>
        <v>-4.0439971542538311E-2</v>
      </c>
    </row>
    <row r="32" spans="2:17" x14ac:dyDescent="0.25">
      <c r="B32" s="81">
        <v>45774</v>
      </c>
      <c r="C32" s="80">
        <v>5162</v>
      </c>
      <c r="D32" s="34">
        <f t="shared" si="0"/>
        <v>1.057165231010182E-2</v>
      </c>
      <c r="F32" s="82">
        <v>24346.7</v>
      </c>
      <c r="G32" s="34">
        <f t="shared" si="1"/>
        <v>1.4107797400866318E-2</v>
      </c>
      <c r="I32" s="89"/>
      <c r="J32" s="89" t="s">
        <v>175</v>
      </c>
      <c r="K32" s="89" t="s">
        <v>164</v>
      </c>
      <c r="L32" s="89" t="s">
        <v>176</v>
      </c>
      <c r="M32" s="89" t="s">
        <v>177</v>
      </c>
      <c r="N32" s="89" t="s">
        <v>178</v>
      </c>
      <c r="O32" s="89" t="s">
        <v>179</v>
      </c>
      <c r="P32" s="89" t="s">
        <v>180</v>
      </c>
      <c r="Q32" s="89" t="s">
        <v>181</v>
      </c>
    </row>
    <row r="33" spans="2:17" x14ac:dyDescent="0.25">
      <c r="B33" s="81">
        <v>45767</v>
      </c>
      <c r="C33" s="80">
        <v>5245.3</v>
      </c>
      <c r="D33" s="34">
        <f t="shared" si="0"/>
        <v>1.6137156141030617E-2</v>
      </c>
      <c r="F33" s="82">
        <v>24039.35</v>
      </c>
      <c r="G33" s="34">
        <f t="shared" si="1"/>
        <v>-1.2623887426222113E-2</v>
      </c>
      <c r="I33" s="87" t="s">
        <v>169</v>
      </c>
      <c r="J33" s="87">
        <v>-3.3860314786834625E-3</v>
      </c>
      <c r="K33" s="87">
        <v>3.3727397263765527E-3</v>
      </c>
      <c r="L33" s="87">
        <v>-1.003940936267024</v>
      </c>
      <c r="M33" s="87">
        <v>0.3178062774394198</v>
      </c>
      <c r="N33" s="87">
        <v>-1.0076639838796633E-2</v>
      </c>
      <c r="O33" s="87">
        <v>3.3045768814297075E-3</v>
      </c>
      <c r="P33" s="87">
        <v>-1.0076639838796633E-2</v>
      </c>
      <c r="Q33" s="87">
        <v>3.3045768814297075E-3</v>
      </c>
    </row>
    <row r="34" spans="2:17" ht="15.75" thickBot="1" x14ac:dyDescent="0.3">
      <c r="B34" s="81">
        <v>45760</v>
      </c>
      <c r="C34" s="80">
        <v>5060.8</v>
      </c>
      <c r="D34" s="34">
        <f t="shared" si="0"/>
        <v>-3.5174346557870884E-2</v>
      </c>
      <c r="F34" s="82">
        <v>23851.65</v>
      </c>
      <c r="G34" s="34">
        <f t="shared" si="1"/>
        <v>-7.8080314151587338E-3</v>
      </c>
      <c r="I34" s="88" t="s">
        <v>182</v>
      </c>
      <c r="J34" s="88">
        <v>1.0994855575687337</v>
      </c>
      <c r="K34" s="88">
        <v>0.19355662341175281</v>
      </c>
      <c r="L34" s="88">
        <v>5.6804336539277145</v>
      </c>
      <c r="M34" s="88">
        <v>1.3002657370524791E-7</v>
      </c>
      <c r="N34" s="88">
        <v>0.71552128287943706</v>
      </c>
      <c r="O34" s="88">
        <v>1.4834498322580303</v>
      </c>
      <c r="P34" s="88">
        <v>0.71552128287943706</v>
      </c>
      <c r="Q34" s="88">
        <v>1.4834498322580303</v>
      </c>
    </row>
    <row r="35" spans="2:17" x14ac:dyDescent="0.25">
      <c r="B35" s="81">
        <v>45753</v>
      </c>
      <c r="C35" s="80">
        <v>4957.45</v>
      </c>
      <c r="D35" s="34">
        <f t="shared" si="0"/>
        <v>-2.0421672462851759E-2</v>
      </c>
      <c r="F35" s="82">
        <v>22828.55</v>
      </c>
      <c r="G35" s="34">
        <f t="shared" si="1"/>
        <v>-4.2894307102443685E-2</v>
      </c>
    </row>
    <row r="36" spans="2:17" x14ac:dyDescent="0.25">
      <c r="B36" s="81">
        <v>45746</v>
      </c>
      <c r="C36" s="80">
        <v>4954.7</v>
      </c>
      <c r="D36" s="34">
        <f t="shared" si="0"/>
        <v>-5.5472067292661187E-4</v>
      </c>
      <c r="F36" s="82">
        <v>22904.45</v>
      </c>
      <c r="G36" s="34">
        <f t="shared" si="1"/>
        <v>3.3247840971064591E-3</v>
      </c>
    </row>
    <row r="37" spans="2:17" x14ac:dyDescent="0.25">
      <c r="B37" s="81">
        <v>45739</v>
      </c>
      <c r="C37" s="80">
        <v>4932.6499999999996</v>
      </c>
      <c r="D37" s="34">
        <f t="shared" si="0"/>
        <v>-4.4503198982784875E-3</v>
      </c>
      <c r="F37" s="82">
        <v>23519.35</v>
      </c>
      <c r="G37" s="34">
        <f t="shared" si="1"/>
        <v>2.6846311524616251E-2</v>
      </c>
    </row>
    <row r="38" spans="2:17" x14ac:dyDescent="0.25">
      <c r="B38" s="81">
        <v>45732</v>
      </c>
      <c r="C38" s="80">
        <v>4822.5</v>
      </c>
      <c r="D38" s="34">
        <f t="shared" si="0"/>
        <v>-2.2330795819691218E-2</v>
      </c>
      <c r="F38" s="82">
        <v>23350.400000000001</v>
      </c>
      <c r="G38" s="34">
        <f t="shared" si="1"/>
        <v>-7.1834468214468927E-3</v>
      </c>
    </row>
    <row r="39" spans="2:17" x14ac:dyDescent="0.25">
      <c r="B39" s="81">
        <v>45725</v>
      </c>
      <c r="C39" s="80">
        <v>4271.3</v>
      </c>
      <c r="D39" s="34">
        <f t="shared" si="0"/>
        <v>-0.11429756350440634</v>
      </c>
      <c r="F39" s="82">
        <v>22397.200000000001</v>
      </c>
      <c r="G39" s="34">
        <f t="shared" si="1"/>
        <v>-4.0821570508428162E-2</v>
      </c>
    </row>
    <row r="40" spans="2:17" x14ac:dyDescent="0.25">
      <c r="B40" s="81">
        <v>45718</v>
      </c>
      <c r="C40" s="80">
        <v>4421.55</v>
      </c>
      <c r="D40" s="34">
        <f t="shared" si="0"/>
        <v>3.5176644113033451E-2</v>
      </c>
      <c r="F40" s="82">
        <v>22552.5</v>
      </c>
      <c r="G40" s="34">
        <f t="shared" si="1"/>
        <v>6.9339024520922443E-3</v>
      </c>
    </row>
    <row r="41" spans="2:17" x14ac:dyDescent="0.25">
      <c r="B41" s="81">
        <v>45711</v>
      </c>
      <c r="C41" s="80">
        <v>4389.3500000000004</v>
      </c>
      <c r="D41" s="34">
        <f t="shared" si="0"/>
        <v>-7.2825140505026198E-3</v>
      </c>
      <c r="F41" s="82">
        <v>22124.7</v>
      </c>
      <c r="G41" s="34">
        <f t="shared" si="1"/>
        <v>-1.8969072164948475E-2</v>
      </c>
    </row>
    <row r="42" spans="2:17" x14ac:dyDescent="0.25">
      <c r="B42" s="81">
        <v>45704</v>
      </c>
      <c r="C42" s="80">
        <v>4580.1499999999996</v>
      </c>
      <c r="D42" s="34">
        <f t="shared" si="0"/>
        <v>4.3468850740997933E-2</v>
      </c>
      <c r="F42" s="82">
        <v>22795.9</v>
      </c>
      <c r="G42" s="34">
        <f t="shared" si="1"/>
        <v>3.0337134514818231E-2</v>
      </c>
    </row>
    <row r="43" spans="2:17" x14ac:dyDescent="0.25">
      <c r="B43" s="81">
        <v>45697</v>
      </c>
      <c r="C43" s="80">
        <v>4657.25</v>
      </c>
      <c r="D43" s="34">
        <f t="shared" si="0"/>
        <v>1.6833509819547565E-2</v>
      </c>
      <c r="F43" s="82">
        <v>22929.25</v>
      </c>
      <c r="G43" s="34">
        <f t="shared" si="1"/>
        <v>5.8497361367613188E-3</v>
      </c>
    </row>
    <row r="44" spans="2:17" x14ac:dyDescent="0.25">
      <c r="B44" s="81">
        <v>45690</v>
      </c>
      <c r="C44" s="80">
        <v>4879.7</v>
      </c>
      <c r="D44" s="34">
        <f t="shared" si="0"/>
        <v>4.7764238552794103E-2</v>
      </c>
      <c r="F44" s="82">
        <v>23559.95</v>
      </c>
      <c r="G44" s="34">
        <f t="shared" si="1"/>
        <v>2.7506351058146361E-2</v>
      </c>
    </row>
    <row r="45" spans="2:17" x14ac:dyDescent="0.25">
      <c r="B45" s="81">
        <v>45683</v>
      </c>
      <c r="C45" s="80">
        <v>4834.8500000000004</v>
      </c>
      <c r="D45" s="34">
        <f t="shared" si="0"/>
        <v>-9.1911387995162741E-3</v>
      </c>
      <c r="F45" s="82">
        <v>23508.400000000001</v>
      </c>
      <c r="G45" s="34">
        <f t="shared" si="1"/>
        <v>-2.188035203809835E-3</v>
      </c>
    </row>
    <row r="46" spans="2:17" x14ac:dyDescent="0.25">
      <c r="B46" s="81">
        <v>45676</v>
      </c>
      <c r="C46" s="80">
        <v>4755.8999999999996</v>
      </c>
      <c r="D46" s="34">
        <f t="shared" si="0"/>
        <v>-1.6329358718471298E-2</v>
      </c>
      <c r="F46" s="82">
        <v>23092.2</v>
      </c>
      <c r="G46" s="34">
        <f t="shared" si="1"/>
        <v>-1.7704309948784247E-2</v>
      </c>
    </row>
    <row r="47" spans="2:17" x14ac:dyDescent="0.25">
      <c r="B47" s="81">
        <v>45669</v>
      </c>
      <c r="C47" s="80">
        <v>4541.2</v>
      </c>
      <c r="D47" s="34">
        <f t="shared" si="0"/>
        <v>-4.5143926491305497E-2</v>
      </c>
      <c r="F47" s="82">
        <v>23203.200000000001</v>
      </c>
      <c r="G47" s="34">
        <f t="shared" si="1"/>
        <v>4.8068178865590117E-3</v>
      </c>
    </row>
    <row r="48" spans="2:17" x14ac:dyDescent="0.25">
      <c r="B48" s="81">
        <v>45662</v>
      </c>
      <c r="C48" s="80">
        <v>4543.55</v>
      </c>
      <c r="D48" s="34">
        <f t="shared" si="0"/>
        <v>5.1748436536613873E-4</v>
      </c>
      <c r="F48" s="82">
        <v>23431.5</v>
      </c>
      <c r="G48" s="34">
        <f t="shared" si="1"/>
        <v>9.8391601158460684E-3</v>
      </c>
    </row>
    <row r="49" spans="2:7" x14ac:dyDescent="0.25">
      <c r="B49" s="81">
        <v>45655</v>
      </c>
      <c r="C49" s="80">
        <v>4726.55</v>
      </c>
      <c r="D49" s="34">
        <f t="shared" si="0"/>
        <v>4.0276876011048568E-2</v>
      </c>
      <c r="F49" s="82">
        <v>24004.75</v>
      </c>
      <c r="G49" s="34">
        <f t="shared" si="1"/>
        <v>2.4464929688666981E-2</v>
      </c>
    </row>
    <row r="50" spans="2:7" x14ac:dyDescent="0.25">
      <c r="B50" s="81">
        <v>45648</v>
      </c>
      <c r="C50" s="80">
        <v>4572.45</v>
      </c>
      <c r="D50" s="34">
        <f t="shared" si="0"/>
        <v>-3.2603061429584024E-2</v>
      </c>
      <c r="F50" s="82">
        <v>23813.4</v>
      </c>
      <c r="G50" s="34">
        <f t="shared" si="1"/>
        <v>-7.9713390058216982E-3</v>
      </c>
    </row>
    <row r="51" spans="2:7" x14ac:dyDescent="0.25">
      <c r="B51" s="81">
        <v>45641</v>
      </c>
      <c r="C51" s="80">
        <v>4517.8</v>
      </c>
      <c r="D51" s="34">
        <f t="shared" si="0"/>
        <v>-1.1952016971207957E-2</v>
      </c>
      <c r="F51" s="82">
        <v>23587.5</v>
      </c>
      <c r="G51" s="34">
        <f t="shared" si="1"/>
        <v>-9.4862556375822082E-3</v>
      </c>
    </row>
    <row r="52" spans="2:7" x14ac:dyDescent="0.25">
      <c r="B52" s="81">
        <v>45634</v>
      </c>
      <c r="C52" s="80">
        <v>4749.1000000000004</v>
      </c>
      <c r="D52" s="34">
        <f t="shared" si="0"/>
        <v>5.1197485501792928E-2</v>
      </c>
      <c r="F52" s="82">
        <v>24768.3</v>
      </c>
      <c r="G52" s="34">
        <f t="shared" si="1"/>
        <v>5.0060413354531041E-2</v>
      </c>
    </row>
    <row r="53" spans="2:7" x14ac:dyDescent="0.25">
      <c r="B53" s="81">
        <v>45627</v>
      </c>
      <c r="C53" s="80">
        <v>4596.6499999999996</v>
      </c>
      <c r="D53" s="34">
        <f t="shared" si="0"/>
        <v>-3.2100819102566902E-2</v>
      </c>
      <c r="F53" s="82">
        <v>24677.8</v>
      </c>
      <c r="G53" s="34">
        <f t="shared" si="1"/>
        <v>-3.653864011660013E-3</v>
      </c>
    </row>
    <row r="54" spans="2:7" x14ac:dyDescent="0.25">
      <c r="B54" s="81">
        <v>45620</v>
      </c>
      <c r="C54" s="80">
        <v>4278.25</v>
      </c>
      <c r="D54" s="34">
        <f t="shared" si="0"/>
        <v>-6.9267836359087509E-2</v>
      </c>
      <c r="F54" s="82">
        <v>24131.1</v>
      </c>
      <c r="G54" s="34">
        <f t="shared" si="1"/>
        <v>-2.2153514494809179E-2</v>
      </c>
    </row>
    <row r="55" spans="2:7" x14ac:dyDescent="0.25">
      <c r="B55" s="81">
        <v>45613</v>
      </c>
      <c r="C55" s="80">
        <v>4135.8500000000004</v>
      </c>
      <c r="D55" s="34">
        <f t="shared" si="0"/>
        <v>-3.3284637410155971E-2</v>
      </c>
      <c r="F55" s="82">
        <v>23907.25</v>
      </c>
      <c r="G55" s="34">
        <f t="shared" si="1"/>
        <v>-9.2764109385812255E-3</v>
      </c>
    </row>
    <row r="56" spans="2:7" x14ac:dyDescent="0.25">
      <c r="B56" s="81">
        <v>45606</v>
      </c>
      <c r="C56" s="80">
        <v>3999.3</v>
      </c>
      <c r="D56" s="34">
        <f t="shared" si="0"/>
        <v>-3.3016187724409729E-2</v>
      </c>
      <c r="F56" s="82">
        <v>23532.7</v>
      </c>
      <c r="G56" s="34">
        <f t="shared" si="1"/>
        <v>-1.5666795637306663E-2</v>
      </c>
    </row>
    <row r="57" spans="2:7" x14ac:dyDescent="0.25">
      <c r="B57" s="81">
        <v>45599</v>
      </c>
      <c r="C57" s="80">
        <v>4081.3</v>
      </c>
      <c r="D57" s="34">
        <f t="shared" si="0"/>
        <v>2.0503588127922301E-2</v>
      </c>
      <c r="F57" s="82">
        <v>24148.2</v>
      </c>
      <c r="G57" s="34">
        <f t="shared" si="1"/>
        <v>2.6155094825498049E-2</v>
      </c>
    </row>
    <row r="58" spans="2:7" x14ac:dyDescent="0.25">
      <c r="B58" s="81">
        <v>45592</v>
      </c>
      <c r="C58" s="80">
        <v>4345.25</v>
      </c>
      <c r="D58" s="34">
        <f t="shared" si="0"/>
        <v>6.4673020851199414E-2</v>
      </c>
      <c r="F58" s="82">
        <v>24304.35</v>
      </c>
      <c r="G58" s="34">
        <f t="shared" si="1"/>
        <v>6.4663204710908584E-3</v>
      </c>
    </row>
    <row r="59" spans="2:7" x14ac:dyDescent="0.25">
      <c r="B59" s="81">
        <v>45585</v>
      </c>
      <c r="C59" s="80">
        <v>4105</v>
      </c>
      <c r="D59" s="34">
        <f t="shared" si="0"/>
        <v>-5.5290259478741111E-2</v>
      </c>
      <c r="F59" s="82">
        <v>24180.799999999999</v>
      </c>
      <c r="G59" s="34">
        <f t="shared" si="1"/>
        <v>-5.0834521392261189E-3</v>
      </c>
    </row>
    <row r="60" spans="2:7" x14ac:dyDescent="0.25">
      <c r="B60" s="81">
        <v>45578</v>
      </c>
      <c r="C60" s="80">
        <v>4302.7</v>
      </c>
      <c r="D60" s="34">
        <f t="shared" si="0"/>
        <v>4.8160779537149701E-2</v>
      </c>
      <c r="F60" s="82">
        <v>24854.05</v>
      </c>
      <c r="G60" s="34">
        <f t="shared" si="1"/>
        <v>2.7842337722490562E-2</v>
      </c>
    </row>
    <row r="61" spans="2:7" x14ac:dyDescent="0.25">
      <c r="B61" s="81">
        <v>45571</v>
      </c>
      <c r="C61" s="80">
        <v>4238.75</v>
      </c>
      <c r="D61" s="34">
        <f t="shared" si="0"/>
        <v>-1.4862760592186275E-2</v>
      </c>
      <c r="F61" s="82">
        <v>24964.25</v>
      </c>
      <c r="G61" s="34">
        <f t="shared" si="1"/>
        <v>4.4338850207512603E-3</v>
      </c>
    </row>
    <row r="62" spans="2:7" x14ac:dyDescent="0.25">
      <c r="B62" s="81">
        <v>45564</v>
      </c>
      <c r="C62" s="80">
        <v>4565.55</v>
      </c>
      <c r="D62" s="34">
        <f t="shared" si="0"/>
        <v>7.7098201120613385E-2</v>
      </c>
      <c r="F62" s="82">
        <v>25014.6</v>
      </c>
      <c r="G62" s="34">
        <f t="shared" si="1"/>
        <v>2.0168841443264363E-3</v>
      </c>
    </row>
    <row r="63" spans="2:7" x14ac:dyDescent="0.25">
      <c r="B63" s="81">
        <v>45557</v>
      </c>
      <c r="C63" s="80">
        <v>4636.25</v>
      </c>
      <c r="D63" s="34">
        <f t="shared" si="0"/>
        <v>1.548553843458067E-2</v>
      </c>
      <c r="F63" s="82">
        <v>26178.95</v>
      </c>
      <c r="G63" s="34">
        <f t="shared" si="1"/>
        <v>4.6546816659071233E-2</v>
      </c>
    </row>
    <row r="64" spans="2:7" x14ac:dyDescent="0.25">
      <c r="B64" s="81">
        <v>45550</v>
      </c>
      <c r="C64" s="80">
        <v>4632.7</v>
      </c>
      <c r="D64" s="34">
        <f t="shared" si="0"/>
        <v>-7.6570504179029886E-4</v>
      </c>
      <c r="F64" s="82">
        <v>25790.95</v>
      </c>
      <c r="G64" s="34">
        <f t="shared" si="1"/>
        <v>-1.4821068071866894E-2</v>
      </c>
    </row>
    <row r="65" spans="2:7" x14ac:dyDescent="0.25">
      <c r="B65" s="81">
        <v>45543</v>
      </c>
      <c r="C65" s="80">
        <v>4766.3999999999996</v>
      </c>
      <c r="D65" s="34">
        <f t="shared" si="0"/>
        <v>2.8860060008202515E-2</v>
      </c>
      <c r="F65" s="82">
        <v>25356.5</v>
      </c>
      <c r="G65" s="34">
        <f t="shared" si="1"/>
        <v>-1.684505611464493E-2</v>
      </c>
    </row>
    <row r="66" spans="2:7" x14ac:dyDescent="0.25">
      <c r="B66" s="81">
        <v>45536</v>
      </c>
      <c r="C66" s="80">
        <v>4697.95</v>
      </c>
      <c r="D66" s="34">
        <f t="shared" si="0"/>
        <v>-1.4360943269553506E-2</v>
      </c>
      <c r="F66" s="82">
        <v>24852.15</v>
      </c>
      <c r="G66" s="34">
        <f t="shared" si="1"/>
        <v>-1.9890363417664036E-2</v>
      </c>
    </row>
    <row r="67" spans="2:7" x14ac:dyDescent="0.25">
      <c r="B67" s="81">
        <v>45529</v>
      </c>
      <c r="C67" s="80">
        <v>4453.8999999999996</v>
      </c>
      <c r="D67" s="34">
        <f t="shared" si="0"/>
        <v>-5.1948190168052077E-2</v>
      </c>
      <c r="F67" s="82">
        <v>25235.9</v>
      </c>
      <c r="G67" s="34">
        <f t="shared" si="1"/>
        <v>1.544131996628062E-2</v>
      </c>
    </row>
    <row r="68" spans="2:7" x14ac:dyDescent="0.25">
      <c r="B68" s="81">
        <v>45522</v>
      </c>
      <c r="C68" s="80">
        <v>4393.3500000000004</v>
      </c>
      <c r="D68" s="34">
        <f t="shared" si="0"/>
        <v>-1.3594827005545485E-2</v>
      </c>
      <c r="F68" s="82">
        <v>24823.15</v>
      </c>
      <c r="G68" s="34">
        <f t="shared" si="1"/>
        <v>-1.6355667917530181E-2</v>
      </c>
    </row>
    <row r="69" spans="2:7" x14ac:dyDescent="0.25">
      <c r="B69" s="81">
        <v>45515</v>
      </c>
      <c r="C69" s="80">
        <v>4239.95</v>
      </c>
      <c r="D69" s="34">
        <f t="shared" si="0"/>
        <v>-3.4916407752626277E-2</v>
      </c>
      <c r="F69" s="82">
        <v>24541.15</v>
      </c>
      <c r="G69" s="34">
        <f t="shared" si="1"/>
        <v>-1.1360363209342861E-2</v>
      </c>
    </row>
    <row r="70" spans="2:7" x14ac:dyDescent="0.25">
      <c r="B70" s="81">
        <v>45508</v>
      </c>
      <c r="C70" s="80">
        <v>4240.2</v>
      </c>
      <c r="D70" s="34">
        <f t="shared" si="0"/>
        <v>5.8962959468944476E-5</v>
      </c>
      <c r="F70" s="82">
        <v>24367.5</v>
      </c>
      <c r="G70" s="34">
        <f t="shared" si="1"/>
        <v>-7.0758705276647849E-3</v>
      </c>
    </row>
    <row r="71" spans="2:7" x14ac:dyDescent="0.25">
      <c r="B71" s="81">
        <v>45501</v>
      </c>
      <c r="C71" s="80">
        <v>4284.6000000000004</v>
      </c>
      <c r="D71" s="34">
        <f t="shared" si="0"/>
        <v>1.0471204188481797E-2</v>
      </c>
      <c r="F71" s="82">
        <v>24717.7</v>
      </c>
      <c r="G71" s="34">
        <f t="shared" si="1"/>
        <v>1.4371601518415877E-2</v>
      </c>
    </row>
    <row r="72" spans="2:7" x14ac:dyDescent="0.25">
      <c r="B72" s="81">
        <v>45494</v>
      </c>
      <c r="C72" s="80">
        <v>4387.6499999999996</v>
      </c>
      <c r="D72" s="34">
        <f t="shared" si="0"/>
        <v>2.4051253325864552E-2</v>
      </c>
      <c r="F72" s="82">
        <v>24834.85</v>
      </c>
      <c r="G72" s="34">
        <f t="shared" si="1"/>
        <v>4.7395186445340354E-3</v>
      </c>
    </row>
    <row r="73" spans="2:7" x14ac:dyDescent="0.25">
      <c r="B73" s="81">
        <v>45487</v>
      </c>
      <c r="C73" s="80">
        <v>4284.55</v>
      </c>
      <c r="D73" s="34">
        <f t="shared" si="0"/>
        <v>-2.3497772155937513E-2</v>
      </c>
      <c r="F73" s="82">
        <v>24530.9</v>
      </c>
      <c r="G73" s="34">
        <f t="shared" si="1"/>
        <v>-1.2238849842056476E-2</v>
      </c>
    </row>
    <row r="74" spans="2:7" x14ac:dyDescent="0.25">
      <c r="B74" s="81">
        <v>45480</v>
      </c>
      <c r="C74" s="80">
        <v>4339.3999999999996</v>
      </c>
      <c r="D74" s="34">
        <f t="shared" si="0"/>
        <v>1.2801811158698051E-2</v>
      </c>
      <c r="F74" s="82">
        <v>24502.15</v>
      </c>
      <c r="G74" s="34">
        <f t="shared" si="1"/>
        <v>-1.1719912436967128E-3</v>
      </c>
    </row>
    <row r="75" spans="2:7" x14ac:dyDescent="0.25">
      <c r="B75" s="81">
        <v>45473</v>
      </c>
      <c r="C75" s="80">
        <v>4212.8500000000004</v>
      </c>
      <c r="D75" s="34">
        <f t="shared" si="0"/>
        <v>-2.916301792874576E-2</v>
      </c>
      <c r="F75" s="82">
        <v>24323.85</v>
      </c>
      <c r="G75" s="34">
        <f t="shared" si="1"/>
        <v>-7.2769124342150215E-3</v>
      </c>
    </row>
    <row r="76" spans="2:7" x14ac:dyDescent="0.25">
      <c r="B76" s="81">
        <v>45466</v>
      </c>
      <c r="C76" s="80">
        <v>4383.79</v>
      </c>
      <c r="D76" s="34">
        <f t="shared" ref="D76:D113" si="2">C76/C75-1</f>
        <v>4.0575857198808407E-2</v>
      </c>
      <c r="F76" s="82">
        <v>24010.6</v>
      </c>
      <c r="G76" s="34">
        <f t="shared" ref="G76:G113" si="3">F76/F75-1</f>
        <v>-1.2878306682535867E-2</v>
      </c>
    </row>
    <row r="77" spans="2:7" x14ac:dyDescent="0.25">
      <c r="B77" s="81">
        <v>45459</v>
      </c>
      <c r="C77" s="80">
        <v>4254.8500000000004</v>
      </c>
      <c r="D77" s="34">
        <f t="shared" si="2"/>
        <v>-2.9412905271465895E-2</v>
      </c>
      <c r="F77" s="82">
        <v>23501.1</v>
      </c>
      <c r="G77" s="34">
        <f t="shared" si="3"/>
        <v>-2.1219794590722429E-2</v>
      </c>
    </row>
    <row r="78" spans="2:7" x14ac:dyDescent="0.25">
      <c r="B78" s="81">
        <v>45452</v>
      </c>
      <c r="C78" s="80">
        <v>4321.57</v>
      </c>
      <c r="D78" s="34">
        <f t="shared" si="2"/>
        <v>1.5680928822402462E-2</v>
      </c>
      <c r="F78" s="82">
        <v>23465.599999999999</v>
      </c>
      <c r="G78" s="34">
        <f t="shared" si="3"/>
        <v>-1.5105675904532045E-3</v>
      </c>
    </row>
    <row r="79" spans="2:7" x14ac:dyDescent="0.25">
      <c r="B79" s="81">
        <v>45445</v>
      </c>
      <c r="C79" s="80">
        <v>4182.13</v>
      </c>
      <c r="D79" s="34">
        <f t="shared" si="2"/>
        <v>-3.2266051458150535E-2</v>
      </c>
      <c r="F79" s="82">
        <v>23290.15</v>
      </c>
      <c r="G79" s="34">
        <f t="shared" si="3"/>
        <v>-7.4769023591980677E-3</v>
      </c>
    </row>
    <row r="80" spans="2:7" x14ac:dyDescent="0.25">
      <c r="B80" s="81">
        <v>45438</v>
      </c>
      <c r="C80" s="80">
        <v>3867.66</v>
      </c>
      <c r="D80" s="34">
        <f t="shared" si="2"/>
        <v>-7.519374098844378E-2</v>
      </c>
      <c r="F80" s="82">
        <v>22530.7</v>
      </c>
      <c r="G80" s="34">
        <f t="shared" si="3"/>
        <v>-3.2608205614820029E-2</v>
      </c>
    </row>
    <row r="81" spans="2:7" x14ac:dyDescent="0.25">
      <c r="B81" s="81">
        <v>45431</v>
      </c>
      <c r="C81" s="80">
        <v>3985.72</v>
      </c>
      <c r="D81" s="34">
        <f t="shared" si="2"/>
        <v>3.0524916874802743E-2</v>
      </c>
      <c r="F81" s="82">
        <v>22957.1</v>
      </c>
      <c r="G81" s="34">
        <f t="shared" si="3"/>
        <v>1.8925288606212787E-2</v>
      </c>
    </row>
    <row r="82" spans="2:7" x14ac:dyDescent="0.25">
      <c r="B82" s="81">
        <v>45424</v>
      </c>
      <c r="C82" s="80">
        <v>3892.08</v>
      </c>
      <c r="D82" s="34">
        <f t="shared" si="2"/>
        <v>-2.3493873127063636E-2</v>
      </c>
      <c r="F82" s="82">
        <v>22466.1</v>
      </c>
      <c r="G82" s="34">
        <f t="shared" si="3"/>
        <v>-2.1387718832082458E-2</v>
      </c>
    </row>
    <row r="83" spans="2:7" x14ac:dyDescent="0.25">
      <c r="B83" s="81">
        <v>45417</v>
      </c>
      <c r="C83" s="80">
        <v>3836.34</v>
      </c>
      <c r="D83" s="34">
        <f t="shared" si="2"/>
        <v>-1.4321391132761874E-2</v>
      </c>
      <c r="F83" s="82">
        <v>22055.200000000001</v>
      </c>
      <c r="G83" s="34">
        <f t="shared" si="3"/>
        <v>-1.8289778822314418E-2</v>
      </c>
    </row>
    <row r="84" spans="2:7" x14ac:dyDescent="0.25">
      <c r="B84" s="81">
        <v>45410</v>
      </c>
      <c r="C84" s="80">
        <v>3972.68</v>
      </c>
      <c r="D84" s="34">
        <f t="shared" si="2"/>
        <v>3.5539081520407301E-2</v>
      </c>
      <c r="F84" s="82">
        <v>22475.85</v>
      </c>
      <c r="G84" s="34">
        <f t="shared" si="3"/>
        <v>1.9072599659037293E-2</v>
      </c>
    </row>
    <row r="85" spans="2:7" x14ac:dyDescent="0.25">
      <c r="B85" s="81">
        <v>45403</v>
      </c>
      <c r="C85" s="80">
        <v>4067.77</v>
      </c>
      <c r="D85" s="34">
        <f t="shared" si="2"/>
        <v>2.3935982762266272E-2</v>
      </c>
      <c r="F85" s="82">
        <v>22419.95</v>
      </c>
      <c r="G85" s="34">
        <f t="shared" si="3"/>
        <v>-2.4871139467471659E-3</v>
      </c>
    </row>
    <row r="86" spans="2:7" x14ac:dyDescent="0.25">
      <c r="B86" s="81">
        <v>45396</v>
      </c>
      <c r="C86" s="80">
        <v>4146.58</v>
      </c>
      <c r="D86" s="34">
        <f t="shared" si="2"/>
        <v>1.9374251739896708E-2</v>
      </c>
      <c r="F86" s="82">
        <v>22147</v>
      </c>
      <c r="G86" s="34">
        <f t="shared" si="3"/>
        <v>-1.2174425009868428E-2</v>
      </c>
    </row>
    <row r="87" spans="2:7" x14ac:dyDescent="0.25">
      <c r="B87" s="81">
        <v>45389</v>
      </c>
      <c r="C87" s="80">
        <v>4275.67</v>
      </c>
      <c r="D87" s="34">
        <f t="shared" si="2"/>
        <v>3.113167960102059E-2</v>
      </c>
      <c r="F87" s="82">
        <v>22519.4</v>
      </c>
      <c r="G87" s="34">
        <f t="shared" si="3"/>
        <v>1.6814918499119536E-2</v>
      </c>
    </row>
    <row r="88" spans="2:7" x14ac:dyDescent="0.25">
      <c r="B88" s="81">
        <v>45382</v>
      </c>
      <c r="C88" s="80">
        <v>4353.63</v>
      </c>
      <c r="D88" s="34">
        <f t="shared" si="2"/>
        <v>1.8233399677711315E-2</v>
      </c>
      <c r="F88" s="82">
        <v>22513.7</v>
      </c>
      <c r="G88" s="34">
        <f t="shared" si="3"/>
        <v>-2.5311509187642134E-4</v>
      </c>
    </row>
    <row r="89" spans="2:7" x14ac:dyDescent="0.25">
      <c r="B89" s="81">
        <v>45375</v>
      </c>
      <c r="C89" s="80">
        <v>4071.32</v>
      </c>
      <c r="D89" s="34">
        <f t="shared" si="2"/>
        <v>-6.4844738758231601E-2</v>
      </c>
      <c r="F89" s="82">
        <v>22326.9</v>
      </c>
      <c r="G89" s="34">
        <f t="shared" si="3"/>
        <v>-8.2971701674979803E-3</v>
      </c>
    </row>
    <row r="90" spans="2:7" x14ac:dyDescent="0.25">
      <c r="B90" s="81">
        <v>45368</v>
      </c>
      <c r="C90" s="80">
        <v>4098.7299999999996</v>
      </c>
      <c r="D90" s="34">
        <f t="shared" si="2"/>
        <v>6.7324602340270712E-3</v>
      </c>
      <c r="F90" s="82">
        <v>22096.75</v>
      </c>
      <c r="G90" s="34">
        <f t="shared" si="3"/>
        <v>-1.0308193255669229E-2</v>
      </c>
    </row>
    <row r="91" spans="2:7" x14ac:dyDescent="0.25">
      <c r="B91" s="81">
        <v>45361</v>
      </c>
      <c r="C91" s="80">
        <v>4065.32</v>
      </c>
      <c r="D91" s="34">
        <f t="shared" si="2"/>
        <v>-8.1513054043568234E-3</v>
      </c>
      <c r="F91" s="82">
        <v>22023.35</v>
      </c>
      <c r="G91" s="34">
        <f t="shared" si="3"/>
        <v>-3.3217554617761547E-3</v>
      </c>
    </row>
    <row r="92" spans="2:7" x14ac:dyDescent="0.25">
      <c r="B92" s="81">
        <v>45354</v>
      </c>
      <c r="C92" s="80">
        <v>4257.54</v>
      </c>
      <c r="D92" s="34">
        <f t="shared" si="2"/>
        <v>4.7282870721123915E-2</v>
      </c>
      <c r="F92" s="82">
        <v>22493.55</v>
      </c>
      <c r="G92" s="34">
        <f t="shared" si="3"/>
        <v>2.1350067087886337E-2</v>
      </c>
    </row>
    <row r="93" spans="2:7" x14ac:dyDescent="0.25">
      <c r="B93" s="81">
        <v>45347</v>
      </c>
      <c r="C93" s="80">
        <v>4495.66</v>
      </c>
      <c r="D93" s="34">
        <f t="shared" si="2"/>
        <v>5.5929010649342192E-2</v>
      </c>
      <c r="F93" s="82">
        <v>22338.75</v>
      </c>
      <c r="G93" s="34">
        <f t="shared" si="3"/>
        <v>-6.8819728322118134E-3</v>
      </c>
    </row>
    <row r="94" spans="2:7" x14ac:dyDescent="0.25">
      <c r="B94" s="81">
        <v>45340</v>
      </c>
      <c r="C94" s="80">
        <v>4338.5</v>
      </c>
      <c r="D94" s="34">
        <f t="shared" si="2"/>
        <v>-3.495815964730431E-2</v>
      </c>
      <c r="F94" s="82">
        <v>22212.7</v>
      </c>
      <c r="G94" s="34">
        <f t="shared" si="3"/>
        <v>-5.6426612948351496E-3</v>
      </c>
    </row>
    <row r="95" spans="2:7" x14ac:dyDescent="0.25">
      <c r="B95" s="81">
        <v>45333</v>
      </c>
      <c r="C95" s="80">
        <v>4205.91</v>
      </c>
      <c r="D95" s="34">
        <f t="shared" si="2"/>
        <v>-3.0561253889593187E-2</v>
      </c>
      <c r="F95" s="82">
        <v>22040.7</v>
      </c>
      <c r="G95" s="34">
        <f t="shared" si="3"/>
        <v>-7.7433180117680855E-3</v>
      </c>
    </row>
    <row r="96" spans="2:7" x14ac:dyDescent="0.25">
      <c r="B96" s="81">
        <v>45326</v>
      </c>
      <c r="C96" s="80">
        <v>4226.2299999999996</v>
      </c>
      <c r="D96" s="34">
        <f t="shared" si="2"/>
        <v>4.8312969131529826E-3</v>
      </c>
      <c r="F96" s="82">
        <v>21782.5</v>
      </c>
      <c r="G96" s="34">
        <f t="shared" si="3"/>
        <v>-1.1714691457167858E-2</v>
      </c>
    </row>
    <row r="97" spans="2:7" x14ac:dyDescent="0.25">
      <c r="B97" s="81">
        <v>45319</v>
      </c>
      <c r="C97" s="80">
        <v>4361.0200000000004</v>
      </c>
      <c r="D97" s="34">
        <f t="shared" si="2"/>
        <v>3.1893673557757296E-2</v>
      </c>
      <c r="F97" s="82">
        <v>21853.8</v>
      </c>
      <c r="G97" s="34">
        <f t="shared" si="3"/>
        <v>3.273269826695735E-3</v>
      </c>
    </row>
    <row r="98" spans="2:7" x14ac:dyDescent="0.25">
      <c r="B98" s="81">
        <v>45312</v>
      </c>
      <c r="C98" s="80">
        <v>4162.51</v>
      </c>
      <c r="D98" s="34">
        <f t="shared" si="2"/>
        <v>-4.5519167534200711E-2</v>
      </c>
      <c r="F98" s="82">
        <v>21352.6</v>
      </c>
      <c r="G98" s="34">
        <f t="shared" si="3"/>
        <v>-2.2934226541837188E-2</v>
      </c>
    </row>
    <row r="99" spans="2:7" x14ac:dyDescent="0.25">
      <c r="B99" s="81">
        <v>45305</v>
      </c>
      <c r="C99" s="80">
        <v>4048.44</v>
      </c>
      <c r="D99" s="34">
        <f t="shared" si="2"/>
        <v>-2.7404138368436359E-2</v>
      </c>
      <c r="F99" s="82">
        <v>21622.400000000001</v>
      </c>
      <c r="G99" s="34">
        <f t="shared" si="3"/>
        <v>1.2635463596939234E-2</v>
      </c>
    </row>
    <row r="100" spans="2:7" x14ac:dyDescent="0.25">
      <c r="B100" s="81">
        <v>45298</v>
      </c>
      <c r="C100" s="80">
        <v>4043.15</v>
      </c>
      <c r="D100" s="34">
        <f t="shared" si="2"/>
        <v>-1.3066761518016889E-3</v>
      </c>
      <c r="F100" s="82">
        <v>21894.55</v>
      </c>
      <c r="G100" s="34">
        <f t="shared" si="3"/>
        <v>1.2586484386561958E-2</v>
      </c>
    </row>
    <row r="101" spans="2:7" x14ac:dyDescent="0.25">
      <c r="B101" s="81">
        <v>45291</v>
      </c>
      <c r="C101" s="80">
        <v>3925.94</v>
      </c>
      <c r="D101" s="34">
        <f t="shared" si="2"/>
        <v>-2.8989772825643412E-2</v>
      </c>
      <c r="F101" s="82">
        <v>21710.799999999999</v>
      </c>
      <c r="G101" s="34">
        <f t="shared" si="3"/>
        <v>-8.3924995033010097E-3</v>
      </c>
    </row>
    <row r="102" spans="2:7" x14ac:dyDescent="0.25">
      <c r="B102" s="81">
        <v>45284</v>
      </c>
      <c r="C102" s="80">
        <v>3783.76</v>
      </c>
      <c r="D102" s="34">
        <f t="shared" si="2"/>
        <v>-3.6215530548098007E-2</v>
      </c>
      <c r="F102" s="82">
        <v>21731.4</v>
      </c>
      <c r="G102" s="34">
        <f t="shared" si="3"/>
        <v>9.4883652375776784E-4</v>
      </c>
    </row>
    <row r="103" spans="2:7" x14ac:dyDescent="0.25">
      <c r="B103" s="81">
        <v>45277</v>
      </c>
      <c r="C103" s="80">
        <v>3777.71</v>
      </c>
      <c r="D103" s="34">
        <f t="shared" si="2"/>
        <v>-1.5989386218999702E-3</v>
      </c>
      <c r="F103" s="82">
        <v>21349.4</v>
      </c>
      <c r="G103" s="34">
        <f t="shared" si="3"/>
        <v>-1.7578250825993735E-2</v>
      </c>
    </row>
    <row r="104" spans="2:7" x14ac:dyDescent="0.25">
      <c r="B104" s="81">
        <v>45270</v>
      </c>
      <c r="C104" s="80">
        <v>3917.2</v>
      </c>
      <c r="D104" s="34">
        <f t="shared" si="2"/>
        <v>3.6924485998131029E-2</v>
      </c>
      <c r="F104" s="82">
        <v>21456.65</v>
      </c>
      <c r="G104" s="34">
        <f t="shared" si="3"/>
        <v>5.023560381087977E-3</v>
      </c>
    </row>
    <row r="105" spans="2:7" x14ac:dyDescent="0.25">
      <c r="B105" s="81">
        <v>45263</v>
      </c>
      <c r="C105" s="80">
        <v>3793.55</v>
      </c>
      <c r="D105" s="34">
        <f t="shared" si="2"/>
        <v>-3.1565914428673403E-2</v>
      </c>
      <c r="F105" s="82">
        <v>20969.400000000001</v>
      </c>
      <c r="G105" s="34">
        <f t="shared" si="3"/>
        <v>-2.2708577527246754E-2</v>
      </c>
    </row>
    <row r="106" spans="2:7" x14ac:dyDescent="0.25">
      <c r="B106" s="81">
        <v>45256</v>
      </c>
      <c r="C106" s="80">
        <v>3657.16</v>
      </c>
      <c r="D106" s="34">
        <f t="shared" si="2"/>
        <v>-3.5953130972308345E-2</v>
      </c>
      <c r="F106" s="82">
        <v>20267.900000000001</v>
      </c>
      <c r="G106" s="34">
        <f t="shared" si="3"/>
        <v>-3.3453508445639879E-2</v>
      </c>
    </row>
    <row r="107" spans="2:7" x14ac:dyDescent="0.25">
      <c r="B107" s="81">
        <v>45249</v>
      </c>
      <c r="C107" s="80">
        <v>3523.87</v>
      </c>
      <c r="D107" s="34">
        <f t="shared" si="2"/>
        <v>-3.6446313532905283E-2</v>
      </c>
      <c r="F107" s="82">
        <v>19794.7</v>
      </c>
      <c r="G107" s="34">
        <f t="shared" si="3"/>
        <v>-2.3347263406667706E-2</v>
      </c>
    </row>
    <row r="108" spans="2:7" x14ac:dyDescent="0.25">
      <c r="B108" s="81">
        <v>45242</v>
      </c>
      <c r="C108" s="80">
        <v>3504.99</v>
      </c>
      <c r="D108" s="34">
        <f t="shared" si="2"/>
        <v>-5.3577458873341754E-3</v>
      </c>
      <c r="F108" s="82">
        <v>19731.8</v>
      </c>
      <c r="G108" s="34">
        <f t="shared" si="3"/>
        <v>-3.1776182513502116E-3</v>
      </c>
    </row>
    <row r="109" spans="2:7" x14ac:dyDescent="0.25">
      <c r="B109" s="81">
        <v>45235</v>
      </c>
      <c r="C109" s="80">
        <v>3459.39</v>
      </c>
      <c r="D109" s="34">
        <f t="shared" si="2"/>
        <v>-1.3010022853132241E-2</v>
      </c>
      <c r="F109" s="82">
        <v>19425.349999999999</v>
      </c>
      <c r="G109" s="34">
        <f t="shared" si="3"/>
        <v>-1.5530767593427863E-2</v>
      </c>
    </row>
    <row r="110" spans="2:7" x14ac:dyDescent="0.25">
      <c r="B110" s="81">
        <v>45228</v>
      </c>
      <c r="C110" s="80">
        <v>3127.94</v>
      </c>
      <c r="D110" s="34">
        <f t="shared" si="2"/>
        <v>-9.5811689344075024E-2</v>
      </c>
      <c r="F110" s="82">
        <v>19230.599999999999</v>
      </c>
      <c r="G110" s="34">
        <f t="shared" si="3"/>
        <v>-1.0025559385030358E-2</v>
      </c>
    </row>
    <row r="111" spans="2:7" x14ac:dyDescent="0.25">
      <c r="B111" s="81">
        <v>45221</v>
      </c>
      <c r="C111" s="80">
        <v>3072.45</v>
      </c>
      <c r="D111" s="34">
        <f t="shared" si="2"/>
        <v>-1.7740110104413898E-2</v>
      </c>
      <c r="F111" s="82">
        <v>19047.25</v>
      </c>
      <c r="G111" s="34">
        <f t="shared" si="3"/>
        <v>-9.5342839016983039E-3</v>
      </c>
    </row>
    <row r="112" spans="2:7" x14ac:dyDescent="0.25">
      <c r="B112" s="81">
        <v>45214</v>
      </c>
      <c r="C112" s="80">
        <v>3297.73</v>
      </c>
      <c r="D112" s="34">
        <f t="shared" si="2"/>
        <v>7.3322592719165636E-2</v>
      </c>
      <c r="F112" s="82">
        <v>19542.650000000001</v>
      </c>
      <c r="G112" s="34">
        <f t="shared" si="3"/>
        <v>2.6009003924451157E-2</v>
      </c>
    </row>
    <row r="113" spans="2:7" x14ac:dyDescent="0.25">
      <c r="B113" s="81">
        <v>45207</v>
      </c>
      <c r="C113" s="80">
        <v>3246.2</v>
      </c>
      <c r="D113" s="34">
        <f t="shared" si="2"/>
        <v>-1.5625900240468504E-2</v>
      </c>
      <c r="F113" s="82">
        <v>19751.05</v>
      </c>
      <c r="G113" s="34">
        <f t="shared" si="3"/>
        <v>1.0663855720692839E-2</v>
      </c>
    </row>
    <row r="114" spans="2:7" x14ac:dyDescent="0.25">
      <c r="C114" s="80"/>
    </row>
  </sheetData>
  <mergeCells count="3">
    <mergeCell ref="B7:D7"/>
    <mergeCell ref="F7:G7"/>
    <mergeCell ref="I7:J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DCF2-2F03-4604-8475-6AD6755F52A4}">
  <sheetPr>
    <tabColor rgb="FF002060"/>
  </sheetPr>
  <dimension ref="B5:Q114"/>
  <sheetViews>
    <sheetView showGridLines="0" zoomScale="80" zoomScaleNormal="80" workbookViewId="0">
      <selection activeCell="B9" sqref="B9"/>
    </sheetView>
  </sheetViews>
  <sheetFormatPr defaultRowHeight="15" x14ac:dyDescent="0.25"/>
  <cols>
    <col min="1" max="1" width="1.85546875" customWidth="1"/>
    <col min="2" max="2" width="15.7109375" bestFit="1" customWidth="1"/>
    <col min="3" max="3" width="12.28515625" customWidth="1"/>
    <col min="4" max="4" width="16" customWidth="1"/>
    <col min="6" max="6" width="12.28515625" bestFit="1" customWidth="1"/>
    <col min="7" max="7" width="15.28515625" bestFit="1" customWidth="1"/>
    <col min="9" max="9" width="20.85546875" bestFit="1" customWidth="1"/>
    <col min="10" max="10" width="12.7109375" bestFit="1" customWidth="1"/>
    <col min="11" max="11" width="14.5703125" bestFit="1" customWidth="1"/>
    <col min="12" max="13" width="12" bestFit="1" customWidth="1"/>
    <col min="14" max="14" width="13.42578125" bestFit="1" customWidth="1"/>
    <col min="15" max="15" width="12" bestFit="1" customWidth="1"/>
    <col min="16" max="16" width="12.7109375" bestFit="1" customWidth="1"/>
    <col min="17" max="17" width="12.5703125" bestFit="1" customWidth="1"/>
  </cols>
  <sheetData>
    <row r="5" spans="2:10" s="28" customFormat="1" x14ac:dyDescent="0.25">
      <c r="B5" s="65" t="s">
        <v>153</v>
      </c>
      <c r="C5" s="54"/>
      <c r="D5" s="54"/>
      <c r="E5" s="54"/>
      <c r="F5" s="54"/>
      <c r="G5" s="54"/>
      <c r="H5" s="54"/>
      <c r="I5" s="54"/>
      <c r="J5" s="54"/>
    </row>
    <row r="6" spans="2:10" s="28" customFormat="1" x14ac:dyDescent="0.25">
      <c r="B6" s="83"/>
    </row>
    <row r="7" spans="2:10" x14ac:dyDescent="0.25">
      <c r="B7" s="208" t="str">
        <f>WACC!B15&amp;" Returns"</f>
        <v>Shree Cement Returns</v>
      </c>
      <c r="C7" s="208"/>
      <c r="D7" s="208"/>
      <c r="F7" s="208" t="s">
        <v>151</v>
      </c>
      <c r="G7" s="208"/>
      <c r="I7" s="208" t="s">
        <v>152</v>
      </c>
      <c r="J7" s="208"/>
    </row>
    <row r="8" spans="2:10" s="28" customFormat="1" x14ac:dyDescent="0.25"/>
    <row r="9" spans="2:10" x14ac:dyDescent="0.25">
      <c r="B9" s="84" t="s">
        <v>148</v>
      </c>
      <c r="C9" s="85" t="s">
        <v>149</v>
      </c>
      <c r="D9" s="85" t="s">
        <v>150</v>
      </c>
      <c r="E9" s="15"/>
      <c r="F9" s="85" t="s">
        <v>149</v>
      </c>
      <c r="G9" s="85" t="s">
        <v>150</v>
      </c>
      <c r="I9" s="86" t="s">
        <v>154</v>
      </c>
      <c r="J9" s="14">
        <f>J34</f>
        <v>0.80764538070758396</v>
      </c>
    </row>
    <row r="10" spans="2:10" x14ac:dyDescent="0.25">
      <c r="B10" s="81">
        <v>45928</v>
      </c>
      <c r="C10" s="80">
        <v>29180</v>
      </c>
      <c r="F10" s="82">
        <v>24894.25</v>
      </c>
      <c r="I10" s="20" t="s">
        <v>155</v>
      </c>
      <c r="J10" s="91">
        <v>0.75</v>
      </c>
    </row>
    <row r="11" spans="2:10" x14ac:dyDescent="0.25">
      <c r="B11" s="81">
        <v>45921</v>
      </c>
      <c r="C11" s="80">
        <v>28910</v>
      </c>
      <c r="D11" s="34">
        <f>C11/C10-1</f>
        <v>-9.2529129540781518E-3</v>
      </c>
      <c r="F11" s="82">
        <v>24654.7</v>
      </c>
      <c r="G11" s="34">
        <f>F11/F10-1</f>
        <v>-9.6227040380810758E-3</v>
      </c>
    </row>
    <row r="12" spans="2:10" x14ac:dyDescent="0.25">
      <c r="B12" s="81">
        <v>45914</v>
      </c>
      <c r="C12" s="80">
        <v>29880</v>
      </c>
      <c r="D12" s="34">
        <f t="shared" ref="D12:D75" si="0">C12/C11-1</f>
        <v>3.3552404012452408E-2</v>
      </c>
      <c r="F12" s="82">
        <v>25327.05</v>
      </c>
      <c r="G12" s="34">
        <f t="shared" ref="G12:G75" si="1">F12/F11-1</f>
        <v>2.7270662388915623E-2</v>
      </c>
      <c r="I12" s="20" t="s">
        <v>156</v>
      </c>
      <c r="J12" s="92">
        <v>1</v>
      </c>
    </row>
    <row r="13" spans="2:10" x14ac:dyDescent="0.25">
      <c r="B13" s="81">
        <v>45907</v>
      </c>
      <c r="C13" s="80">
        <v>29580</v>
      </c>
      <c r="D13" s="34">
        <f t="shared" si="0"/>
        <v>-1.0040160642570295E-2</v>
      </c>
      <c r="F13" s="82">
        <v>25114</v>
      </c>
      <c r="G13" s="34">
        <f t="shared" si="1"/>
        <v>-8.4119548072120187E-3</v>
      </c>
      <c r="I13" s="20" t="s">
        <v>157</v>
      </c>
      <c r="J13" s="91">
        <v>0.25</v>
      </c>
    </row>
    <row r="14" spans="2:10" x14ac:dyDescent="0.25">
      <c r="B14" s="81">
        <v>45900</v>
      </c>
      <c r="C14" s="80">
        <v>30040</v>
      </c>
      <c r="D14" s="34">
        <f t="shared" si="0"/>
        <v>1.5551048005409074E-2</v>
      </c>
      <c r="F14" s="82">
        <v>24741</v>
      </c>
      <c r="G14" s="34">
        <f t="shared" si="1"/>
        <v>-1.4852273632236956E-2</v>
      </c>
    </row>
    <row r="15" spans="2:10" x14ac:dyDescent="0.25">
      <c r="B15" s="81">
        <v>45893</v>
      </c>
      <c r="C15" s="80">
        <v>29275</v>
      </c>
      <c r="D15" s="34">
        <f t="shared" si="0"/>
        <v>-2.5466045272969362E-2</v>
      </c>
      <c r="F15" s="82">
        <v>24426.85</v>
      </c>
      <c r="G15" s="34">
        <f t="shared" si="1"/>
        <v>-1.2697546582595698E-2</v>
      </c>
      <c r="I15" s="93" t="s">
        <v>158</v>
      </c>
      <c r="J15" s="94">
        <f>(J9*J10)+(J12*J13)</f>
        <v>0.85573403553068794</v>
      </c>
    </row>
    <row r="16" spans="2:10" x14ac:dyDescent="0.25">
      <c r="B16" s="81">
        <v>45886</v>
      </c>
      <c r="C16" s="80">
        <v>30005</v>
      </c>
      <c r="D16" s="34">
        <f t="shared" si="0"/>
        <v>2.4935952177626008E-2</v>
      </c>
      <c r="F16" s="82">
        <v>24870.1</v>
      </c>
      <c r="G16" s="34">
        <f t="shared" si="1"/>
        <v>1.8146015552557904E-2</v>
      </c>
    </row>
    <row r="17" spans="2:17" x14ac:dyDescent="0.25">
      <c r="B17" s="81">
        <v>45879</v>
      </c>
      <c r="C17" s="80">
        <v>30400</v>
      </c>
      <c r="D17" s="34">
        <f t="shared" si="0"/>
        <v>1.3164472587902099E-2</v>
      </c>
      <c r="F17" s="82">
        <v>24631.3</v>
      </c>
      <c r="G17" s="34">
        <f t="shared" si="1"/>
        <v>-9.6018914278591661E-3</v>
      </c>
      <c r="I17" t="s">
        <v>159</v>
      </c>
    </row>
    <row r="18" spans="2:17" ht="15.75" thickBot="1" x14ac:dyDescent="0.3">
      <c r="B18" s="81">
        <v>45872</v>
      </c>
      <c r="C18" s="80">
        <v>30415</v>
      </c>
      <c r="D18" s="34">
        <f t="shared" si="0"/>
        <v>4.9342105263150415E-4</v>
      </c>
      <c r="F18" s="82">
        <v>24363.3</v>
      </c>
      <c r="G18" s="34">
        <f t="shared" si="1"/>
        <v>-1.0880465099284198E-2</v>
      </c>
    </row>
    <row r="19" spans="2:17" x14ac:dyDescent="0.25">
      <c r="B19" s="81">
        <v>45865</v>
      </c>
      <c r="C19" s="80">
        <v>30675</v>
      </c>
      <c r="D19" s="34">
        <f t="shared" si="0"/>
        <v>8.5484136117046639E-3</v>
      </c>
      <c r="F19" s="82">
        <v>24565.35</v>
      </c>
      <c r="G19" s="34">
        <f t="shared" si="1"/>
        <v>8.2932115107559046E-3</v>
      </c>
      <c r="I19" s="90" t="s">
        <v>160</v>
      </c>
      <c r="J19" s="90"/>
    </row>
    <row r="20" spans="2:17" x14ac:dyDescent="0.25">
      <c r="B20" s="81">
        <v>45858</v>
      </c>
      <c r="C20" s="80">
        <v>30950</v>
      </c>
      <c r="D20" s="34">
        <f t="shared" si="0"/>
        <v>8.9649551752242207E-3</v>
      </c>
      <c r="F20" s="82">
        <v>24837</v>
      </c>
      <c r="G20" s="34">
        <f t="shared" si="1"/>
        <v>1.1058258889045103E-2</v>
      </c>
      <c r="I20" s="87" t="s">
        <v>161</v>
      </c>
      <c r="J20" s="87">
        <v>0.43772361705348628</v>
      </c>
    </row>
    <row r="21" spans="2:17" x14ac:dyDescent="0.25">
      <c r="B21" s="81">
        <v>45851</v>
      </c>
      <c r="C21" s="80">
        <v>30790</v>
      </c>
      <c r="D21" s="34">
        <f t="shared" si="0"/>
        <v>-5.1696284329564302E-3</v>
      </c>
      <c r="F21" s="82">
        <v>24968.400000000001</v>
      </c>
      <c r="G21" s="34">
        <f t="shared" si="1"/>
        <v>5.2904940210170004E-3</v>
      </c>
      <c r="I21" s="87" t="s">
        <v>162</v>
      </c>
      <c r="J21" s="87">
        <v>0.19160196492638712</v>
      </c>
    </row>
    <row r="22" spans="2:17" x14ac:dyDescent="0.25">
      <c r="B22" s="81">
        <v>45844</v>
      </c>
      <c r="C22" s="80">
        <v>31210</v>
      </c>
      <c r="D22" s="34">
        <f t="shared" si="0"/>
        <v>1.3640792465086093E-2</v>
      </c>
      <c r="F22" s="82">
        <v>25149.85</v>
      </c>
      <c r="G22" s="34">
        <f t="shared" si="1"/>
        <v>7.267185722753533E-3</v>
      </c>
      <c r="I22" s="87" t="s">
        <v>163</v>
      </c>
      <c r="J22" s="87">
        <v>0.18359802398506422</v>
      </c>
    </row>
    <row r="23" spans="2:17" x14ac:dyDescent="0.25">
      <c r="B23" s="81">
        <v>45837</v>
      </c>
      <c r="C23" s="80">
        <v>31315</v>
      </c>
      <c r="D23" s="34">
        <f t="shared" si="0"/>
        <v>3.3643063120794015E-3</v>
      </c>
      <c r="F23" s="82">
        <v>25461</v>
      </c>
      <c r="G23" s="34">
        <f t="shared" si="1"/>
        <v>1.2371843172026997E-2</v>
      </c>
      <c r="I23" s="87" t="s">
        <v>164</v>
      </c>
      <c r="J23" s="87">
        <v>2.8980395776017014E-2</v>
      </c>
    </row>
    <row r="24" spans="2:17" ht="15.75" thickBot="1" x14ac:dyDescent="0.3">
      <c r="B24" s="81">
        <v>45830</v>
      </c>
      <c r="C24" s="80">
        <v>31030</v>
      </c>
      <c r="D24" s="34">
        <f t="shared" si="0"/>
        <v>-9.1010697748682423E-3</v>
      </c>
      <c r="F24" s="82">
        <v>25637.8</v>
      </c>
      <c r="G24" s="34">
        <f t="shared" si="1"/>
        <v>6.9439534975059836E-3</v>
      </c>
      <c r="I24" s="88" t="s">
        <v>165</v>
      </c>
      <c r="J24" s="88">
        <v>103</v>
      </c>
    </row>
    <row r="25" spans="2:17" x14ac:dyDescent="0.25">
      <c r="B25" s="81">
        <v>45823</v>
      </c>
      <c r="C25" s="80">
        <v>28875</v>
      </c>
      <c r="D25" s="34">
        <f t="shared" si="0"/>
        <v>-6.9448920399613256E-2</v>
      </c>
      <c r="F25" s="82">
        <v>25112.400000000001</v>
      </c>
      <c r="G25" s="34">
        <f t="shared" si="1"/>
        <v>-2.0493178041797622E-2</v>
      </c>
    </row>
    <row r="26" spans="2:17" ht="15.75" thickBot="1" x14ac:dyDescent="0.3">
      <c r="B26" s="81">
        <v>45816</v>
      </c>
      <c r="C26" s="80">
        <v>29610</v>
      </c>
      <c r="D26" s="34">
        <f t="shared" si="0"/>
        <v>2.5454545454545396E-2</v>
      </c>
      <c r="F26" s="82">
        <v>24718.6</v>
      </c>
      <c r="G26" s="34">
        <f t="shared" si="1"/>
        <v>-1.568149599401103E-2</v>
      </c>
      <c r="I26" t="s">
        <v>166</v>
      </c>
    </row>
    <row r="27" spans="2:17" x14ac:dyDescent="0.25">
      <c r="B27" s="81">
        <v>45809</v>
      </c>
      <c r="C27" s="80">
        <v>29600</v>
      </c>
      <c r="D27" s="34">
        <f t="shared" si="0"/>
        <v>-3.3772374197904576E-4</v>
      </c>
      <c r="F27" s="82">
        <v>25003.05</v>
      </c>
      <c r="G27" s="34">
        <f t="shared" si="1"/>
        <v>1.1507528743537332E-2</v>
      </c>
      <c r="I27" s="89"/>
      <c r="J27" s="89" t="s">
        <v>170</v>
      </c>
      <c r="K27" s="89" t="s">
        <v>171</v>
      </c>
      <c r="L27" s="89" t="s">
        <v>172</v>
      </c>
      <c r="M27" s="89" t="s">
        <v>173</v>
      </c>
      <c r="N27" s="89" t="s">
        <v>174</v>
      </c>
    </row>
    <row r="28" spans="2:17" x14ac:dyDescent="0.25">
      <c r="B28" s="81">
        <v>45802</v>
      </c>
      <c r="C28" s="80">
        <v>29595</v>
      </c>
      <c r="D28" s="34">
        <f t="shared" si="0"/>
        <v>-1.6891891891890332E-4</v>
      </c>
      <c r="F28" s="82">
        <v>24750.7</v>
      </c>
      <c r="G28" s="34">
        <f t="shared" si="1"/>
        <v>-1.0092768682220754E-2</v>
      </c>
      <c r="I28" s="87" t="s">
        <v>167</v>
      </c>
      <c r="J28" s="87">
        <v>1</v>
      </c>
      <c r="K28" s="87">
        <v>2.0105029168237032E-2</v>
      </c>
      <c r="L28" s="87">
        <v>2.0105029168237032E-2</v>
      </c>
      <c r="M28" s="87">
        <v>23.938453110914502</v>
      </c>
      <c r="N28" s="87">
        <v>3.769609034527158E-6</v>
      </c>
    </row>
    <row r="29" spans="2:17" x14ac:dyDescent="0.25">
      <c r="B29" s="81">
        <v>45795</v>
      </c>
      <c r="C29" s="80">
        <v>31495</v>
      </c>
      <c r="D29" s="34">
        <f t="shared" si="0"/>
        <v>6.4200033789491462E-2</v>
      </c>
      <c r="F29" s="82">
        <v>24853.15</v>
      </c>
      <c r="G29" s="34">
        <f t="shared" si="1"/>
        <v>4.139276868937003E-3</v>
      </c>
      <c r="I29" s="87" t="s">
        <v>168</v>
      </c>
      <c r="J29" s="87">
        <v>101</v>
      </c>
      <c r="K29" s="87">
        <v>8.4826197272793058E-2</v>
      </c>
      <c r="L29" s="87">
        <v>8.3986333933458478E-4</v>
      </c>
      <c r="M29" s="87"/>
      <c r="N29" s="87"/>
    </row>
    <row r="30" spans="2:17" ht="15.75" thickBot="1" x14ac:dyDescent="0.3">
      <c r="B30" s="81">
        <v>45788</v>
      </c>
      <c r="C30" s="80">
        <v>31615</v>
      </c>
      <c r="D30" s="34">
        <f t="shared" si="0"/>
        <v>3.8101285918399341E-3</v>
      </c>
      <c r="F30" s="82">
        <v>25019.8</v>
      </c>
      <c r="G30" s="34">
        <f t="shared" si="1"/>
        <v>6.705387445856914E-3</v>
      </c>
      <c r="I30" s="88" t="s">
        <v>12</v>
      </c>
      <c r="J30" s="88">
        <v>102</v>
      </c>
      <c r="K30" s="88">
        <v>0.10493122644103009</v>
      </c>
      <c r="L30" s="88"/>
      <c r="M30" s="88"/>
      <c r="N30" s="88"/>
    </row>
    <row r="31" spans="2:17" ht="15.75" thickBot="1" x14ac:dyDescent="0.3">
      <c r="B31" s="81">
        <v>45781</v>
      </c>
      <c r="C31" s="80">
        <v>29230</v>
      </c>
      <c r="D31" s="34">
        <f t="shared" si="0"/>
        <v>-7.5438873952237917E-2</v>
      </c>
      <c r="F31" s="82">
        <v>24008</v>
      </c>
      <c r="G31" s="34">
        <f t="shared" si="1"/>
        <v>-4.0439971542538311E-2</v>
      </c>
    </row>
    <row r="32" spans="2:17" x14ac:dyDescent="0.25">
      <c r="B32" s="81">
        <v>45774</v>
      </c>
      <c r="C32" s="80">
        <v>29335</v>
      </c>
      <c r="D32" s="34">
        <f t="shared" si="0"/>
        <v>3.5921997947314654E-3</v>
      </c>
      <c r="F32" s="82">
        <v>24346.7</v>
      </c>
      <c r="G32" s="34">
        <f t="shared" si="1"/>
        <v>1.4107797400866318E-2</v>
      </c>
      <c r="I32" s="89"/>
      <c r="J32" s="89" t="s">
        <v>175</v>
      </c>
      <c r="K32" s="89" t="s">
        <v>164</v>
      </c>
      <c r="L32" s="89" t="s">
        <v>176</v>
      </c>
      <c r="M32" s="89" t="s">
        <v>177</v>
      </c>
      <c r="N32" s="89" t="s">
        <v>178</v>
      </c>
      <c r="O32" s="89" t="s">
        <v>179</v>
      </c>
      <c r="P32" s="89" t="s">
        <v>180</v>
      </c>
      <c r="Q32" s="89" t="s">
        <v>181</v>
      </c>
    </row>
    <row r="33" spans="2:17" x14ac:dyDescent="0.25">
      <c r="B33" s="81">
        <v>45767</v>
      </c>
      <c r="C33" s="80">
        <v>30540</v>
      </c>
      <c r="D33" s="34">
        <f t="shared" si="0"/>
        <v>4.1077211522072554E-2</v>
      </c>
      <c r="F33" s="82">
        <v>24039.35</v>
      </c>
      <c r="G33" s="34">
        <f t="shared" si="1"/>
        <v>-1.2623887426222113E-2</v>
      </c>
      <c r="I33" s="87" t="s">
        <v>169</v>
      </c>
      <c r="J33" s="87">
        <v>1.392248600557472E-3</v>
      </c>
      <c r="K33" s="87">
        <v>2.8763879635244952E-3</v>
      </c>
      <c r="L33" s="87">
        <v>0.48402670926613189</v>
      </c>
      <c r="M33" s="87">
        <v>0.62941478299317022</v>
      </c>
      <c r="N33" s="87">
        <v>-4.3137313792144033E-3</v>
      </c>
      <c r="O33" s="87">
        <v>7.0982285803293478E-3</v>
      </c>
      <c r="P33" s="87">
        <v>-4.3137313792144033E-3</v>
      </c>
      <c r="Q33" s="87">
        <v>7.0982285803293478E-3</v>
      </c>
    </row>
    <row r="34" spans="2:17" ht="15.75" thickBot="1" x14ac:dyDescent="0.3">
      <c r="B34" s="81">
        <v>45760</v>
      </c>
      <c r="C34" s="80">
        <v>31000</v>
      </c>
      <c r="D34" s="34">
        <f t="shared" si="0"/>
        <v>1.5062213490504295E-2</v>
      </c>
      <c r="F34" s="82">
        <v>23851.65</v>
      </c>
      <c r="G34" s="34">
        <f t="shared" si="1"/>
        <v>-7.8080314151587338E-3</v>
      </c>
      <c r="I34" s="88" t="s">
        <v>182</v>
      </c>
      <c r="J34" s="88">
        <v>0.80764538070758396</v>
      </c>
      <c r="K34" s="88">
        <v>0.1650717182497026</v>
      </c>
      <c r="L34" s="88">
        <v>4.8926938501110504</v>
      </c>
      <c r="M34" s="88">
        <v>3.7696090345271855E-6</v>
      </c>
      <c r="N34" s="88">
        <v>0.48018749550449646</v>
      </c>
      <c r="O34" s="88">
        <v>1.1351032659106715</v>
      </c>
      <c r="P34" s="88">
        <v>0.48018749550449646</v>
      </c>
      <c r="Q34" s="88">
        <v>1.1351032659106715</v>
      </c>
    </row>
    <row r="35" spans="2:17" x14ac:dyDescent="0.25">
      <c r="B35" s="81">
        <v>45753</v>
      </c>
      <c r="C35" s="80">
        <v>30107.95</v>
      </c>
      <c r="D35" s="34">
        <f t="shared" si="0"/>
        <v>-2.8775806451612929E-2</v>
      </c>
      <c r="F35" s="82">
        <v>22828.55</v>
      </c>
      <c r="G35" s="34">
        <f t="shared" si="1"/>
        <v>-4.2894307102443685E-2</v>
      </c>
    </row>
    <row r="36" spans="2:17" x14ac:dyDescent="0.25">
      <c r="B36" s="81">
        <v>45746</v>
      </c>
      <c r="C36" s="80">
        <v>30694.5</v>
      </c>
      <c r="D36" s="34">
        <f t="shared" si="0"/>
        <v>1.9481565500141906E-2</v>
      </c>
      <c r="F36" s="82">
        <v>22904.45</v>
      </c>
      <c r="G36" s="34">
        <f t="shared" si="1"/>
        <v>3.3247840971064591E-3</v>
      </c>
    </row>
    <row r="37" spans="2:17" x14ac:dyDescent="0.25">
      <c r="B37" s="81">
        <v>45739</v>
      </c>
      <c r="C37" s="80">
        <v>30502.95</v>
      </c>
      <c r="D37" s="34">
        <f t="shared" si="0"/>
        <v>-6.2405316913453079E-3</v>
      </c>
      <c r="F37" s="82">
        <v>23519.35</v>
      </c>
      <c r="G37" s="34">
        <f t="shared" si="1"/>
        <v>2.6846311524616251E-2</v>
      </c>
    </row>
    <row r="38" spans="2:17" x14ac:dyDescent="0.25">
      <c r="B38" s="81">
        <v>45732</v>
      </c>
      <c r="C38" s="80">
        <v>28987.4</v>
      </c>
      <c r="D38" s="34">
        <f t="shared" si="0"/>
        <v>-4.9685358301410187E-2</v>
      </c>
      <c r="F38" s="82">
        <v>23350.400000000001</v>
      </c>
      <c r="G38" s="34">
        <f t="shared" si="1"/>
        <v>-7.1834468214468927E-3</v>
      </c>
    </row>
    <row r="39" spans="2:17" x14ac:dyDescent="0.25">
      <c r="B39" s="81">
        <v>45725</v>
      </c>
      <c r="C39" s="80">
        <v>27495.15</v>
      </c>
      <c r="D39" s="34">
        <f t="shared" si="0"/>
        <v>-5.1479263404099695E-2</v>
      </c>
      <c r="F39" s="82">
        <v>22397.200000000001</v>
      </c>
      <c r="G39" s="34">
        <f t="shared" si="1"/>
        <v>-4.0821570508428162E-2</v>
      </c>
    </row>
    <row r="40" spans="2:17" x14ac:dyDescent="0.25">
      <c r="B40" s="81">
        <v>45718</v>
      </c>
      <c r="C40" s="80">
        <v>27985.200000000001</v>
      </c>
      <c r="D40" s="34">
        <f t="shared" si="0"/>
        <v>1.7823143354373405E-2</v>
      </c>
      <c r="F40" s="82">
        <v>22552.5</v>
      </c>
      <c r="G40" s="34">
        <f t="shared" si="1"/>
        <v>6.9339024520922443E-3</v>
      </c>
    </row>
    <row r="41" spans="2:17" x14ac:dyDescent="0.25">
      <c r="B41" s="81">
        <v>45711</v>
      </c>
      <c r="C41" s="80">
        <v>27284</v>
      </c>
      <c r="D41" s="34">
        <f t="shared" si="0"/>
        <v>-2.5056101082000515E-2</v>
      </c>
      <c r="F41" s="82">
        <v>22124.7</v>
      </c>
      <c r="G41" s="34">
        <f t="shared" si="1"/>
        <v>-1.8969072164948475E-2</v>
      </c>
    </row>
    <row r="42" spans="2:17" x14ac:dyDescent="0.25">
      <c r="B42" s="81">
        <v>45704</v>
      </c>
      <c r="C42" s="80">
        <v>28405.7</v>
      </c>
      <c r="D42" s="34">
        <f t="shared" si="0"/>
        <v>4.1112007037091391E-2</v>
      </c>
      <c r="F42" s="82">
        <v>22795.9</v>
      </c>
      <c r="G42" s="34">
        <f t="shared" si="1"/>
        <v>3.0337134514818231E-2</v>
      </c>
    </row>
    <row r="43" spans="2:17" x14ac:dyDescent="0.25">
      <c r="B43" s="81">
        <v>45697</v>
      </c>
      <c r="C43" s="80">
        <v>28556.05</v>
      </c>
      <c r="D43" s="34">
        <f t="shared" si="0"/>
        <v>5.2929517667228421E-3</v>
      </c>
      <c r="F43" s="82">
        <v>22929.25</v>
      </c>
      <c r="G43" s="34">
        <f t="shared" si="1"/>
        <v>5.8497361367613188E-3</v>
      </c>
    </row>
    <row r="44" spans="2:17" x14ac:dyDescent="0.25">
      <c r="B44" s="81">
        <v>45690</v>
      </c>
      <c r="C44" s="80">
        <v>28249.1</v>
      </c>
      <c r="D44" s="34">
        <f t="shared" si="0"/>
        <v>-1.0749035668448537E-2</v>
      </c>
      <c r="F44" s="82">
        <v>23559.95</v>
      </c>
      <c r="G44" s="34">
        <f t="shared" si="1"/>
        <v>2.7506351058146361E-2</v>
      </c>
    </row>
    <row r="45" spans="2:17" x14ac:dyDescent="0.25">
      <c r="B45" s="81">
        <v>45683</v>
      </c>
      <c r="C45" s="80">
        <v>27795.9</v>
      </c>
      <c r="D45" s="34">
        <f t="shared" si="0"/>
        <v>-1.6042988980179751E-2</v>
      </c>
      <c r="F45" s="82">
        <v>23508.400000000001</v>
      </c>
      <c r="G45" s="34">
        <f t="shared" si="1"/>
        <v>-2.188035203809835E-3</v>
      </c>
    </row>
    <row r="46" spans="2:17" x14ac:dyDescent="0.25">
      <c r="B46" s="81">
        <v>45676</v>
      </c>
      <c r="C46" s="80">
        <v>25783.15</v>
      </c>
      <c r="D46" s="34">
        <f t="shared" si="0"/>
        <v>-7.2411758568709739E-2</v>
      </c>
      <c r="F46" s="82">
        <v>23092.2</v>
      </c>
      <c r="G46" s="34">
        <f t="shared" si="1"/>
        <v>-1.7704309948784247E-2</v>
      </c>
    </row>
    <row r="47" spans="2:17" x14ac:dyDescent="0.25">
      <c r="B47" s="81">
        <v>45669</v>
      </c>
      <c r="C47" s="80">
        <v>25315.45</v>
      </c>
      <c r="D47" s="34">
        <f t="shared" si="0"/>
        <v>-1.8139754064185332E-2</v>
      </c>
      <c r="F47" s="82">
        <v>23203.200000000001</v>
      </c>
      <c r="G47" s="34">
        <f t="shared" si="1"/>
        <v>4.8068178865590117E-3</v>
      </c>
    </row>
    <row r="48" spans="2:17" x14ac:dyDescent="0.25">
      <c r="B48" s="81">
        <v>45662</v>
      </c>
      <c r="C48" s="80">
        <v>25738.3</v>
      </c>
      <c r="D48" s="34">
        <f t="shared" si="0"/>
        <v>1.6703238536150744E-2</v>
      </c>
      <c r="F48" s="82">
        <v>23431.5</v>
      </c>
      <c r="G48" s="34">
        <f t="shared" si="1"/>
        <v>9.8391601158460684E-3</v>
      </c>
    </row>
    <row r="49" spans="2:7" x14ac:dyDescent="0.25">
      <c r="B49" s="81">
        <v>45655</v>
      </c>
      <c r="C49" s="80">
        <v>26096.25</v>
      </c>
      <c r="D49" s="34">
        <f t="shared" si="0"/>
        <v>1.3907289914252274E-2</v>
      </c>
      <c r="F49" s="82">
        <v>24004.75</v>
      </c>
      <c r="G49" s="34">
        <f t="shared" si="1"/>
        <v>2.4464929688666981E-2</v>
      </c>
    </row>
    <row r="50" spans="2:7" x14ac:dyDescent="0.25">
      <c r="B50" s="81">
        <v>45648</v>
      </c>
      <c r="C50" s="80">
        <v>26049</v>
      </c>
      <c r="D50" s="34">
        <f t="shared" si="0"/>
        <v>-1.8106049719787132E-3</v>
      </c>
      <c r="F50" s="82">
        <v>23813.4</v>
      </c>
      <c r="G50" s="34">
        <f t="shared" si="1"/>
        <v>-7.9713390058216982E-3</v>
      </c>
    </row>
    <row r="51" spans="2:7" x14ac:dyDescent="0.25">
      <c r="B51" s="81">
        <v>45641</v>
      </c>
      <c r="C51" s="80">
        <v>27063.5</v>
      </c>
      <c r="D51" s="34">
        <f t="shared" si="0"/>
        <v>3.8945832853468421E-2</v>
      </c>
      <c r="F51" s="82">
        <v>23587.5</v>
      </c>
      <c r="G51" s="34">
        <f t="shared" si="1"/>
        <v>-9.4862556375822082E-3</v>
      </c>
    </row>
    <row r="52" spans="2:7" x14ac:dyDescent="0.25">
      <c r="B52" s="81">
        <v>45634</v>
      </c>
      <c r="C52" s="80">
        <v>27591.45</v>
      </c>
      <c r="D52" s="34">
        <f t="shared" si="0"/>
        <v>1.9507824191253853E-2</v>
      </c>
      <c r="F52" s="82">
        <v>24768.3</v>
      </c>
      <c r="G52" s="34">
        <f t="shared" si="1"/>
        <v>5.0060413354531041E-2</v>
      </c>
    </row>
    <row r="53" spans="2:7" x14ac:dyDescent="0.25">
      <c r="B53" s="81">
        <v>45627</v>
      </c>
      <c r="C53" s="80">
        <v>27076.65</v>
      </c>
      <c r="D53" s="34">
        <f t="shared" si="0"/>
        <v>-1.8657953822651563E-2</v>
      </c>
      <c r="F53" s="82">
        <v>24677.8</v>
      </c>
      <c r="G53" s="34">
        <f t="shared" si="1"/>
        <v>-3.653864011660013E-3</v>
      </c>
    </row>
    <row r="54" spans="2:7" x14ac:dyDescent="0.25">
      <c r="B54" s="81">
        <v>45620</v>
      </c>
      <c r="C54" s="80">
        <v>26076.45</v>
      </c>
      <c r="D54" s="34">
        <f t="shared" si="0"/>
        <v>-3.6939577089484921E-2</v>
      </c>
      <c r="F54" s="82">
        <v>24131.1</v>
      </c>
      <c r="G54" s="34">
        <f t="shared" si="1"/>
        <v>-2.2153514494809179E-2</v>
      </c>
    </row>
    <row r="55" spans="2:7" x14ac:dyDescent="0.25">
      <c r="B55" s="81">
        <v>45613</v>
      </c>
      <c r="C55" s="80">
        <v>24794.75</v>
      </c>
      <c r="D55" s="34">
        <f t="shared" si="0"/>
        <v>-4.9151629151974352E-2</v>
      </c>
      <c r="F55" s="82">
        <v>23907.25</v>
      </c>
      <c r="G55" s="34">
        <f t="shared" si="1"/>
        <v>-9.2764109385812255E-3</v>
      </c>
    </row>
    <row r="56" spans="2:7" x14ac:dyDescent="0.25">
      <c r="B56" s="81">
        <v>45606</v>
      </c>
      <c r="C56" s="80">
        <v>24091.7</v>
      </c>
      <c r="D56" s="34">
        <f t="shared" si="0"/>
        <v>-2.8354792849292654E-2</v>
      </c>
      <c r="F56" s="82">
        <v>23532.7</v>
      </c>
      <c r="G56" s="34">
        <f t="shared" si="1"/>
        <v>-1.5666795637306663E-2</v>
      </c>
    </row>
    <row r="57" spans="2:7" x14ac:dyDescent="0.25">
      <c r="B57" s="81">
        <v>45599</v>
      </c>
      <c r="C57" s="80">
        <v>24533</v>
      </c>
      <c r="D57" s="34">
        <f t="shared" si="0"/>
        <v>1.831751184017727E-2</v>
      </c>
      <c r="F57" s="82">
        <v>24148.2</v>
      </c>
      <c r="G57" s="34">
        <f t="shared" si="1"/>
        <v>2.6155094825498049E-2</v>
      </c>
    </row>
    <row r="58" spans="2:7" x14ac:dyDescent="0.25">
      <c r="B58" s="81">
        <v>45592</v>
      </c>
      <c r="C58" s="80">
        <v>25241.05</v>
      </c>
      <c r="D58" s="34">
        <f t="shared" si="0"/>
        <v>2.8861125830514034E-2</v>
      </c>
      <c r="F58" s="82">
        <v>24304.35</v>
      </c>
      <c r="G58" s="34">
        <f t="shared" si="1"/>
        <v>6.4663204710908584E-3</v>
      </c>
    </row>
    <row r="59" spans="2:7" x14ac:dyDescent="0.25">
      <c r="B59" s="81">
        <v>45585</v>
      </c>
      <c r="C59" s="80">
        <v>24956.799999999999</v>
      </c>
      <c r="D59" s="34">
        <f t="shared" si="0"/>
        <v>-1.1261417413301E-2</v>
      </c>
      <c r="F59" s="82">
        <v>24180.799999999999</v>
      </c>
      <c r="G59" s="34">
        <f t="shared" si="1"/>
        <v>-5.0834521392261189E-3</v>
      </c>
    </row>
    <row r="60" spans="2:7" x14ac:dyDescent="0.25">
      <c r="B60" s="81">
        <v>45578</v>
      </c>
      <c r="C60" s="80">
        <v>24325.25</v>
      </c>
      <c r="D60" s="34">
        <f t="shared" si="0"/>
        <v>-2.5305728298499752E-2</v>
      </c>
      <c r="F60" s="82">
        <v>24854.05</v>
      </c>
      <c r="G60" s="34">
        <f t="shared" si="1"/>
        <v>2.7842337722490562E-2</v>
      </c>
    </row>
    <row r="61" spans="2:7" x14ac:dyDescent="0.25">
      <c r="B61" s="81">
        <v>45571</v>
      </c>
      <c r="C61" s="80">
        <v>24337.05</v>
      </c>
      <c r="D61" s="34">
        <f t="shared" si="0"/>
        <v>4.8509265064078377E-4</v>
      </c>
      <c r="F61" s="82">
        <v>24964.25</v>
      </c>
      <c r="G61" s="34">
        <f t="shared" si="1"/>
        <v>4.4338850207512603E-3</v>
      </c>
    </row>
    <row r="62" spans="2:7" x14ac:dyDescent="0.25">
      <c r="B62" s="81">
        <v>45564</v>
      </c>
      <c r="C62" s="80">
        <v>26034.2</v>
      </c>
      <c r="D62" s="34">
        <f t="shared" si="0"/>
        <v>6.9735239069649069E-2</v>
      </c>
      <c r="F62" s="82">
        <v>25014.6</v>
      </c>
      <c r="G62" s="34">
        <f t="shared" si="1"/>
        <v>2.0168841443264363E-3</v>
      </c>
    </row>
    <row r="63" spans="2:7" x14ac:dyDescent="0.25">
      <c r="B63" s="81">
        <v>45557</v>
      </c>
      <c r="C63" s="80">
        <v>26247.9</v>
      </c>
      <c r="D63" s="34">
        <f t="shared" si="0"/>
        <v>8.2084335220595772E-3</v>
      </c>
      <c r="F63" s="82">
        <v>26178.95</v>
      </c>
      <c r="G63" s="34">
        <f t="shared" si="1"/>
        <v>4.6546816659071233E-2</v>
      </c>
    </row>
    <row r="64" spans="2:7" x14ac:dyDescent="0.25">
      <c r="B64" s="81">
        <v>45550</v>
      </c>
      <c r="C64" s="80">
        <v>25141.7</v>
      </c>
      <c r="D64" s="34">
        <f t="shared" si="0"/>
        <v>-4.2144323926866512E-2</v>
      </c>
      <c r="F64" s="82">
        <v>25790.95</v>
      </c>
      <c r="G64" s="34">
        <f t="shared" si="1"/>
        <v>-1.4821068071866894E-2</v>
      </c>
    </row>
    <row r="65" spans="2:7" x14ac:dyDescent="0.25">
      <c r="B65" s="81">
        <v>45543</v>
      </c>
      <c r="C65" s="80">
        <v>25883.1</v>
      </c>
      <c r="D65" s="34">
        <f t="shared" si="0"/>
        <v>2.9488857157630388E-2</v>
      </c>
      <c r="F65" s="82">
        <v>25356.5</v>
      </c>
      <c r="G65" s="34">
        <f t="shared" si="1"/>
        <v>-1.684505611464493E-2</v>
      </c>
    </row>
    <row r="66" spans="2:7" x14ac:dyDescent="0.25">
      <c r="B66" s="81">
        <v>45536</v>
      </c>
      <c r="C66" s="80">
        <v>25610.45</v>
      </c>
      <c r="D66" s="34">
        <f t="shared" si="0"/>
        <v>-1.0533900498781001E-2</v>
      </c>
      <c r="F66" s="82">
        <v>24852.15</v>
      </c>
      <c r="G66" s="34">
        <f t="shared" si="1"/>
        <v>-1.9890363417664036E-2</v>
      </c>
    </row>
    <row r="67" spans="2:7" x14ac:dyDescent="0.25">
      <c r="B67" s="81">
        <v>45529</v>
      </c>
      <c r="C67" s="80">
        <v>25482</v>
      </c>
      <c r="D67" s="34">
        <f t="shared" si="0"/>
        <v>-5.0155307696663209E-3</v>
      </c>
      <c r="F67" s="82">
        <v>25235.9</v>
      </c>
      <c r="G67" s="34">
        <f t="shared" si="1"/>
        <v>1.544131996628062E-2</v>
      </c>
    </row>
    <row r="68" spans="2:7" x14ac:dyDescent="0.25">
      <c r="B68" s="81">
        <v>45522</v>
      </c>
      <c r="C68" s="80">
        <v>24706.05</v>
      </c>
      <c r="D68" s="34">
        <f t="shared" si="0"/>
        <v>-3.045090652225102E-2</v>
      </c>
      <c r="F68" s="82">
        <v>24823.15</v>
      </c>
      <c r="G68" s="34">
        <f t="shared" si="1"/>
        <v>-1.6355667917530181E-2</v>
      </c>
    </row>
    <row r="69" spans="2:7" x14ac:dyDescent="0.25">
      <c r="B69" s="81">
        <v>45515</v>
      </c>
      <c r="C69" s="80">
        <v>24642.85</v>
      </c>
      <c r="D69" s="34">
        <f t="shared" si="0"/>
        <v>-2.5580778797096304E-3</v>
      </c>
      <c r="F69" s="82">
        <v>24541.15</v>
      </c>
      <c r="G69" s="34">
        <f t="shared" si="1"/>
        <v>-1.1360363209342861E-2</v>
      </c>
    </row>
    <row r="70" spans="2:7" x14ac:dyDescent="0.25">
      <c r="B70" s="81">
        <v>45508</v>
      </c>
      <c r="C70" s="80">
        <v>24296.6</v>
      </c>
      <c r="D70" s="34">
        <f t="shared" si="0"/>
        <v>-1.4050728710356175E-2</v>
      </c>
      <c r="F70" s="82">
        <v>24367.5</v>
      </c>
      <c r="G70" s="34">
        <f t="shared" si="1"/>
        <v>-7.0758705276647849E-3</v>
      </c>
    </row>
    <row r="71" spans="2:7" x14ac:dyDescent="0.25">
      <c r="B71" s="81">
        <v>45501</v>
      </c>
      <c r="C71" s="80">
        <v>27295.35</v>
      </c>
      <c r="D71" s="34">
        <f t="shared" si="0"/>
        <v>0.12342261880263083</v>
      </c>
      <c r="F71" s="82">
        <v>24717.7</v>
      </c>
      <c r="G71" s="34">
        <f t="shared" si="1"/>
        <v>1.4371601518415877E-2</v>
      </c>
    </row>
    <row r="72" spans="2:7" x14ac:dyDescent="0.25">
      <c r="B72" s="81">
        <v>45494</v>
      </c>
      <c r="C72" s="80">
        <v>27566.75</v>
      </c>
      <c r="D72" s="34">
        <f t="shared" si="0"/>
        <v>9.9430855438746857E-3</v>
      </c>
      <c r="F72" s="82">
        <v>24834.85</v>
      </c>
      <c r="G72" s="34">
        <f t="shared" si="1"/>
        <v>4.7395186445340354E-3</v>
      </c>
    </row>
    <row r="73" spans="2:7" x14ac:dyDescent="0.25">
      <c r="B73" s="81">
        <v>45487</v>
      </c>
      <c r="C73" s="80">
        <v>27284.15</v>
      </c>
      <c r="D73" s="34">
        <f t="shared" si="0"/>
        <v>-1.0251480497338261E-2</v>
      </c>
      <c r="F73" s="82">
        <v>24530.9</v>
      </c>
      <c r="G73" s="34">
        <f t="shared" si="1"/>
        <v>-1.2238849842056476E-2</v>
      </c>
    </row>
    <row r="74" spans="2:7" x14ac:dyDescent="0.25">
      <c r="B74" s="81">
        <v>45480</v>
      </c>
      <c r="C74" s="80">
        <v>27665.5</v>
      </c>
      <c r="D74" s="34">
        <f t="shared" si="0"/>
        <v>1.3976979308499615E-2</v>
      </c>
      <c r="F74" s="82">
        <v>24502.15</v>
      </c>
      <c r="G74" s="34">
        <f t="shared" si="1"/>
        <v>-1.1719912436967128E-3</v>
      </c>
    </row>
    <row r="75" spans="2:7" x14ac:dyDescent="0.25">
      <c r="B75" s="81">
        <v>45473</v>
      </c>
      <c r="C75" s="80">
        <v>27528.7</v>
      </c>
      <c r="D75" s="34">
        <f t="shared" si="0"/>
        <v>-4.9447868283601926E-3</v>
      </c>
      <c r="F75" s="82">
        <v>24323.85</v>
      </c>
      <c r="G75" s="34">
        <f t="shared" si="1"/>
        <v>-7.2769124342150215E-3</v>
      </c>
    </row>
    <row r="76" spans="2:7" x14ac:dyDescent="0.25">
      <c r="B76" s="81">
        <v>45466</v>
      </c>
      <c r="C76" s="80">
        <v>27870.400000000001</v>
      </c>
      <c r="D76" s="34">
        <f t="shared" ref="D76:D113" si="2">C76/C75-1</f>
        <v>1.2412500408664373E-2</v>
      </c>
      <c r="F76" s="82">
        <v>24010.6</v>
      </c>
      <c r="G76" s="34">
        <f t="shared" ref="G76:G113" si="3">F76/F75-1</f>
        <v>-1.2878306682535867E-2</v>
      </c>
    </row>
    <row r="77" spans="2:7" x14ac:dyDescent="0.25">
      <c r="B77" s="81">
        <v>45459</v>
      </c>
      <c r="C77" s="80">
        <v>27403.8</v>
      </c>
      <c r="D77" s="34">
        <f t="shared" si="2"/>
        <v>-1.6741776221367521E-2</v>
      </c>
      <c r="F77" s="82">
        <v>23501.1</v>
      </c>
      <c r="G77" s="34">
        <f t="shared" si="3"/>
        <v>-2.1219794590722429E-2</v>
      </c>
    </row>
    <row r="78" spans="2:7" x14ac:dyDescent="0.25">
      <c r="B78" s="81">
        <v>45452</v>
      </c>
      <c r="C78" s="80">
        <v>27538</v>
      </c>
      <c r="D78" s="34">
        <f t="shared" si="2"/>
        <v>4.8971310548171498E-3</v>
      </c>
      <c r="F78" s="82">
        <v>23465.599999999999</v>
      </c>
      <c r="G78" s="34">
        <f t="shared" si="3"/>
        <v>-1.5105675904532045E-3</v>
      </c>
    </row>
    <row r="79" spans="2:7" x14ac:dyDescent="0.25">
      <c r="B79" s="81">
        <v>45445</v>
      </c>
      <c r="C79" s="80">
        <v>26077.5</v>
      </c>
      <c r="D79" s="34">
        <f t="shared" si="2"/>
        <v>-5.3035805069358677E-2</v>
      </c>
      <c r="F79" s="82">
        <v>23290.15</v>
      </c>
      <c r="G79" s="34">
        <f t="shared" si="3"/>
        <v>-7.4769023591980677E-3</v>
      </c>
    </row>
    <row r="80" spans="2:7" x14ac:dyDescent="0.25">
      <c r="B80" s="81">
        <v>45438</v>
      </c>
      <c r="C80" s="80">
        <v>24680.6</v>
      </c>
      <c r="D80" s="34">
        <f t="shared" si="2"/>
        <v>-5.3567251461988374E-2</v>
      </c>
      <c r="F80" s="82">
        <v>22530.7</v>
      </c>
      <c r="G80" s="34">
        <f t="shared" si="3"/>
        <v>-3.2608205614820029E-2</v>
      </c>
    </row>
    <row r="81" spans="2:7" x14ac:dyDescent="0.25">
      <c r="B81" s="81">
        <v>45431</v>
      </c>
      <c r="C81" s="80">
        <v>25456.45</v>
      </c>
      <c r="D81" s="34">
        <f t="shared" si="2"/>
        <v>3.143562150028778E-2</v>
      </c>
      <c r="F81" s="82">
        <v>22957.1</v>
      </c>
      <c r="G81" s="34">
        <f t="shared" si="3"/>
        <v>1.8925288606212787E-2</v>
      </c>
    </row>
    <row r="82" spans="2:7" x14ac:dyDescent="0.25">
      <c r="B82" s="81">
        <v>45424</v>
      </c>
      <c r="C82" s="80">
        <v>26305.8</v>
      </c>
      <c r="D82" s="34">
        <f t="shared" si="2"/>
        <v>3.3364825024698952E-2</v>
      </c>
      <c r="F82" s="82">
        <v>22466.1</v>
      </c>
      <c r="G82" s="34">
        <f t="shared" si="3"/>
        <v>-2.1387718832082458E-2</v>
      </c>
    </row>
    <row r="83" spans="2:7" x14ac:dyDescent="0.25">
      <c r="B83" s="81">
        <v>45417</v>
      </c>
      <c r="C83" s="80">
        <v>25661.25</v>
      </c>
      <c r="D83" s="34">
        <f t="shared" si="2"/>
        <v>-2.4502201035513038E-2</v>
      </c>
      <c r="F83" s="82">
        <v>22055.200000000001</v>
      </c>
      <c r="G83" s="34">
        <f t="shared" si="3"/>
        <v>-1.8289778822314418E-2</v>
      </c>
    </row>
    <row r="84" spans="2:7" x14ac:dyDescent="0.25">
      <c r="B84" s="81">
        <v>45410</v>
      </c>
      <c r="C84" s="80">
        <v>25746.55</v>
      </c>
      <c r="D84" s="34">
        <f t="shared" si="2"/>
        <v>3.3240781333723213E-3</v>
      </c>
      <c r="F84" s="82">
        <v>22475.85</v>
      </c>
      <c r="G84" s="34">
        <f t="shared" si="3"/>
        <v>1.9072599659037293E-2</v>
      </c>
    </row>
    <row r="85" spans="2:7" x14ac:dyDescent="0.25">
      <c r="B85" s="81">
        <v>45403</v>
      </c>
      <c r="C85" s="80">
        <v>24140.5</v>
      </c>
      <c r="D85" s="34">
        <f t="shared" si="2"/>
        <v>-6.2379231392167056E-2</v>
      </c>
      <c r="F85" s="82">
        <v>22419.95</v>
      </c>
      <c r="G85" s="34">
        <f t="shared" si="3"/>
        <v>-2.4871139467471659E-3</v>
      </c>
    </row>
    <row r="86" spans="2:7" x14ac:dyDescent="0.25">
      <c r="B86" s="81">
        <v>45396</v>
      </c>
      <c r="C86" s="80">
        <v>24368.75</v>
      </c>
      <c r="D86" s="34">
        <f t="shared" si="2"/>
        <v>9.4550651394957885E-3</v>
      </c>
      <c r="F86" s="82">
        <v>22147</v>
      </c>
      <c r="G86" s="34">
        <f t="shared" si="3"/>
        <v>-1.2174425009868428E-2</v>
      </c>
    </row>
    <row r="87" spans="2:7" x14ac:dyDescent="0.25">
      <c r="B87" s="81">
        <v>45389</v>
      </c>
      <c r="C87" s="80">
        <v>25491.15</v>
      </c>
      <c r="D87" s="34">
        <f t="shared" si="2"/>
        <v>4.605898948448317E-2</v>
      </c>
      <c r="F87" s="82">
        <v>22519.4</v>
      </c>
      <c r="G87" s="34">
        <f t="shared" si="3"/>
        <v>1.6814918499119536E-2</v>
      </c>
    </row>
    <row r="88" spans="2:7" x14ac:dyDescent="0.25">
      <c r="B88" s="81">
        <v>45382</v>
      </c>
      <c r="C88" s="80">
        <v>25811.05</v>
      </c>
      <c r="D88" s="34">
        <f t="shared" si="2"/>
        <v>1.2549453437761704E-2</v>
      </c>
      <c r="F88" s="82">
        <v>22513.7</v>
      </c>
      <c r="G88" s="34">
        <f t="shared" si="3"/>
        <v>-2.5311509187642134E-4</v>
      </c>
    </row>
    <row r="89" spans="2:7" x14ac:dyDescent="0.25">
      <c r="B89" s="81">
        <v>45375</v>
      </c>
      <c r="C89" s="80">
        <v>25682.85</v>
      </c>
      <c r="D89" s="34">
        <f t="shared" si="2"/>
        <v>-4.9668649667488074E-3</v>
      </c>
      <c r="F89" s="82">
        <v>22326.9</v>
      </c>
      <c r="G89" s="34">
        <f t="shared" si="3"/>
        <v>-8.2971701674979803E-3</v>
      </c>
    </row>
    <row r="90" spans="2:7" x14ac:dyDescent="0.25">
      <c r="B90" s="81">
        <v>45368</v>
      </c>
      <c r="C90" s="80">
        <v>25366.05</v>
      </c>
      <c r="D90" s="34">
        <f t="shared" si="2"/>
        <v>-1.2335079634853585E-2</v>
      </c>
      <c r="F90" s="82">
        <v>22096.75</v>
      </c>
      <c r="G90" s="34">
        <f t="shared" si="3"/>
        <v>-1.0308193255669229E-2</v>
      </c>
    </row>
    <row r="91" spans="2:7" x14ac:dyDescent="0.25">
      <c r="B91" s="81">
        <v>45361</v>
      </c>
      <c r="C91" s="80">
        <v>25070.45</v>
      </c>
      <c r="D91" s="34">
        <f t="shared" si="2"/>
        <v>-1.1653371336885265E-2</v>
      </c>
      <c r="F91" s="82">
        <v>22023.35</v>
      </c>
      <c r="G91" s="34">
        <f t="shared" si="3"/>
        <v>-3.3217554617761547E-3</v>
      </c>
    </row>
    <row r="92" spans="2:7" x14ac:dyDescent="0.25">
      <c r="B92" s="81">
        <v>45354</v>
      </c>
      <c r="C92" s="80">
        <v>24705.9</v>
      </c>
      <c r="D92" s="34">
        <f t="shared" si="2"/>
        <v>-1.4541023396069885E-2</v>
      </c>
      <c r="F92" s="82">
        <v>22493.55</v>
      </c>
      <c r="G92" s="34">
        <f t="shared" si="3"/>
        <v>2.1350067087886337E-2</v>
      </c>
    </row>
    <row r="93" spans="2:7" x14ac:dyDescent="0.25">
      <c r="B93" s="81">
        <v>45347</v>
      </c>
      <c r="C93" s="80">
        <v>25637.8</v>
      </c>
      <c r="D93" s="34">
        <f t="shared" si="2"/>
        <v>3.7719734962093909E-2</v>
      </c>
      <c r="F93" s="82">
        <v>22338.75</v>
      </c>
      <c r="G93" s="34">
        <f t="shared" si="3"/>
        <v>-6.8819728322118134E-3</v>
      </c>
    </row>
    <row r="94" spans="2:7" x14ac:dyDescent="0.25">
      <c r="B94" s="81">
        <v>45340</v>
      </c>
      <c r="C94" s="80">
        <v>26489.65</v>
      </c>
      <c r="D94" s="34">
        <f t="shared" si="2"/>
        <v>3.3226329872298122E-2</v>
      </c>
      <c r="F94" s="82">
        <v>22212.7</v>
      </c>
      <c r="G94" s="34">
        <f t="shared" si="3"/>
        <v>-5.6426612948351496E-3</v>
      </c>
    </row>
    <row r="95" spans="2:7" x14ac:dyDescent="0.25">
      <c r="B95" s="81">
        <v>45333</v>
      </c>
      <c r="C95" s="80">
        <v>26298</v>
      </c>
      <c r="D95" s="34">
        <f t="shared" si="2"/>
        <v>-7.2349011783847672E-3</v>
      </c>
      <c r="F95" s="82">
        <v>22040.7</v>
      </c>
      <c r="G95" s="34">
        <f t="shared" si="3"/>
        <v>-7.7433180117680855E-3</v>
      </c>
    </row>
    <row r="96" spans="2:7" x14ac:dyDescent="0.25">
      <c r="B96" s="81">
        <v>45326</v>
      </c>
      <c r="C96" s="80">
        <v>27630.1</v>
      </c>
      <c r="D96" s="34">
        <f t="shared" si="2"/>
        <v>5.065404213248148E-2</v>
      </c>
      <c r="F96" s="82">
        <v>21782.5</v>
      </c>
      <c r="G96" s="34">
        <f t="shared" si="3"/>
        <v>-1.1714691457167858E-2</v>
      </c>
    </row>
    <row r="97" spans="2:7" x14ac:dyDescent="0.25">
      <c r="B97" s="81">
        <v>45319</v>
      </c>
      <c r="C97" s="80">
        <v>28453.95</v>
      </c>
      <c r="D97" s="34">
        <f t="shared" si="2"/>
        <v>2.9817119735361164E-2</v>
      </c>
      <c r="F97" s="82">
        <v>21853.8</v>
      </c>
      <c r="G97" s="34">
        <f t="shared" si="3"/>
        <v>3.273269826695735E-3</v>
      </c>
    </row>
    <row r="98" spans="2:7" x14ac:dyDescent="0.25">
      <c r="B98" s="81">
        <v>45312</v>
      </c>
      <c r="C98" s="80">
        <v>27948.799999999999</v>
      </c>
      <c r="D98" s="34">
        <f t="shared" si="2"/>
        <v>-1.7753246912994514E-2</v>
      </c>
      <c r="F98" s="82">
        <v>21352.6</v>
      </c>
      <c r="G98" s="34">
        <f t="shared" si="3"/>
        <v>-2.2934226541837188E-2</v>
      </c>
    </row>
    <row r="99" spans="2:7" x14ac:dyDescent="0.25">
      <c r="B99" s="81">
        <v>45305</v>
      </c>
      <c r="C99" s="80">
        <v>26649.5</v>
      </c>
      <c r="D99" s="34">
        <f t="shared" si="2"/>
        <v>-4.6488579116097939E-2</v>
      </c>
      <c r="F99" s="82">
        <v>21622.400000000001</v>
      </c>
      <c r="G99" s="34">
        <f t="shared" si="3"/>
        <v>1.2635463596939234E-2</v>
      </c>
    </row>
    <row r="100" spans="2:7" x14ac:dyDescent="0.25">
      <c r="B100" s="81">
        <v>45298</v>
      </c>
      <c r="C100" s="80">
        <v>26874</v>
      </c>
      <c r="D100" s="34">
        <f t="shared" si="2"/>
        <v>8.4241730614083021E-3</v>
      </c>
      <c r="F100" s="82">
        <v>21894.55</v>
      </c>
      <c r="G100" s="34">
        <f t="shared" si="3"/>
        <v>1.2586484386561958E-2</v>
      </c>
    </row>
    <row r="101" spans="2:7" x14ac:dyDescent="0.25">
      <c r="B101" s="81">
        <v>45291</v>
      </c>
      <c r="C101" s="80">
        <v>27023.3</v>
      </c>
      <c r="D101" s="34">
        <f t="shared" si="2"/>
        <v>5.5555555555555358E-3</v>
      </c>
      <c r="F101" s="82">
        <v>21710.799999999999</v>
      </c>
      <c r="G101" s="34">
        <f t="shared" si="3"/>
        <v>-8.3924995033010097E-3</v>
      </c>
    </row>
    <row r="102" spans="2:7" x14ac:dyDescent="0.25">
      <c r="B102" s="81">
        <v>45284</v>
      </c>
      <c r="C102" s="80">
        <v>28653.3</v>
      </c>
      <c r="D102" s="34">
        <f t="shared" si="2"/>
        <v>6.031831789603781E-2</v>
      </c>
      <c r="F102" s="82">
        <v>21731.4</v>
      </c>
      <c r="G102" s="34">
        <f t="shared" si="3"/>
        <v>9.4883652375776784E-4</v>
      </c>
    </row>
    <row r="103" spans="2:7" x14ac:dyDescent="0.25">
      <c r="B103" s="81">
        <v>45277</v>
      </c>
      <c r="C103" s="80">
        <v>28186.55</v>
      </c>
      <c r="D103" s="34">
        <f t="shared" si="2"/>
        <v>-1.6289572230772764E-2</v>
      </c>
      <c r="F103" s="82">
        <v>21349.4</v>
      </c>
      <c r="G103" s="34">
        <f t="shared" si="3"/>
        <v>-1.7578250825993735E-2</v>
      </c>
    </row>
    <row r="104" spans="2:7" x14ac:dyDescent="0.25">
      <c r="B104" s="81">
        <v>45270</v>
      </c>
      <c r="C104" s="80">
        <v>28758.9</v>
      </c>
      <c r="D104" s="34">
        <f t="shared" si="2"/>
        <v>2.0305784141727345E-2</v>
      </c>
      <c r="F104" s="82">
        <v>21456.65</v>
      </c>
      <c r="G104" s="34">
        <f t="shared" si="3"/>
        <v>5.023560381087977E-3</v>
      </c>
    </row>
    <row r="105" spans="2:7" x14ac:dyDescent="0.25">
      <c r="B105" s="81">
        <v>45263</v>
      </c>
      <c r="C105" s="80">
        <v>27670.25</v>
      </c>
      <c r="D105" s="34">
        <f t="shared" si="2"/>
        <v>-3.7854368560689133E-2</v>
      </c>
      <c r="F105" s="82">
        <v>20969.400000000001</v>
      </c>
      <c r="G105" s="34">
        <f t="shared" si="3"/>
        <v>-2.2708577527246754E-2</v>
      </c>
    </row>
    <row r="106" spans="2:7" x14ac:dyDescent="0.25">
      <c r="B106" s="81">
        <v>45256</v>
      </c>
      <c r="C106" s="80">
        <v>27026.55</v>
      </c>
      <c r="D106" s="34">
        <f t="shared" si="2"/>
        <v>-2.3263252048680516E-2</v>
      </c>
      <c r="F106" s="82">
        <v>20267.900000000001</v>
      </c>
      <c r="G106" s="34">
        <f t="shared" si="3"/>
        <v>-3.3453508445639879E-2</v>
      </c>
    </row>
    <row r="107" spans="2:7" x14ac:dyDescent="0.25">
      <c r="B107" s="81">
        <v>45249</v>
      </c>
      <c r="C107" s="80">
        <v>25645.4</v>
      </c>
      <c r="D107" s="34">
        <f t="shared" si="2"/>
        <v>-5.110345197592725E-2</v>
      </c>
      <c r="F107" s="82">
        <v>19794.7</v>
      </c>
      <c r="G107" s="34">
        <f t="shared" si="3"/>
        <v>-2.3347263406667706E-2</v>
      </c>
    </row>
    <row r="108" spans="2:7" x14ac:dyDescent="0.25">
      <c r="B108" s="81">
        <v>45242</v>
      </c>
      <c r="C108" s="80">
        <v>26199.8</v>
      </c>
      <c r="D108" s="34">
        <f t="shared" si="2"/>
        <v>2.1617911984215477E-2</v>
      </c>
      <c r="F108" s="82">
        <v>19731.8</v>
      </c>
      <c r="G108" s="34">
        <f t="shared" si="3"/>
        <v>-3.1776182513502116E-3</v>
      </c>
    </row>
    <row r="109" spans="2:7" x14ac:dyDescent="0.25">
      <c r="B109" s="81">
        <v>45235</v>
      </c>
      <c r="C109" s="80">
        <v>26358.5</v>
      </c>
      <c r="D109" s="34">
        <f t="shared" si="2"/>
        <v>6.0572981473141496E-3</v>
      </c>
      <c r="F109" s="82">
        <v>19425.349999999999</v>
      </c>
      <c r="G109" s="34">
        <f t="shared" si="3"/>
        <v>-1.5530767593427863E-2</v>
      </c>
    </row>
    <row r="110" spans="2:7" x14ac:dyDescent="0.25">
      <c r="B110" s="81">
        <v>45228</v>
      </c>
      <c r="C110" s="80">
        <v>25957.85</v>
      </c>
      <c r="D110" s="34">
        <f t="shared" si="2"/>
        <v>-1.5200030350740801E-2</v>
      </c>
      <c r="F110" s="82">
        <v>19230.599999999999</v>
      </c>
      <c r="G110" s="34">
        <f t="shared" si="3"/>
        <v>-1.0025559385030358E-2</v>
      </c>
    </row>
    <row r="111" spans="2:7" x14ac:dyDescent="0.25">
      <c r="B111" s="81">
        <v>45221</v>
      </c>
      <c r="C111" s="80">
        <v>25514.5</v>
      </c>
      <c r="D111" s="34">
        <f t="shared" si="2"/>
        <v>-1.7079611755210777E-2</v>
      </c>
      <c r="F111" s="82">
        <v>19047.25</v>
      </c>
      <c r="G111" s="34">
        <f t="shared" si="3"/>
        <v>-9.5342839016983039E-3</v>
      </c>
    </row>
    <row r="112" spans="2:7" x14ac:dyDescent="0.25">
      <c r="B112" s="81">
        <v>45214</v>
      </c>
      <c r="C112" s="80">
        <v>26084.65</v>
      </c>
      <c r="D112" s="34">
        <f t="shared" si="2"/>
        <v>2.2346116913911862E-2</v>
      </c>
      <c r="F112" s="82">
        <v>19542.650000000001</v>
      </c>
      <c r="G112" s="34">
        <f t="shared" si="3"/>
        <v>2.6009003924451157E-2</v>
      </c>
    </row>
    <row r="113" spans="2:7" x14ac:dyDescent="0.25">
      <c r="B113" s="81">
        <v>45207</v>
      </c>
      <c r="C113" s="80">
        <v>26851.15</v>
      </c>
      <c r="D113" s="34">
        <f t="shared" si="2"/>
        <v>2.9385098132426624E-2</v>
      </c>
      <c r="F113" s="82">
        <v>19751.05</v>
      </c>
      <c r="G113" s="34">
        <f t="shared" si="3"/>
        <v>1.0663855720692839E-2</v>
      </c>
    </row>
    <row r="114" spans="2:7" x14ac:dyDescent="0.25">
      <c r="C114" s="80"/>
    </row>
  </sheetData>
  <mergeCells count="3">
    <mergeCell ref="B7:D7"/>
    <mergeCell ref="F7:G7"/>
    <mergeCell ref="I7:J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486CE-C5F7-468A-A610-0827A706E575}">
  <sheetPr>
    <tabColor rgb="FF002060"/>
  </sheetPr>
  <dimension ref="B5:Q113"/>
  <sheetViews>
    <sheetView showGridLines="0" zoomScale="80" zoomScaleNormal="80" workbookViewId="0">
      <selection activeCell="B7" sqref="B7:D7"/>
    </sheetView>
  </sheetViews>
  <sheetFormatPr defaultRowHeight="15" x14ac:dyDescent="0.25"/>
  <cols>
    <col min="1" max="1" width="1.85546875" customWidth="1"/>
    <col min="2" max="2" width="15.7109375" bestFit="1" customWidth="1"/>
    <col min="3" max="3" width="12.28515625" customWidth="1"/>
    <col min="4" max="4" width="16" customWidth="1"/>
    <col min="6" max="6" width="12.28515625" bestFit="1" customWidth="1"/>
    <col min="7" max="7" width="15.28515625" bestFit="1" customWidth="1"/>
    <col min="9" max="9" width="20.85546875" bestFit="1" customWidth="1"/>
    <col min="10" max="10" width="12.7109375" bestFit="1" customWidth="1"/>
    <col min="11" max="11" width="14.5703125" bestFit="1" customWidth="1"/>
    <col min="12" max="13" width="12" bestFit="1" customWidth="1"/>
    <col min="14" max="14" width="13.42578125" bestFit="1" customWidth="1"/>
    <col min="15" max="15" width="12" bestFit="1" customWidth="1"/>
    <col min="16" max="16" width="12.7109375" bestFit="1" customWidth="1"/>
    <col min="17" max="17" width="12.5703125" bestFit="1" customWidth="1"/>
  </cols>
  <sheetData>
    <row r="5" spans="2:10" s="28" customFormat="1" x14ac:dyDescent="0.25">
      <c r="B5" s="65" t="s">
        <v>153</v>
      </c>
      <c r="C5" s="54"/>
      <c r="D5" s="54"/>
      <c r="E5" s="54"/>
      <c r="F5" s="54"/>
      <c r="G5" s="54"/>
      <c r="H5" s="54"/>
      <c r="I5" s="54"/>
      <c r="J5" s="54"/>
    </row>
    <row r="6" spans="2:10" s="28" customFormat="1" x14ac:dyDescent="0.25">
      <c r="B6" s="83"/>
    </row>
    <row r="7" spans="2:10" x14ac:dyDescent="0.25">
      <c r="B7" s="208" t="str">
        <f>WACC!B14&amp;" Returns"</f>
        <v>Ambuja Cements Returns</v>
      </c>
      <c r="C7" s="208"/>
      <c r="D7" s="208"/>
      <c r="F7" s="208" t="s">
        <v>151</v>
      </c>
      <c r="G7" s="208"/>
      <c r="I7" s="208" t="s">
        <v>152</v>
      </c>
      <c r="J7" s="208"/>
    </row>
    <row r="8" spans="2:10" s="28" customFormat="1" x14ac:dyDescent="0.25"/>
    <row r="9" spans="2:10" x14ac:dyDescent="0.25">
      <c r="B9" s="84" t="s">
        <v>148</v>
      </c>
      <c r="C9" s="85" t="s">
        <v>149</v>
      </c>
      <c r="D9" s="85" t="s">
        <v>150</v>
      </c>
      <c r="E9" s="15"/>
      <c r="F9" s="85" t="s">
        <v>149</v>
      </c>
      <c r="G9" s="85" t="s">
        <v>150</v>
      </c>
      <c r="I9" s="86" t="s">
        <v>154</v>
      </c>
      <c r="J9" s="14">
        <f>J34</f>
        <v>1.0716281188018857</v>
      </c>
    </row>
    <row r="10" spans="2:10" x14ac:dyDescent="0.25">
      <c r="B10" s="81">
        <v>45928</v>
      </c>
      <c r="C10" s="82">
        <v>576.15</v>
      </c>
      <c r="F10" s="82">
        <v>24894.25</v>
      </c>
      <c r="I10" s="20" t="s">
        <v>155</v>
      </c>
      <c r="J10" s="91">
        <v>0.75</v>
      </c>
    </row>
    <row r="11" spans="2:10" x14ac:dyDescent="0.25">
      <c r="B11" s="81">
        <v>45921</v>
      </c>
      <c r="C11" s="82">
        <v>565.20000000000005</v>
      </c>
      <c r="D11" s="34">
        <f>C11/C10-1</f>
        <v>-1.9005467326216996E-2</v>
      </c>
      <c r="F11" s="82">
        <v>24654.7</v>
      </c>
      <c r="G11" s="34">
        <f>F11/F10-1</f>
        <v>-9.6227040380810758E-3</v>
      </c>
    </row>
    <row r="12" spans="2:10" x14ac:dyDescent="0.25">
      <c r="B12" s="81">
        <v>45914</v>
      </c>
      <c r="C12" s="82">
        <v>582.45000000000005</v>
      </c>
      <c r="D12" s="34">
        <f t="shared" ref="D12:D75" si="0">C12/C11-1</f>
        <v>3.0520169851379952E-2</v>
      </c>
      <c r="F12" s="82">
        <v>25327.05</v>
      </c>
      <c r="G12" s="34">
        <f t="shared" ref="G12:G75" si="1">F12/F11-1</f>
        <v>2.7270662388915623E-2</v>
      </c>
      <c r="I12" s="20" t="s">
        <v>156</v>
      </c>
      <c r="J12" s="92">
        <v>1</v>
      </c>
    </row>
    <row r="13" spans="2:10" x14ac:dyDescent="0.25">
      <c r="B13" s="81">
        <v>45907</v>
      </c>
      <c r="C13" s="82">
        <v>560.54999999999995</v>
      </c>
      <c r="D13" s="34">
        <f t="shared" si="0"/>
        <v>-3.759979397373181E-2</v>
      </c>
      <c r="F13" s="82">
        <v>25114</v>
      </c>
      <c r="G13" s="34">
        <f t="shared" si="1"/>
        <v>-8.4119548072120187E-3</v>
      </c>
      <c r="I13" s="20" t="s">
        <v>157</v>
      </c>
      <c r="J13" s="91">
        <v>0.25</v>
      </c>
    </row>
    <row r="14" spans="2:10" x14ac:dyDescent="0.25">
      <c r="B14" s="81">
        <v>45900</v>
      </c>
      <c r="C14" s="82">
        <v>566.70000000000005</v>
      </c>
      <c r="D14" s="34">
        <f t="shared" si="0"/>
        <v>1.0971367407011101E-2</v>
      </c>
      <c r="F14" s="82">
        <v>24741</v>
      </c>
      <c r="G14" s="34">
        <f t="shared" si="1"/>
        <v>-1.4852273632236956E-2</v>
      </c>
    </row>
    <row r="15" spans="2:10" x14ac:dyDescent="0.25">
      <c r="B15" s="81">
        <v>45893</v>
      </c>
      <c r="C15" s="82">
        <v>563.20000000000005</v>
      </c>
      <c r="D15" s="34">
        <f t="shared" si="0"/>
        <v>-6.1761072878065981E-3</v>
      </c>
      <c r="F15" s="82">
        <v>24426.85</v>
      </c>
      <c r="G15" s="34">
        <f t="shared" si="1"/>
        <v>-1.2697546582595698E-2</v>
      </c>
      <c r="I15" s="93" t="s">
        <v>158</v>
      </c>
      <c r="J15" s="94">
        <f>(J9*J10)+(J12*J13)</f>
        <v>1.0537210891014142</v>
      </c>
    </row>
    <row r="16" spans="2:10" x14ac:dyDescent="0.25">
      <c r="B16" s="81">
        <v>45886</v>
      </c>
      <c r="C16" s="82">
        <v>577.15</v>
      </c>
      <c r="D16" s="34">
        <f t="shared" si="0"/>
        <v>2.4769176136363535E-2</v>
      </c>
      <c r="F16" s="82">
        <v>24870.1</v>
      </c>
      <c r="G16" s="34">
        <f t="shared" si="1"/>
        <v>1.8146015552557904E-2</v>
      </c>
    </row>
    <row r="17" spans="2:17" x14ac:dyDescent="0.25">
      <c r="B17" s="81">
        <v>45879</v>
      </c>
      <c r="C17" s="82">
        <v>578.04999999999995</v>
      </c>
      <c r="D17" s="34">
        <f t="shared" si="0"/>
        <v>1.5593866412544344E-3</v>
      </c>
      <c r="F17" s="82">
        <v>24631.3</v>
      </c>
      <c r="G17" s="34">
        <f t="shared" si="1"/>
        <v>-9.6018914278591661E-3</v>
      </c>
      <c r="I17" t="s">
        <v>159</v>
      </c>
    </row>
    <row r="18" spans="2:17" ht="15.75" thickBot="1" x14ac:dyDescent="0.3">
      <c r="B18" s="81">
        <v>45872</v>
      </c>
      <c r="C18" s="82">
        <v>580</v>
      </c>
      <c r="D18" s="34">
        <f t="shared" si="0"/>
        <v>3.3734106046190426E-3</v>
      </c>
      <c r="F18" s="82">
        <v>24363.3</v>
      </c>
      <c r="G18" s="34">
        <f t="shared" si="1"/>
        <v>-1.0880465099284198E-2</v>
      </c>
    </row>
    <row r="19" spans="2:17" x14ac:dyDescent="0.25">
      <c r="B19" s="81">
        <v>45865</v>
      </c>
      <c r="C19" s="82">
        <v>607.95000000000005</v>
      </c>
      <c r="D19" s="34">
        <f t="shared" si="0"/>
        <v>4.8189655172413914E-2</v>
      </c>
      <c r="F19" s="82">
        <v>24565.35</v>
      </c>
      <c r="G19" s="34">
        <f t="shared" si="1"/>
        <v>8.2932115107559046E-3</v>
      </c>
      <c r="I19" s="90" t="s">
        <v>160</v>
      </c>
      <c r="J19" s="90"/>
    </row>
    <row r="20" spans="2:17" x14ac:dyDescent="0.25">
      <c r="B20" s="81">
        <v>45858</v>
      </c>
      <c r="C20" s="82">
        <v>613.1</v>
      </c>
      <c r="D20" s="34">
        <f t="shared" si="0"/>
        <v>8.4710913726457893E-3</v>
      </c>
      <c r="F20" s="82">
        <v>24837</v>
      </c>
      <c r="G20" s="34">
        <f t="shared" si="1"/>
        <v>1.1058258889045103E-2</v>
      </c>
      <c r="I20" s="87" t="s">
        <v>161</v>
      </c>
      <c r="J20" s="87">
        <v>0.50260007100774251</v>
      </c>
    </row>
    <row r="21" spans="2:17" x14ac:dyDescent="0.25">
      <c r="B21" s="81">
        <v>45851</v>
      </c>
      <c r="C21" s="82">
        <v>596.70000000000005</v>
      </c>
      <c r="D21" s="34">
        <f t="shared" si="0"/>
        <v>-2.6749306801500561E-2</v>
      </c>
      <c r="F21" s="82">
        <v>24968.400000000001</v>
      </c>
      <c r="G21" s="34">
        <f t="shared" si="1"/>
        <v>5.2904940210170004E-3</v>
      </c>
      <c r="I21" s="87" t="s">
        <v>162</v>
      </c>
      <c r="J21" s="87">
        <v>0.25260683137698781</v>
      </c>
    </row>
    <row r="22" spans="2:17" x14ac:dyDescent="0.25">
      <c r="B22" s="81">
        <v>45844</v>
      </c>
      <c r="C22" s="82">
        <v>587.15</v>
      </c>
      <c r="D22" s="34">
        <f t="shared" si="0"/>
        <v>-1.6004692475280802E-2</v>
      </c>
      <c r="F22" s="82">
        <v>25149.85</v>
      </c>
      <c r="G22" s="34">
        <f t="shared" si="1"/>
        <v>7.267185722753533E-3</v>
      </c>
      <c r="I22" s="87" t="s">
        <v>163</v>
      </c>
      <c r="J22" s="87">
        <v>0.24520689901438375</v>
      </c>
    </row>
    <row r="23" spans="2:17" x14ac:dyDescent="0.25">
      <c r="B23" s="81">
        <v>45837</v>
      </c>
      <c r="C23" s="82">
        <v>595.75</v>
      </c>
      <c r="D23" s="34">
        <f t="shared" si="0"/>
        <v>1.4647023758835198E-2</v>
      </c>
      <c r="F23" s="82">
        <v>25461</v>
      </c>
      <c r="G23" s="34">
        <f t="shared" si="1"/>
        <v>1.2371843172026997E-2</v>
      </c>
      <c r="I23" s="87" t="s">
        <v>164</v>
      </c>
      <c r="J23" s="87">
        <v>3.2200830320742758E-2</v>
      </c>
    </row>
    <row r="24" spans="2:17" ht="15.75" thickBot="1" x14ac:dyDescent="0.3">
      <c r="B24" s="81">
        <v>45830</v>
      </c>
      <c r="C24" s="82">
        <v>574.95000000000005</v>
      </c>
      <c r="D24" s="34">
        <f t="shared" si="0"/>
        <v>-3.4913973982375057E-2</v>
      </c>
      <c r="F24" s="82">
        <v>25637.8</v>
      </c>
      <c r="G24" s="34">
        <f t="shared" si="1"/>
        <v>6.9439534975059836E-3</v>
      </c>
      <c r="I24" s="88" t="s">
        <v>165</v>
      </c>
      <c r="J24" s="88">
        <v>103</v>
      </c>
    </row>
    <row r="25" spans="2:17" x14ac:dyDescent="0.25">
      <c r="B25" s="81">
        <v>45823</v>
      </c>
      <c r="C25" s="82">
        <v>533.45000000000005</v>
      </c>
      <c r="D25" s="34">
        <f t="shared" si="0"/>
        <v>-7.2180189581702803E-2</v>
      </c>
      <c r="F25" s="82">
        <v>25112.400000000001</v>
      </c>
      <c r="G25" s="34">
        <f t="shared" si="1"/>
        <v>-2.0493178041797622E-2</v>
      </c>
    </row>
    <row r="26" spans="2:17" ht="15.75" thickBot="1" x14ac:dyDescent="0.3">
      <c r="B26" s="81">
        <v>45816</v>
      </c>
      <c r="C26" s="82">
        <v>542.5</v>
      </c>
      <c r="D26" s="34">
        <f t="shared" si="0"/>
        <v>1.6965038897740925E-2</v>
      </c>
      <c r="F26" s="82">
        <v>24718.6</v>
      </c>
      <c r="G26" s="34">
        <f t="shared" si="1"/>
        <v>-1.568149599401103E-2</v>
      </c>
      <c r="I26" t="s">
        <v>166</v>
      </c>
    </row>
    <row r="27" spans="2:17" x14ac:dyDescent="0.25">
      <c r="B27" s="81">
        <v>45809</v>
      </c>
      <c r="C27" s="82">
        <v>555.15</v>
      </c>
      <c r="D27" s="34">
        <f t="shared" si="0"/>
        <v>2.3317972350230365E-2</v>
      </c>
      <c r="F27" s="82">
        <v>25003.05</v>
      </c>
      <c r="G27" s="34">
        <f t="shared" si="1"/>
        <v>1.1507528743537332E-2</v>
      </c>
      <c r="I27" s="89"/>
      <c r="J27" s="89" t="s">
        <v>170</v>
      </c>
      <c r="K27" s="89" t="s">
        <v>171</v>
      </c>
      <c r="L27" s="89" t="s">
        <v>172</v>
      </c>
      <c r="M27" s="89" t="s">
        <v>173</v>
      </c>
      <c r="N27" s="89" t="s">
        <v>174</v>
      </c>
    </row>
    <row r="28" spans="2:17" x14ac:dyDescent="0.25">
      <c r="B28" s="81">
        <v>45802</v>
      </c>
      <c r="C28" s="82">
        <v>553.5</v>
      </c>
      <c r="D28" s="34">
        <f t="shared" si="0"/>
        <v>-2.9721696838691525E-3</v>
      </c>
      <c r="F28" s="82">
        <v>24750.7</v>
      </c>
      <c r="G28" s="34">
        <f t="shared" si="1"/>
        <v>-1.0092768682220754E-2</v>
      </c>
      <c r="I28" s="87" t="s">
        <v>167</v>
      </c>
      <c r="J28" s="87">
        <v>1</v>
      </c>
      <c r="K28" s="87">
        <v>3.5395779575078903E-2</v>
      </c>
      <c r="L28" s="87">
        <v>3.5395779575078903E-2</v>
      </c>
      <c r="M28" s="87">
        <v>34.136370307051557</v>
      </c>
      <c r="N28" s="87">
        <v>6.3097537867999952E-8</v>
      </c>
    </row>
    <row r="29" spans="2:17" x14ac:dyDescent="0.25">
      <c r="B29" s="81">
        <v>45795</v>
      </c>
      <c r="C29" s="82">
        <v>570.9</v>
      </c>
      <c r="D29" s="34">
        <f t="shared" si="0"/>
        <v>3.1436314363143536E-2</v>
      </c>
      <c r="F29" s="82">
        <v>24853.15</v>
      </c>
      <c r="G29" s="34">
        <f t="shared" si="1"/>
        <v>4.139276868937003E-3</v>
      </c>
      <c r="I29" s="87" t="s">
        <v>168</v>
      </c>
      <c r="J29" s="87">
        <v>101</v>
      </c>
      <c r="K29" s="87">
        <v>0.10472624080787189</v>
      </c>
      <c r="L29" s="87">
        <v>1.0368934733452663E-3</v>
      </c>
      <c r="M29" s="87"/>
      <c r="N29" s="87"/>
    </row>
    <row r="30" spans="2:17" ht="15.75" thickBot="1" x14ac:dyDescent="0.3">
      <c r="B30" s="81">
        <v>45788</v>
      </c>
      <c r="C30" s="82">
        <v>563.5</v>
      </c>
      <c r="D30" s="34">
        <f t="shared" si="0"/>
        <v>-1.2961989840602484E-2</v>
      </c>
      <c r="F30" s="82">
        <v>25019.8</v>
      </c>
      <c r="G30" s="34">
        <f t="shared" si="1"/>
        <v>6.705387445856914E-3</v>
      </c>
      <c r="I30" s="88" t="s">
        <v>12</v>
      </c>
      <c r="J30" s="88">
        <v>102</v>
      </c>
      <c r="K30" s="88">
        <v>0.1401220203829508</v>
      </c>
      <c r="L30" s="88"/>
      <c r="M30" s="88"/>
      <c r="N30" s="88"/>
    </row>
    <row r="31" spans="2:17" ht="15.75" thickBot="1" x14ac:dyDescent="0.3">
      <c r="B31" s="81">
        <v>45781</v>
      </c>
      <c r="C31" s="82">
        <v>527.45000000000005</v>
      </c>
      <c r="D31" s="34">
        <f t="shared" si="0"/>
        <v>-6.3975155279503038E-2</v>
      </c>
      <c r="F31" s="82">
        <v>24008</v>
      </c>
      <c r="G31" s="34">
        <f t="shared" si="1"/>
        <v>-4.0439971542538311E-2</v>
      </c>
    </row>
    <row r="32" spans="2:17" x14ac:dyDescent="0.25">
      <c r="B32" s="81">
        <v>45774</v>
      </c>
      <c r="C32" s="82">
        <v>531.70000000000005</v>
      </c>
      <c r="D32" s="34">
        <f t="shared" si="0"/>
        <v>8.0576357948620725E-3</v>
      </c>
      <c r="F32" s="82">
        <v>24346.7</v>
      </c>
      <c r="G32" s="34">
        <f t="shared" si="1"/>
        <v>1.4107797400866318E-2</v>
      </c>
      <c r="I32" s="89"/>
      <c r="J32" s="89" t="s">
        <v>175</v>
      </c>
      <c r="K32" s="89" t="s">
        <v>164</v>
      </c>
      <c r="L32" s="89" t="s">
        <v>176</v>
      </c>
      <c r="M32" s="89" t="s">
        <v>177</v>
      </c>
      <c r="N32" s="89" t="s">
        <v>178</v>
      </c>
      <c r="O32" s="89" t="s">
        <v>179</v>
      </c>
      <c r="P32" s="89" t="s">
        <v>180</v>
      </c>
      <c r="Q32" s="89" t="s">
        <v>181</v>
      </c>
    </row>
    <row r="33" spans="2:17" x14ac:dyDescent="0.25">
      <c r="B33" s="81">
        <v>45767</v>
      </c>
      <c r="C33" s="82">
        <v>548.70000000000005</v>
      </c>
      <c r="D33" s="34">
        <f t="shared" si="0"/>
        <v>3.1972917058491701E-2</v>
      </c>
      <c r="F33" s="82">
        <v>24039.35</v>
      </c>
      <c r="G33" s="34">
        <f t="shared" si="1"/>
        <v>-1.2623887426222113E-2</v>
      </c>
      <c r="I33" s="87" t="s">
        <v>169</v>
      </c>
      <c r="J33" s="87">
        <v>3.1477339022399956E-4</v>
      </c>
      <c r="K33" s="87">
        <v>3.1960253913001879E-3</v>
      </c>
      <c r="L33" s="87">
        <v>9.8489014223990673E-2</v>
      </c>
      <c r="M33" s="87">
        <v>0.9217391970577048</v>
      </c>
      <c r="N33" s="87">
        <v>-6.0252812647315001E-3</v>
      </c>
      <c r="O33" s="87">
        <v>6.6548280451794997E-3</v>
      </c>
      <c r="P33" s="87">
        <v>-6.0252812647315001E-3</v>
      </c>
      <c r="Q33" s="87">
        <v>6.6548280451794997E-3</v>
      </c>
    </row>
    <row r="34" spans="2:17" ht="15.75" thickBot="1" x14ac:dyDescent="0.3">
      <c r="B34" s="81">
        <v>45760</v>
      </c>
      <c r="C34" s="82">
        <v>569.79999999999995</v>
      </c>
      <c r="D34" s="34">
        <f t="shared" si="0"/>
        <v>3.8454528886458839E-2</v>
      </c>
      <c r="F34" s="82">
        <v>23851.65</v>
      </c>
      <c r="G34" s="34">
        <f t="shared" si="1"/>
        <v>-7.8080314151587338E-3</v>
      </c>
      <c r="I34" s="88" t="s">
        <v>182</v>
      </c>
      <c r="J34" s="88">
        <v>1.0716281188018857</v>
      </c>
      <c r="K34" s="88">
        <v>0.18341524495365846</v>
      </c>
      <c r="L34" s="88">
        <v>5.842633850161377</v>
      </c>
      <c r="M34" s="88">
        <v>6.3097537867999952E-8</v>
      </c>
      <c r="N34" s="88">
        <v>0.70778161097261694</v>
      </c>
      <c r="O34" s="88">
        <v>1.4354746266311544</v>
      </c>
      <c r="P34" s="88">
        <v>0.70778161097261694</v>
      </c>
      <c r="Q34" s="88">
        <v>1.4354746266311544</v>
      </c>
    </row>
    <row r="35" spans="2:17" x14ac:dyDescent="0.25">
      <c r="B35" s="81">
        <v>45753</v>
      </c>
      <c r="C35" s="82">
        <v>548.65</v>
      </c>
      <c r="D35" s="34">
        <f t="shared" si="0"/>
        <v>-3.711828711828713E-2</v>
      </c>
      <c r="F35" s="82">
        <v>22828.55</v>
      </c>
      <c r="G35" s="34">
        <f t="shared" si="1"/>
        <v>-4.2894307102443685E-2</v>
      </c>
    </row>
    <row r="36" spans="2:17" x14ac:dyDescent="0.25">
      <c r="B36" s="81">
        <v>45746</v>
      </c>
      <c r="C36" s="82">
        <v>528.20000000000005</v>
      </c>
      <c r="D36" s="34">
        <f t="shared" si="0"/>
        <v>-3.7273307208602779E-2</v>
      </c>
      <c r="F36" s="82">
        <v>22904.45</v>
      </c>
      <c r="G36" s="34">
        <f t="shared" si="1"/>
        <v>3.3247840971064591E-3</v>
      </c>
    </row>
    <row r="37" spans="2:17" x14ac:dyDescent="0.25">
      <c r="B37" s="81">
        <v>45739</v>
      </c>
      <c r="C37" s="82">
        <v>538.35</v>
      </c>
      <c r="D37" s="34">
        <f t="shared" si="0"/>
        <v>1.9216205982582224E-2</v>
      </c>
      <c r="F37" s="82">
        <v>23519.35</v>
      </c>
      <c r="G37" s="34">
        <f t="shared" si="1"/>
        <v>2.6846311524616251E-2</v>
      </c>
    </row>
    <row r="38" spans="2:17" x14ac:dyDescent="0.25">
      <c r="B38" s="81">
        <v>45732</v>
      </c>
      <c r="C38" s="82">
        <v>514.5</v>
      </c>
      <c r="D38" s="34">
        <f t="shared" si="0"/>
        <v>-4.4302033992755674E-2</v>
      </c>
      <c r="F38" s="82">
        <v>23350.400000000001</v>
      </c>
      <c r="G38" s="34">
        <f t="shared" si="1"/>
        <v>-7.1834468214468927E-3</v>
      </c>
    </row>
    <row r="39" spans="2:17" x14ac:dyDescent="0.25">
      <c r="B39" s="81">
        <v>45725</v>
      </c>
      <c r="C39" s="82">
        <v>485.8</v>
      </c>
      <c r="D39" s="34">
        <f t="shared" si="0"/>
        <v>-5.5782312925169997E-2</v>
      </c>
      <c r="F39" s="82">
        <v>22397.200000000001</v>
      </c>
      <c r="G39" s="34">
        <f t="shared" si="1"/>
        <v>-4.0821570508428162E-2</v>
      </c>
    </row>
    <row r="40" spans="2:17" x14ac:dyDescent="0.25">
      <c r="B40" s="81">
        <v>45718</v>
      </c>
      <c r="C40" s="82">
        <v>499.8</v>
      </c>
      <c r="D40" s="34">
        <f t="shared" si="0"/>
        <v>2.8818443804034644E-2</v>
      </c>
      <c r="F40" s="82">
        <v>22552.5</v>
      </c>
      <c r="G40" s="34">
        <f t="shared" si="1"/>
        <v>6.9339024520922443E-3</v>
      </c>
    </row>
    <row r="41" spans="2:17" x14ac:dyDescent="0.25">
      <c r="B41" s="81">
        <v>45711</v>
      </c>
      <c r="C41" s="82">
        <v>464.95</v>
      </c>
      <c r="D41" s="34">
        <f t="shared" si="0"/>
        <v>-6.9727891156462607E-2</v>
      </c>
      <c r="F41" s="82">
        <v>22124.7</v>
      </c>
      <c r="G41" s="34">
        <f t="shared" si="1"/>
        <v>-1.8969072164948475E-2</v>
      </c>
    </row>
    <row r="42" spans="2:17" x14ac:dyDescent="0.25">
      <c r="B42" s="81">
        <v>45704</v>
      </c>
      <c r="C42" s="82">
        <v>481.95</v>
      </c>
      <c r="D42" s="34">
        <f t="shared" si="0"/>
        <v>3.6563071297988969E-2</v>
      </c>
      <c r="F42" s="82">
        <v>22795.9</v>
      </c>
      <c r="G42" s="34">
        <f t="shared" si="1"/>
        <v>3.0337134514818231E-2</v>
      </c>
    </row>
    <row r="43" spans="2:17" x14ac:dyDescent="0.25">
      <c r="B43" s="81">
        <v>45697</v>
      </c>
      <c r="C43" s="82">
        <v>489.5</v>
      </c>
      <c r="D43" s="34">
        <f t="shared" si="0"/>
        <v>1.5665525469447106E-2</v>
      </c>
      <c r="F43" s="82">
        <v>22929.25</v>
      </c>
      <c r="G43" s="34">
        <f t="shared" si="1"/>
        <v>5.8497361367613188E-3</v>
      </c>
    </row>
    <row r="44" spans="2:17" x14ac:dyDescent="0.25">
      <c r="B44" s="81">
        <v>45690</v>
      </c>
      <c r="C44" s="82">
        <v>512.75</v>
      </c>
      <c r="D44" s="34">
        <f t="shared" si="0"/>
        <v>4.7497446373850893E-2</v>
      </c>
      <c r="F44" s="82">
        <v>23559.95</v>
      </c>
      <c r="G44" s="34">
        <f t="shared" si="1"/>
        <v>2.7506351058146361E-2</v>
      </c>
    </row>
    <row r="45" spans="2:17" x14ac:dyDescent="0.25">
      <c r="B45" s="81">
        <v>45683</v>
      </c>
      <c r="C45" s="82">
        <v>512.79999999999995</v>
      </c>
      <c r="D45" s="34">
        <f t="shared" si="0"/>
        <v>9.7513408093607978E-5</v>
      </c>
      <c r="F45" s="82">
        <v>23508.400000000001</v>
      </c>
      <c r="G45" s="34">
        <f t="shared" si="1"/>
        <v>-2.188035203809835E-3</v>
      </c>
    </row>
    <row r="46" spans="2:17" x14ac:dyDescent="0.25">
      <c r="B46" s="81">
        <v>45676</v>
      </c>
      <c r="C46" s="82">
        <v>551.79999999999995</v>
      </c>
      <c r="D46" s="34">
        <f t="shared" si="0"/>
        <v>7.6053042121684955E-2</v>
      </c>
      <c r="F46" s="82">
        <v>23092.2</v>
      </c>
      <c r="G46" s="34">
        <f t="shared" si="1"/>
        <v>-1.7704309948784247E-2</v>
      </c>
    </row>
    <row r="47" spans="2:17" x14ac:dyDescent="0.25">
      <c r="B47" s="81">
        <v>45669</v>
      </c>
      <c r="C47" s="82">
        <v>536.25</v>
      </c>
      <c r="D47" s="34">
        <f t="shared" si="0"/>
        <v>-2.8180500181224977E-2</v>
      </c>
      <c r="F47" s="82">
        <v>23203.200000000001</v>
      </c>
      <c r="G47" s="34">
        <f t="shared" si="1"/>
        <v>4.8068178865590117E-3</v>
      </c>
    </row>
    <row r="48" spans="2:17" x14ac:dyDescent="0.25">
      <c r="B48" s="81">
        <v>45662</v>
      </c>
      <c r="C48" s="82">
        <v>511.25</v>
      </c>
      <c r="D48" s="34">
        <f t="shared" si="0"/>
        <v>-4.6620046620046596E-2</v>
      </c>
      <c r="F48" s="82">
        <v>23431.5</v>
      </c>
      <c r="G48" s="34">
        <f t="shared" si="1"/>
        <v>9.8391601158460684E-3</v>
      </c>
    </row>
    <row r="49" spans="2:7" x14ac:dyDescent="0.25">
      <c r="B49" s="81">
        <v>45655</v>
      </c>
      <c r="C49" s="82">
        <v>548.70000000000005</v>
      </c>
      <c r="D49" s="34">
        <f t="shared" si="0"/>
        <v>7.325183374083144E-2</v>
      </c>
      <c r="F49" s="82">
        <v>24004.75</v>
      </c>
      <c r="G49" s="34">
        <f t="shared" si="1"/>
        <v>2.4464929688666981E-2</v>
      </c>
    </row>
    <row r="50" spans="2:7" x14ac:dyDescent="0.25">
      <c r="B50" s="81">
        <v>45648</v>
      </c>
      <c r="C50" s="82">
        <v>547.95000000000005</v>
      </c>
      <c r="D50" s="34">
        <f t="shared" si="0"/>
        <v>-1.3668671405139277E-3</v>
      </c>
      <c r="F50" s="82">
        <v>23813.4</v>
      </c>
      <c r="G50" s="34">
        <f t="shared" si="1"/>
        <v>-7.9713390058216982E-3</v>
      </c>
    </row>
    <row r="51" spans="2:7" x14ac:dyDescent="0.25">
      <c r="B51" s="81">
        <v>45641</v>
      </c>
      <c r="C51" s="82">
        <v>548.79999999999995</v>
      </c>
      <c r="D51" s="34">
        <f t="shared" si="0"/>
        <v>1.5512364266812018E-3</v>
      </c>
      <c r="F51" s="82">
        <v>23587.5</v>
      </c>
      <c r="G51" s="34">
        <f t="shared" si="1"/>
        <v>-9.4862556375822082E-3</v>
      </c>
    </row>
    <row r="52" spans="2:7" x14ac:dyDescent="0.25">
      <c r="B52" s="81">
        <v>45634</v>
      </c>
      <c r="C52" s="82">
        <v>572.75</v>
      </c>
      <c r="D52" s="34">
        <f t="shared" si="0"/>
        <v>4.3640670553936056E-2</v>
      </c>
      <c r="F52" s="82">
        <v>24768.3</v>
      </c>
      <c r="G52" s="34">
        <f t="shared" si="1"/>
        <v>5.0060413354531041E-2</v>
      </c>
    </row>
    <row r="53" spans="2:7" x14ac:dyDescent="0.25">
      <c r="B53" s="81">
        <v>45627</v>
      </c>
      <c r="C53" s="82">
        <v>565.29999999999995</v>
      </c>
      <c r="D53" s="34">
        <f t="shared" si="0"/>
        <v>-1.3007420340462761E-2</v>
      </c>
      <c r="F53" s="82">
        <v>24677.8</v>
      </c>
      <c r="G53" s="34">
        <f t="shared" si="1"/>
        <v>-3.653864011660013E-3</v>
      </c>
    </row>
    <row r="54" spans="2:7" x14ac:dyDescent="0.25">
      <c r="B54" s="81">
        <v>45620</v>
      </c>
      <c r="C54" s="82">
        <v>531.5</v>
      </c>
      <c r="D54" s="34">
        <f t="shared" si="0"/>
        <v>-5.9791261277197916E-2</v>
      </c>
      <c r="F54" s="82">
        <v>24131.1</v>
      </c>
      <c r="G54" s="34">
        <f t="shared" si="1"/>
        <v>-2.2153514494809179E-2</v>
      </c>
    </row>
    <row r="55" spans="2:7" x14ac:dyDescent="0.25">
      <c r="B55" s="81">
        <v>45613</v>
      </c>
      <c r="C55" s="82">
        <v>499.85</v>
      </c>
      <c r="D55" s="34">
        <f t="shared" si="0"/>
        <v>-5.9548447789275594E-2</v>
      </c>
      <c r="F55" s="82">
        <v>23907.25</v>
      </c>
      <c r="G55" s="34">
        <f t="shared" si="1"/>
        <v>-9.2764109385812255E-3</v>
      </c>
    </row>
    <row r="56" spans="2:7" x14ac:dyDescent="0.25">
      <c r="B56" s="81">
        <v>45606</v>
      </c>
      <c r="C56" s="82">
        <v>544.5</v>
      </c>
      <c r="D56" s="34">
        <f t="shared" si="0"/>
        <v>8.9326798039411681E-2</v>
      </c>
      <c r="F56" s="82">
        <v>23532.7</v>
      </c>
      <c r="G56" s="34">
        <f t="shared" si="1"/>
        <v>-1.5666795637306663E-2</v>
      </c>
    </row>
    <row r="57" spans="2:7" x14ac:dyDescent="0.25">
      <c r="B57" s="81">
        <v>45599</v>
      </c>
      <c r="C57" s="82">
        <v>564.9</v>
      </c>
      <c r="D57" s="34">
        <f t="shared" si="0"/>
        <v>3.746556473829199E-2</v>
      </c>
      <c r="F57" s="82">
        <v>24148.2</v>
      </c>
      <c r="G57" s="34">
        <f t="shared" si="1"/>
        <v>2.6155094825498049E-2</v>
      </c>
    </row>
    <row r="58" spans="2:7" x14ac:dyDescent="0.25">
      <c r="B58" s="81">
        <v>45592</v>
      </c>
      <c r="C58" s="82">
        <v>582.45000000000005</v>
      </c>
      <c r="D58" s="34">
        <f t="shared" si="0"/>
        <v>3.1067445565587049E-2</v>
      </c>
      <c r="F58" s="82">
        <v>24304.35</v>
      </c>
      <c r="G58" s="34">
        <f t="shared" si="1"/>
        <v>6.4663204710908584E-3</v>
      </c>
    </row>
    <row r="59" spans="2:7" x14ac:dyDescent="0.25">
      <c r="B59" s="81">
        <v>45585</v>
      </c>
      <c r="C59" s="82">
        <v>552.70000000000005</v>
      </c>
      <c r="D59" s="34">
        <f t="shared" si="0"/>
        <v>-5.1077345694909404E-2</v>
      </c>
      <c r="F59" s="82">
        <v>24180.799999999999</v>
      </c>
      <c r="G59" s="34">
        <f t="shared" si="1"/>
        <v>-5.0834521392261189E-3</v>
      </c>
    </row>
    <row r="60" spans="2:7" x14ac:dyDescent="0.25">
      <c r="B60" s="81">
        <v>45578</v>
      </c>
      <c r="C60" s="82">
        <v>573.95000000000005</v>
      </c>
      <c r="D60" s="34">
        <f t="shared" si="0"/>
        <v>3.8447620770761803E-2</v>
      </c>
      <c r="F60" s="82">
        <v>24854.05</v>
      </c>
      <c r="G60" s="34">
        <f t="shared" si="1"/>
        <v>2.7842337722490562E-2</v>
      </c>
    </row>
    <row r="61" spans="2:7" x14ac:dyDescent="0.25">
      <c r="B61" s="81">
        <v>45571</v>
      </c>
      <c r="C61" s="82">
        <v>585.20000000000005</v>
      </c>
      <c r="D61" s="34">
        <f t="shared" si="0"/>
        <v>1.960101054098784E-2</v>
      </c>
      <c r="F61" s="82">
        <v>24964.25</v>
      </c>
      <c r="G61" s="34">
        <f t="shared" si="1"/>
        <v>4.4338850207512603E-3</v>
      </c>
    </row>
    <row r="62" spans="2:7" x14ac:dyDescent="0.25">
      <c r="B62" s="81">
        <v>45564</v>
      </c>
      <c r="C62" s="82">
        <v>610.70000000000005</v>
      </c>
      <c r="D62" s="34">
        <f t="shared" si="0"/>
        <v>4.3574846206425155E-2</v>
      </c>
      <c r="F62" s="82">
        <v>25014.6</v>
      </c>
      <c r="G62" s="34">
        <f t="shared" si="1"/>
        <v>2.0168841443264363E-3</v>
      </c>
    </row>
    <row r="63" spans="2:7" x14ac:dyDescent="0.25">
      <c r="B63" s="81">
        <v>45557</v>
      </c>
      <c r="C63" s="82">
        <v>634</v>
      </c>
      <c r="D63" s="34">
        <f t="shared" si="0"/>
        <v>3.8152939250040818E-2</v>
      </c>
      <c r="F63" s="82">
        <v>26178.95</v>
      </c>
      <c r="G63" s="34">
        <f t="shared" si="1"/>
        <v>4.6546816659071233E-2</v>
      </c>
    </row>
    <row r="64" spans="2:7" x14ac:dyDescent="0.25">
      <c r="B64" s="81">
        <v>45550</v>
      </c>
      <c r="C64" s="82">
        <v>616.54999999999995</v>
      </c>
      <c r="D64" s="34">
        <f t="shared" si="0"/>
        <v>-2.7523659305993764E-2</v>
      </c>
      <c r="F64" s="82">
        <v>25790.95</v>
      </c>
      <c r="G64" s="34">
        <f t="shared" si="1"/>
        <v>-1.4821068071866894E-2</v>
      </c>
    </row>
    <row r="65" spans="2:7" x14ac:dyDescent="0.25">
      <c r="B65" s="81">
        <v>45543</v>
      </c>
      <c r="C65" s="82">
        <v>629.6</v>
      </c>
      <c r="D65" s="34">
        <f t="shared" si="0"/>
        <v>2.116616657205439E-2</v>
      </c>
      <c r="F65" s="82">
        <v>25356.5</v>
      </c>
      <c r="G65" s="34">
        <f t="shared" si="1"/>
        <v>-1.684505611464493E-2</v>
      </c>
    </row>
    <row r="66" spans="2:7" x14ac:dyDescent="0.25">
      <c r="B66" s="81">
        <v>45536</v>
      </c>
      <c r="C66" s="82">
        <v>623.25</v>
      </c>
      <c r="D66" s="34">
        <f t="shared" si="0"/>
        <v>-1.0085768742058465E-2</v>
      </c>
      <c r="F66" s="82">
        <v>24852.15</v>
      </c>
      <c r="G66" s="34">
        <f t="shared" si="1"/>
        <v>-1.9890363417664036E-2</v>
      </c>
    </row>
    <row r="67" spans="2:7" x14ac:dyDescent="0.25">
      <c r="B67" s="81">
        <v>45529</v>
      </c>
      <c r="C67" s="82">
        <v>617.04999999999995</v>
      </c>
      <c r="D67" s="34">
        <f t="shared" si="0"/>
        <v>-9.9478539911753705E-3</v>
      </c>
      <c r="F67" s="82">
        <v>25235.9</v>
      </c>
      <c r="G67" s="34">
        <f t="shared" si="1"/>
        <v>1.544131996628062E-2</v>
      </c>
    </row>
    <row r="68" spans="2:7" x14ac:dyDescent="0.25">
      <c r="B68" s="81">
        <v>45522</v>
      </c>
      <c r="C68" s="82">
        <v>633.6</v>
      </c>
      <c r="D68" s="34">
        <f t="shared" si="0"/>
        <v>2.6821165221619037E-2</v>
      </c>
      <c r="F68" s="82">
        <v>24823.15</v>
      </c>
      <c r="G68" s="34">
        <f t="shared" si="1"/>
        <v>-1.6355667917530181E-2</v>
      </c>
    </row>
    <row r="69" spans="2:7" x14ac:dyDescent="0.25">
      <c r="B69" s="81">
        <v>45515</v>
      </c>
      <c r="C69" s="82">
        <v>640.5</v>
      </c>
      <c r="D69" s="34">
        <f t="shared" si="0"/>
        <v>1.0890151515151381E-2</v>
      </c>
      <c r="F69" s="82">
        <v>24541.15</v>
      </c>
      <c r="G69" s="34">
        <f t="shared" si="1"/>
        <v>-1.1360363209342861E-2</v>
      </c>
    </row>
    <row r="70" spans="2:7" x14ac:dyDescent="0.25">
      <c r="B70" s="81">
        <v>45508</v>
      </c>
      <c r="C70" s="82">
        <v>632</v>
      </c>
      <c r="D70" s="34">
        <f t="shared" si="0"/>
        <v>-1.3270882123341154E-2</v>
      </c>
      <c r="F70" s="82">
        <v>24367.5</v>
      </c>
      <c r="G70" s="34">
        <f t="shared" si="1"/>
        <v>-7.0758705276647849E-3</v>
      </c>
    </row>
    <row r="71" spans="2:7" x14ac:dyDescent="0.25">
      <c r="B71" s="81">
        <v>45501</v>
      </c>
      <c r="C71" s="82">
        <v>652.79999999999995</v>
      </c>
      <c r="D71" s="34">
        <f t="shared" si="0"/>
        <v>3.2911392405063244E-2</v>
      </c>
      <c r="F71" s="82">
        <v>24717.7</v>
      </c>
      <c r="G71" s="34">
        <f t="shared" si="1"/>
        <v>1.4371601518415877E-2</v>
      </c>
    </row>
    <row r="72" spans="2:7" x14ac:dyDescent="0.25">
      <c r="B72" s="81">
        <v>45494</v>
      </c>
      <c r="C72" s="82">
        <v>686.4</v>
      </c>
      <c r="D72" s="34">
        <f t="shared" si="0"/>
        <v>5.1470588235294157E-2</v>
      </c>
      <c r="F72" s="82">
        <v>24834.85</v>
      </c>
      <c r="G72" s="34">
        <f t="shared" si="1"/>
        <v>4.7395186445340354E-3</v>
      </c>
    </row>
    <row r="73" spans="2:7" x14ac:dyDescent="0.25">
      <c r="B73" s="81">
        <v>45487</v>
      </c>
      <c r="C73" s="82">
        <v>677.9</v>
      </c>
      <c r="D73" s="34">
        <f t="shared" si="0"/>
        <v>-1.238344988344986E-2</v>
      </c>
      <c r="F73" s="82">
        <v>24530.9</v>
      </c>
      <c r="G73" s="34">
        <f t="shared" si="1"/>
        <v>-1.2238849842056476E-2</v>
      </c>
    </row>
    <row r="74" spans="2:7" x14ac:dyDescent="0.25">
      <c r="B74" s="81">
        <v>45480</v>
      </c>
      <c r="C74" s="82">
        <v>676.5</v>
      </c>
      <c r="D74" s="34">
        <f t="shared" si="0"/>
        <v>-2.0652013571322847E-3</v>
      </c>
      <c r="F74" s="82">
        <v>24502.15</v>
      </c>
      <c r="G74" s="34">
        <f t="shared" si="1"/>
        <v>-1.1719912436967128E-3</v>
      </c>
    </row>
    <row r="75" spans="2:7" x14ac:dyDescent="0.25">
      <c r="B75" s="81">
        <v>45473</v>
      </c>
      <c r="C75" s="82">
        <v>686</v>
      </c>
      <c r="D75" s="34">
        <f t="shared" si="0"/>
        <v>1.4042867701404393E-2</v>
      </c>
      <c r="F75" s="82">
        <v>24323.85</v>
      </c>
      <c r="G75" s="34">
        <f t="shared" si="1"/>
        <v>-7.2769124342150215E-3</v>
      </c>
    </row>
    <row r="76" spans="2:7" x14ac:dyDescent="0.25">
      <c r="B76" s="81">
        <v>45466</v>
      </c>
      <c r="C76" s="82">
        <v>670.25</v>
      </c>
      <c r="D76" s="34">
        <f t="shared" ref="D76:D113" si="2">C76/C75-1</f>
        <v>-2.2959183673469385E-2</v>
      </c>
      <c r="F76" s="82">
        <v>24010.6</v>
      </c>
      <c r="G76" s="34">
        <f t="shared" ref="G76:G113" si="3">F76/F75-1</f>
        <v>-1.2878306682535867E-2</v>
      </c>
    </row>
    <row r="77" spans="2:7" x14ac:dyDescent="0.25">
      <c r="B77" s="81">
        <v>45459</v>
      </c>
      <c r="C77" s="82">
        <v>657.45</v>
      </c>
      <c r="D77" s="34">
        <f t="shared" si="2"/>
        <v>-1.9097351734427392E-2</v>
      </c>
      <c r="F77" s="82">
        <v>23501.1</v>
      </c>
      <c r="G77" s="34">
        <f t="shared" si="3"/>
        <v>-2.1219794590722429E-2</v>
      </c>
    </row>
    <row r="78" spans="2:7" x14ac:dyDescent="0.25">
      <c r="B78" s="81">
        <v>45452</v>
      </c>
      <c r="C78" s="82">
        <v>677.2</v>
      </c>
      <c r="D78" s="34">
        <f t="shared" si="2"/>
        <v>3.0040307247699349E-2</v>
      </c>
      <c r="F78" s="82">
        <v>23465.599999999999</v>
      </c>
      <c r="G78" s="34">
        <f t="shared" si="3"/>
        <v>-1.5105675904532045E-3</v>
      </c>
    </row>
    <row r="79" spans="2:7" x14ac:dyDescent="0.25">
      <c r="B79" s="81">
        <v>45445</v>
      </c>
      <c r="C79" s="82">
        <v>621.29999999999995</v>
      </c>
      <c r="D79" s="34">
        <f t="shared" si="2"/>
        <v>-8.2545776727702469E-2</v>
      </c>
      <c r="F79" s="82">
        <v>23290.15</v>
      </c>
      <c r="G79" s="34">
        <f t="shared" si="3"/>
        <v>-7.4769023591980677E-3</v>
      </c>
    </row>
    <row r="80" spans="2:7" x14ac:dyDescent="0.25">
      <c r="B80" s="81">
        <v>45438</v>
      </c>
      <c r="C80" s="82">
        <v>634.04999999999995</v>
      </c>
      <c r="D80" s="34">
        <f t="shared" si="2"/>
        <v>2.0521487204249178E-2</v>
      </c>
      <c r="F80" s="82">
        <v>22530.7</v>
      </c>
      <c r="G80" s="34">
        <f t="shared" si="3"/>
        <v>-3.2608205614820029E-2</v>
      </c>
    </row>
    <row r="81" spans="2:7" x14ac:dyDescent="0.25">
      <c r="B81" s="81">
        <v>45431</v>
      </c>
      <c r="C81" s="82">
        <v>635.29999999999995</v>
      </c>
      <c r="D81" s="34">
        <f t="shared" si="2"/>
        <v>1.9714533554135993E-3</v>
      </c>
      <c r="F81" s="82">
        <v>22957.1</v>
      </c>
      <c r="G81" s="34">
        <f t="shared" si="3"/>
        <v>1.8925288606212787E-2</v>
      </c>
    </row>
    <row r="82" spans="2:7" x14ac:dyDescent="0.25">
      <c r="B82" s="81">
        <v>45424</v>
      </c>
      <c r="C82" s="82">
        <v>620.70000000000005</v>
      </c>
      <c r="D82" s="34">
        <f t="shared" si="2"/>
        <v>-2.298126869195638E-2</v>
      </c>
      <c r="F82" s="82">
        <v>22466.1</v>
      </c>
      <c r="G82" s="34">
        <f t="shared" si="3"/>
        <v>-2.1387718832082458E-2</v>
      </c>
    </row>
    <row r="83" spans="2:7" x14ac:dyDescent="0.25">
      <c r="B83" s="81">
        <v>45417</v>
      </c>
      <c r="C83" s="82">
        <v>581.79999999999995</v>
      </c>
      <c r="D83" s="34">
        <f t="shared" si="2"/>
        <v>-6.2671177702594005E-2</v>
      </c>
      <c r="F83" s="82">
        <v>22055.200000000001</v>
      </c>
      <c r="G83" s="34">
        <f t="shared" si="3"/>
        <v>-1.8289778822314418E-2</v>
      </c>
    </row>
    <row r="84" spans="2:7" x14ac:dyDescent="0.25">
      <c r="B84" s="81">
        <v>45410</v>
      </c>
      <c r="C84" s="82">
        <v>622.45000000000005</v>
      </c>
      <c r="D84" s="34">
        <f t="shared" si="2"/>
        <v>6.9869370917841289E-2</v>
      </c>
      <c r="F84" s="82">
        <v>22475.85</v>
      </c>
      <c r="G84" s="34">
        <f t="shared" si="3"/>
        <v>1.9072599659037293E-2</v>
      </c>
    </row>
    <row r="85" spans="2:7" x14ac:dyDescent="0.25">
      <c r="B85" s="81">
        <v>45403</v>
      </c>
      <c r="C85" s="82">
        <v>632.35</v>
      </c>
      <c r="D85" s="34">
        <f t="shared" si="2"/>
        <v>1.5904891959193534E-2</v>
      </c>
      <c r="F85" s="82">
        <v>22419.95</v>
      </c>
      <c r="G85" s="34">
        <f t="shared" si="3"/>
        <v>-2.4871139467471659E-3</v>
      </c>
    </row>
    <row r="86" spans="2:7" x14ac:dyDescent="0.25">
      <c r="B86" s="81">
        <v>45396</v>
      </c>
      <c r="C86" s="82">
        <v>609.65</v>
      </c>
      <c r="D86" s="34">
        <f t="shared" si="2"/>
        <v>-3.5897841385308826E-2</v>
      </c>
      <c r="F86" s="82">
        <v>22147</v>
      </c>
      <c r="G86" s="34">
        <f t="shared" si="3"/>
        <v>-1.2174425009868428E-2</v>
      </c>
    </row>
    <row r="87" spans="2:7" x14ac:dyDescent="0.25">
      <c r="B87" s="81">
        <v>45389</v>
      </c>
      <c r="C87" s="82">
        <v>608.85</v>
      </c>
      <c r="D87" s="34">
        <f t="shared" si="2"/>
        <v>-1.3122283277289259E-3</v>
      </c>
      <c r="F87" s="82">
        <v>22519.4</v>
      </c>
      <c r="G87" s="34">
        <f t="shared" si="3"/>
        <v>1.6814918499119536E-2</v>
      </c>
    </row>
    <row r="88" spans="2:7" x14ac:dyDescent="0.25">
      <c r="B88" s="81">
        <v>45382</v>
      </c>
      <c r="C88" s="82">
        <v>627.20000000000005</v>
      </c>
      <c r="D88" s="34">
        <f t="shared" si="2"/>
        <v>3.0138786236347359E-2</v>
      </c>
      <c r="F88" s="82">
        <v>22513.7</v>
      </c>
      <c r="G88" s="34">
        <f t="shared" si="3"/>
        <v>-2.5311509187642134E-4</v>
      </c>
    </row>
    <row r="89" spans="2:7" x14ac:dyDescent="0.25">
      <c r="B89" s="81">
        <v>45375</v>
      </c>
      <c r="C89" s="82">
        <v>612.35</v>
      </c>
      <c r="D89" s="34">
        <f t="shared" si="2"/>
        <v>-2.3676658163265363E-2</v>
      </c>
      <c r="F89" s="82">
        <v>22326.9</v>
      </c>
      <c r="G89" s="34">
        <f t="shared" si="3"/>
        <v>-8.2971701674979803E-3</v>
      </c>
    </row>
    <row r="90" spans="2:7" x14ac:dyDescent="0.25">
      <c r="B90" s="81">
        <v>45368</v>
      </c>
      <c r="C90" s="82">
        <v>589.35</v>
      </c>
      <c r="D90" s="34">
        <f t="shared" si="2"/>
        <v>-3.7560218829100989E-2</v>
      </c>
      <c r="F90" s="82">
        <v>22096.75</v>
      </c>
      <c r="G90" s="34">
        <f t="shared" si="3"/>
        <v>-1.0308193255669229E-2</v>
      </c>
    </row>
    <row r="91" spans="2:7" x14ac:dyDescent="0.25">
      <c r="B91" s="81">
        <v>45361</v>
      </c>
      <c r="C91" s="82">
        <v>600.75</v>
      </c>
      <c r="D91" s="34">
        <f t="shared" si="2"/>
        <v>1.9343344362433124E-2</v>
      </c>
      <c r="F91" s="82">
        <v>22023.35</v>
      </c>
      <c r="G91" s="34">
        <f t="shared" si="3"/>
        <v>-3.3217554617761547E-3</v>
      </c>
    </row>
    <row r="92" spans="2:7" x14ac:dyDescent="0.25">
      <c r="B92" s="81">
        <v>45354</v>
      </c>
      <c r="C92" s="82">
        <v>603.15</v>
      </c>
      <c r="D92" s="34">
        <f t="shared" si="2"/>
        <v>3.9950062421971744E-3</v>
      </c>
      <c r="F92" s="82">
        <v>22493.55</v>
      </c>
      <c r="G92" s="34">
        <f t="shared" si="3"/>
        <v>2.1350067087886337E-2</v>
      </c>
    </row>
    <row r="93" spans="2:7" x14ac:dyDescent="0.25">
      <c r="B93" s="81">
        <v>45347</v>
      </c>
      <c r="C93" s="82">
        <v>617.6</v>
      </c>
      <c r="D93" s="34">
        <f t="shared" si="2"/>
        <v>2.3957556163475058E-2</v>
      </c>
      <c r="F93" s="82">
        <v>22338.75</v>
      </c>
      <c r="G93" s="34">
        <f t="shared" si="3"/>
        <v>-6.8819728322118134E-3</v>
      </c>
    </row>
    <row r="94" spans="2:7" x14ac:dyDescent="0.25">
      <c r="B94" s="81">
        <v>45340</v>
      </c>
      <c r="C94" s="82">
        <v>602.95000000000005</v>
      </c>
      <c r="D94" s="34">
        <f t="shared" si="2"/>
        <v>-2.372085492227971E-2</v>
      </c>
      <c r="F94" s="82">
        <v>22212.7</v>
      </c>
      <c r="G94" s="34">
        <f t="shared" si="3"/>
        <v>-5.6426612948351496E-3</v>
      </c>
    </row>
    <row r="95" spans="2:7" x14ac:dyDescent="0.25">
      <c r="B95" s="81">
        <v>45333</v>
      </c>
      <c r="C95" s="82">
        <v>585.1</v>
      </c>
      <c r="D95" s="34">
        <f t="shared" si="2"/>
        <v>-2.9604444813002728E-2</v>
      </c>
      <c r="F95" s="82">
        <v>22040.7</v>
      </c>
      <c r="G95" s="34">
        <f t="shared" si="3"/>
        <v>-7.7433180117680855E-3</v>
      </c>
    </row>
    <row r="96" spans="2:7" x14ac:dyDescent="0.25">
      <c r="B96" s="81">
        <v>45326</v>
      </c>
      <c r="C96" s="82">
        <v>576.20000000000005</v>
      </c>
      <c r="D96" s="34">
        <f t="shared" si="2"/>
        <v>-1.5211075029909371E-2</v>
      </c>
      <c r="F96" s="82">
        <v>21782.5</v>
      </c>
      <c r="G96" s="34">
        <f t="shared" si="3"/>
        <v>-1.1714691457167858E-2</v>
      </c>
    </row>
    <row r="97" spans="2:7" x14ac:dyDescent="0.25">
      <c r="B97" s="81">
        <v>45319</v>
      </c>
      <c r="C97" s="82">
        <v>557.4</v>
      </c>
      <c r="D97" s="34">
        <f t="shared" si="2"/>
        <v>-3.262755987504351E-2</v>
      </c>
      <c r="F97" s="82">
        <v>21853.8</v>
      </c>
      <c r="G97" s="34">
        <f t="shared" si="3"/>
        <v>3.273269826695735E-3</v>
      </c>
    </row>
    <row r="98" spans="2:7" x14ac:dyDescent="0.25">
      <c r="B98" s="81">
        <v>45312</v>
      </c>
      <c r="C98" s="82">
        <v>560.15</v>
      </c>
      <c r="D98" s="34">
        <f t="shared" si="2"/>
        <v>4.9336203803371781E-3</v>
      </c>
      <c r="F98" s="82">
        <v>21352.6</v>
      </c>
      <c r="G98" s="34">
        <f t="shared" si="3"/>
        <v>-2.2934226541837188E-2</v>
      </c>
    </row>
    <row r="99" spans="2:7" x14ac:dyDescent="0.25">
      <c r="B99" s="81">
        <v>45305</v>
      </c>
      <c r="C99" s="82">
        <v>537.1</v>
      </c>
      <c r="D99" s="34">
        <f t="shared" si="2"/>
        <v>-4.1149692046773101E-2</v>
      </c>
      <c r="F99" s="82">
        <v>21622.400000000001</v>
      </c>
      <c r="G99" s="34">
        <f t="shared" si="3"/>
        <v>1.2635463596939234E-2</v>
      </c>
    </row>
    <row r="100" spans="2:7" x14ac:dyDescent="0.25">
      <c r="B100" s="81">
        <v>45298</v>
      </c>
      <c r="C100" s="82">
        <v>532.4</v>
      </c>
      <c r="D100" s="34">
        <f t="shared" si="2"/>
        <v>-8.7506981940049799E-3</v>
      </c>
      <c r="F100" s="82">
        <v>21894.55</v>
      </c>
      <c r="G100" s="34">
        <f t="shared" si="3"/>
        <v>1.2586484386561958E-2</v>
      </c>
    </row>
    <row r="101" spans="2:7" x14ac:dyDescent="0.25">
      <c r="B101" s="81">
        <v>45291</v>
      </c>
      <c r="C101" s="82">
        <v>542.35</v>
      </c>
      <c r="D101" s="34">
        <f t="shared" si="2"/>
        <v>1.8688955672426788E-2</v>
      </c>
      <c r="F101" s="82">
        <v>21710.799999999999</v>
      </c>
      <c r="G101" s="34">
        <f t="shared" si="3"/>
        <v>-8.3924995033010097E-3</v>
      </c>
    </row>
    <row r="102" spans="2:7" x14ac:dyDescent="0.25">
      <c r="B102" s="81">
        <v>45284</v>
      </c>
      <c r="C102" s="82">
        <v>520.9</v>
      </c>
      <c r="D102" s="34">
        <f t="shared" si="2"/>
        <v>-3.9550106020097786E-2</v>
      </c>
      <c r="F102" s="82">
        <v>21731.4</v>
      </c>
      <c r="G102" s="34">
        <f t="shared" si="3"/>
        <v>9.4883652375776784E-4</v>
      </c>
    </row>
    <row r="103" spans="2:7" x14ac:dyDescent="0.25">
      <c r="B103" s="81">
        <v>45277</v>
      </c>
      <c r="C103" s="82">
        <v>503.8</v>
      </c>
      <c r="D103" s="34">
        <f t="shared" si="2"/>
        <v>-3.2827798041850542E-2</v>
      </c>
      <c r="F103" s="82">
        <v>21349.4</v>
      </c>
      <c r="G103" s="34">
        <f t="shared" si="3"/>
        <v>-1.7578250825993735E-2</v>
      </c>
    </row>
    <row r="104" spans="2:7" x14ac:dyDescent="0.25">
      <c r="B104" s="81">
        <v>45270</v>
      </c>
      <c r="C104" s="82">
        <v>522.4</v>
      </c>
      <c r="D104" s="34">
        <f t="shared" si="2"/>
        <v>3.6919412465263868E-2</v>
      </c>
      <c r="F104" s="82">
        <v>21456.65</v>
      </c>
      <c r="G104" s="34">
        <f t="shared" si="3"/>
        <v>5.023560381087977E-3</v>
      </c>
    </row>
    <row r="105" spans="2:7" x14ac:dyDescent="0.25">
      <c r="B105" s="81">
        <v>45263</v>
      </c>
      <c r="C105" s="82">
        <v>494.35</v>
      </c>
      <c r="D105" s="34">
        <f t="shared" si="2"/>
        <v>-5.3694486983154599E-2</v>
      </c>
      <c r="F105" s="82">
        <v>20969.400000000001</v>
      </c>
      <c r="G105" s="34">
        <f t="shared" si="3"/>
        <v>-2.2708577527246754E-2</v>
      </c>
    </row>
    <row r="106" spans="2:7" x14ac:dyDescent="0.25">
      <c r="B106" s="81">
        <v>45256</v>
      </c>
      <c r="C106" s="82">
        <v>442</v>
      </c>
      <c r="D106" s="34">
        <f t="shared" si="2"/>
        <v>-0.10589663194093257</v>
      </c>
      <c r="F106" s="82">
        <v>20267.900000000001</v>
      </c>
      <c r="G106" s="34">
        <f t="shared" si="3"/>
        <v>-3.3453508445639879E-2</v>
      </c>
    </row>
    <row r="107" spans="2:7" x14ac:dyDescent="0.25">
      <c r="B107" s="81">
        <v>45249</v>
      </c>
      <c r="C107" s="82">
        <v>414.3</v>
      </c>
      <c r="D107" s="34">
        <f t="shared" si="2"/>
        <v>-6.2669683257918551E-2</v>
      </c>
      <c r="F107" s="82">
        <v>19794.7</v>
      </c>
      <c r="G107" s="34">
        <f t="shared" si="3"/>
        <v>-2.3347263406667706E-2</v>
      </c>
    </row>
    <row r="108" spans="2:7" x14ac:dyDescent="0.25">
      <c r="B108" s="81">
        <v>45242</v>
      </c>
      <c r="C108" s="82">
        <v>421.1</v>
      </c>
      <c r="D108" s="34">
        <f t="shared" si="2"/>
        <v>1.6413227130098962E-2</v>
      </c>
      <c r="F108" s="82">
        <v>19731.8</v>
      </c>
      <c r="G108" s="34">
        <f t="shared" si="3"/>
        <v>-3.1776182513502116E-3</v>
      </c>
    </row>
    <row r="109" spans="2:7" x14ac:dyDescent="0.25">
      <c r="B109" s="81">
        <v>45235</v>
      </c>
      <c r="C109" s="82">
        <v>418.1</v>
      </c>
      <c r="D109" s="34">
        <f t="shared" si="2"/>
        <v>-7.1241985276656594E-3</v>
      </c>
      <c r="F109" s="82">
        <v>19425.349999999999</v>
      </c>
      <c r="G109" s="34">
        <f t="shared" si="3"/>
        <v>-1.5530767593427863E-2</v>
      </c>
    </row>
    <row r="110" spans="2:7" x14ac:dyDescent="0.25">
      <c r="B110" s="81">
        <v>45228</v>
      </c>
      <c r="C110" s="82">
        <v>420.9</v>
      </c>
      <c r="D110" s="34">
        <f t="shared" si="2"/>
        <v>6.696962449174837E-3</v>
      </c>
      <c r="F110" s="82">
        <v>19230.599999999999</v>
      </c>
      <c r="G110" s="34">
        <f t="shared" si="3"/>
        <v>-1.0025559385030358E-2</v>
      </c>
    </row>
    <row r="111" spans="2:7" x14ac:dyDescent="0.25">
      <c r="B111" s="81">
        <v>45221</v>
      </c>
      <c r="C111" s="82">
        <v>417.25</v>
      </c>
      <c r="D111" s="34">
        <f t="shared" si="2"/>
        <v>-8.6718935614159554E-3</v>
      </c>
      <c r="F111" s="82">
        <v>19047.25</v>
      </c>
      <c r="G111" s="34">
        <f t="shared" si="3"/>
        <v>-9.5342839016983039E-3</v>
      </c>
    </row>
    <row r="112" spans="2:7" x14ac:dyDescent="0.25">
      <c r="B112" s="81">
        <v>45214</v>
      </c>
      <c r="C112" s="82">
        <v>430.85</v>
      </c>
      <c r="D112" s="34">
        <f t="shared" si="2"/>
        <v>3.2594367884961173E-2</v>
      </c>
      <c r="F112" s="82">
        <v>19542.650000000001</v>
      </c>
      <c r="G112" s="34">
        <f t="shared" si="3"/>
        <v>2.6009003924451157E-2</v>
      </c>
    </row>
    <row r="113" spans="2:7" x14ac:dyDescent="0.25">
      <c r="B113" s="81">
        <v>45207</v>
      </c>
      <c r="C113" s="82">
        <v>439.9</v>
      </c>
      <c r="D113" s="34">
        <f t="shared" si="2"/>
        <v>2.1004990135778057E-2</v>
      </c>
      <c r="F113" s="82">
        <v>19751.05</v>
      </c>
      <c r="G113" s="34">
        <f t="shared" si="3"/>
        <v>1.0663855720692839E-2</v>
      </c>
    </row>
  </sheetData>
  <mergeCells count="3">
    <mergeCell ref="B7:D7"/>
    <mergeCell ref="F7:G7"/>
    <mergeCell ref="I7:J7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0EE5-DC1C-4CF2-A572-16B6B4873A3A}">
  <sheetPr>
    <tabColor rgb="FF002060"/>
  </sheetPr>
  <dimension ref="B5:Q114"/>
  <sheetViews>
    <sheetView showGridLines="0" topLeftCell="A7" zoomScale="80" zoomScaleNormal="80" workbookViewId="0">
      <selection activeCell="B8" sqref="B8"/>
    </sheetView>
  </sheetViews>
  <sheetFormatPr defaultRowHeight="15" x14ac:dyDescent="0.25"/>
  <cols>
    <col min="1" max="1" width="1.85546875" customWidth="1"/>
    <col min="2" max="2" width="15.7109375" bestFit="1" customWidth="1"/>
    <col min="3" max="3" width="12.28515625" customWidth="1"/>
    <col min="4" max="4" width="16" customWidth="1"/>
    <col min="6" max="6" width="12.28515625" bestFit="1" customWidth="1"/>
    <col min="7" max="7" width="15.28515625" bestFit="1" customWidth="1"/>
    <col min="9" max="9" width="20.85546875" bestFit="1" customWidth="1"/>
    <col min="10" max="10" width="12.7109375" bestFit="1" customWidth="1"/>
    <col min="11" max="11" width="14.5703125" bestFit="1" customWidth="1"/>
    <col min="12" max="13" width="12" bestFit="1" customWidth="1"/>
    <col min="14" max="14" width="13.42578125" bestFit="1" customWidth="1"/>
    <col min="15" max="15" width="12" bestFit="1" customWidth="1"/>
    <col min="16" max="16" width="12.7109375" bestFit="1" customWidth="1"/>
    <col min="17" max="17" width="12.5703125" bestFit="1" customWidth="1"/>
  </cols>
  <sheetData>
    <row r="5" spans="2:10" s="28" customFormat="1" x14ac:dyDescent="0.25">
      <c r="B5" s="65" t="s">
        <v>153</v>
      </c>
      <c r="C5" s="54"/>
      <c r="D5" s="54"/>
      <c r="E5" s="54"/>
      <c r="F5" s="54"/>
      <c r="G5" s="54"/>
      <c r="H5" s="54"/>
      <c r="I5" s="54"/>
      <c r="J5" s="54"/>
    </row>
    <row r="6" spans="2:10" s="28" customFormat="1" x14ac:dyDescent="0.25">
      <c r="B6" s="83"/>
    </row>
    <row r="7" spans="2:10" x14ac:dyDescent="0.25">
      <c r="B7" s="208" t="str">
        <f>WACC!B13&amp;" Returns"</f>
        <v>Grasim Inds Returns</v>
      </c>
      <c r="C7" s="208"/>
      <c r="D7" s="208"/>
      <c r="F7" s="208" t="s">
        <v>151</v>
      </c>
      <c r="G7" s="208"/>
      <c r="I7" s="208" t="s">
        <v>152</v>
      </c>
      <c r="J7" s="208"/>
    </row>
    <row r="8" spans="2:10" s="28" customFormat="1" x14ac:dyDescent="0.25"/>
    <row r="9" spans="2:10" x14ac:dyDescent="0.25">
      <c r="B9" s="84" t="s">
        <v>148</v>
      </c>
      <c r="C9" s="85" t="s">
        <v>149</v>
      </c>
      <c r="D9" s="85" t="s">
        <v>150</v>
      </c>
      <c r="E9" s="15"/>
      <c r="F9" s="85" t="s">
        <v>149</v>
      </c>
      <c r="G9" s="85" t="s">
        <v>150</v>
      </c>
      <c r="I9" s="86" t="s">
        <v>154</v>
      </c>
      <c r="J9" s="14">
        <f>J34</f>
        <v>0.99528527427917546</v>
      </c>
    </row>
    <row r="10" spans="2:10" x14ac:dyDescent="0.25">
      <c r="B10" s="81">
        <v>45928</v>
      </c>
      <c r="C10" s="80">
        <v>2873</v>
      </c>
      <c r="F10" s="82">
        <v>24894.25</v>
      </c>
      <c r="I10" s="20" t="s">
        <v>155</v>
      </c>
      <c r="J10" s="91">
        <v>0.75</v>
      </c>
    </row>
    <row r="11" spans="2:10" x14ac:dyDescent="0.25">
      <c r="B11" s="81">
        <v>45921</v>
      </c>
      <c r="C11" s="80">
        <v>2836.2</v>
      </c>
      <c r="D11" s="34">
        <f>C11/C10-1</f>
        <v>-1.2808910546467156E-2</v>
      </c>
      <c r="F11" s="82">
        <v>24654.7</v>
      </c>
      <c r="G11" s="34">
        <f>F11/F10-1</f>
        <v>-9.6227040380810758E-3</v>
      </c>
    </row>
    <row r="12" spans="2:10" x14ac:dyDescent="0.25">
      <c r="B12" s="81">
        <v>45914</v>
      </c>
      <c r="C12" s="80">
        <v>2811</v>
      </c>
      <c r="D12" s="34">
        <f t="shared" ref="D12:D75" si="0">C12/C11-1</f>
        <v>-8.8851279881531076E-3</v>
      </c>
      <c r="F12" s="82">
        <v>25327.05</v>
      </c>
      <c r="G12" s="34">
        <f t="shared" ref="G12:G75" si="1">F12/F11-1</f>
        <v>2.7270662388915623E-2</v>
      </c>
      <c r="I12" s="20" t="s">
        <v>156</v>
      </c>
      <c r="J12" s="92">
        <v>1</v>
      </c>
    </row>
    <row r="13" spans="2:10" x14ac:dyDescent="0.25">
      <c r="B13" s="81">
        <v>45907</v>
      </c>
      <c r="C13" s="80">
        <v>2791.4</v>
      </c>
      <c r="D13" s="34">
        <f t="shared" si="0"/>
        <v>-6.9726076129490444E-3</v>
      </c>
      <c r="F13" s="82">
        <v>25114</v>
      </c>
      <c r="G13" s="34">
        <f t="shared" si="1"/>
        <v>-8.4119548072120187E-3</v>
      </c>
      <c r="I13" s="20" t="s">
        <v>157</v>
      </c>
      <c r="J13" s="91">
        <v>0.25</v>
      </c>
    </row>
    <row r="14" spans="2:10" x14ac:dyDescent="0.25">
      <c r="B14" s="81">
        <v>45900</v>
      </c>
      <c r="C14" s="80">
        <v>2746.8</v>
      </c>
      <c r="D14" s="34">
        <f t="shared" si="0"/>
        <v>-1.59776456258508E-2</v>
      </c>
      <c r="F14" s="82">
        <v>24741</v>
      </c>
      <c r="G14" s="34">
        <f t="shared" si="1"/>
        <v>-1.4852273632236956E-2</v>
      </c>
    </row>
    <row r="15" spans="2:10" x14ac:dyDescent="0.25">
      <c r="B15" s="81">
        <v>45893</v>
      </c>
      <c r="C15" s="80">
        <v>2877.9</v>
      </c>
      <c r="D15" s="34">
        <f t="shared" si="0"/>
        <v>4.7728265618173893E-2</v>
      </c>
      <c r="F15" s="82">
        <v>24426.85</v>
      </c>
      <c r="G15" s="34">
        <f t="shared" si="1"/>
        <v>-1.2697546582595698E-2</v>
      </c>
      <c r="I15" s="93" t="s">
        <v>158</v>
      </c>
      <c r="J15" s="94">
        <f>(J9*J10)+(J12*J13)</f>
        <v>0.99646395570938162</v>
      </c>
    </row>
    <row r="16" spans="2:10" x14ac:dyDescent="0.25">
      <c r="B16" s="81">
        <v>45886</v>
      </c>
      <c r="C16" s="80">
        <v>2802</v>
      </c>
      <c r="D16" s="34">
        <f t="shared" si="0"/>
        <v>-2.6373397268841914E-2</v>
      </c>
      <c r="F16" s="82">
        <v>24870.1</v>
      </c>
      <c r="G16" s="34">
        <f t="shared" si="1"/>
        <v>1.8146015552557904E-2</v>
      </c>
    </row>
    <row r="17" spans="2:17" x14ac:dyDescent="0.25">
      <c r="B17" s="81">
        <v>45879</v>
      </c>
      <c r="C17" s="80">
        <v>2804</v>
      </c>
      <c r="D17" s="34">
        <f t="shared" si="0"/>
        <v>7.1377587437537748E-4</v>
      </c>
      <c r="F17" s="82">
        <v>24631.3</v>
      </c>
      <c r="G17" s="34">
        <f t="shared" si="1"/>
        <v>-9.6018914278591661E-3</v>
      </c>
      <c r="I17" t="s">
        <v>159</v>
      </c>
    </row>
    <row r="18" spans="2:17" ht="15.75" thickBot="1" x14ac:dyDescent="0.3">
      <c r="B18" s="81">
        <v>45872</v>
      </c>
      <c r="C18" s="80">
        <v>2775.6</v>
      </c>
      <c r="D18" s="34">
        <f t="shared" si="0"/>
        <v>-1.0128388017118461E-2</v>
      </c>
      <c r="F18" s="82">
        <v>24363.3</v>
      </c>
      <c r="G18" s="34">
        <f t="shared" si="1"/>
        <v>-1.0880465099284198E-2</v>
      </c>
    </row>
    <row r="19" spans="2:17" x14ac:dyDescent="0.25">
      <c r="B19" s="81">
        <v>45865</v>
      </c>
      <c r="C19" s="80">
        <v>2813.8</v>
      </c>
      <c r="D19" s="34">
        <f t="shared" si="0"/>
        <v>1.3762790027381566E-2</v>
      </c>
      <c r="F19" s="82">
        <v>24565.35</v>
      </c>
      <c r="G19" s="34">
        <f t="shared" si="1"/>
        <v>8.2932115107559046E-3</v>
      </c>
      <c r="I19" s="90" t="s">
        <v>160</v>
      </c>
      <c r="J19" s="90"/>
    </row>
    <row r="20" spans="2:17" x14ac:dyDescent="0.25">
      <c r="B20" s="81">
        <v>45858</v>
      </c>
      <c r="C20" s="80">
        <v>2764.9</v>
      </c>
      <c r="D20" s="34">
        <f t="shared" si="0"/>
        <v>-1.7378633875897442E-2</v>
      </c>
      <c r="F20" s="82">
        <v>24837</v>
      </c>
      <c r="G20" s="34">
        <f t="shared" si="1"/>
        <v>1.1058258889045103E-2</v>
      </c>
      <c r="I20" s="87" t="s">
        <v>161</v>
      </c>
      <c r="J20" s="87">
        <v>5.3833216180797672E-2</v>
      </c>
    </row>
    <row r="21" spans="2:17" x14ac:dyDescent="0.25">
      <c r="B21" s="81">
        <v>45851</v>
      </c>
      <c r="C21" s="80">
        <v>2691.6</v>
      </c>
      <c r="D21" s="34">
        <f t="shared" si="0"/>
        <v>-2.6510904553510128E-2</v>
      </c>
      <c r="F21" s="82">
        <v>24968.400000000001</v>
      </c>
      <c r="G21" s="34">
        <f t="shared" si="1"/>
        <v>5.2904940210170004E-3</v>
      </c>
      <c r="I21" s="87" t="s">
        <v>162</v>
      </c>
      <c r="J21" s="87">
        <v>2.8980151643684961E-3</v>
      </c>
    </row>
    <row r="22" spans="2:17" x14ac:dyDescent="0.25">
      <c r="B22" s="81">
        <v>45844</v>
      </c>
      <c r="C22" s="80">
        <v>2722.2</v>
      </c>
      <c r="D22" s="34">
        <f t="shared" si="0"/>
        <v>1.136870263040568E-2</v>
      </c>
      <c r="F22" s="82">
        <v>25149.85</v>
      </c>
      <c r="G22" s="34">
        <f t="shared" si="1"/>
        <v>7.267185722753533E-3</v>
      </c>
      <c r="I22" s="87" t="s">
        <v>163</v>
      </c>
      <c r="J22" s="87">
        <v>-6.9742817151922125E-3</v>
      </c>
    </row>
    <row r="23" spans="2:17" x14ac:dyDescent="0.25">
      <c r="B23" s="81">
        <v>45837</v>
      </c>
      <c r="C23" s="80">
        <v>2708.6</v>
      </c>
      <c r="D23" s="34">
        <f t="shared" si="0"/>
        <v>-4.9959591506869572E-3</v>
      </c>
      <c r="F23" s="82">
        <v>25461</v>
      </c>
      <c r="G23" s="34">
        <f t="shared" si="1"/>
        <v>1.2371843172026997E-2</v>
      </c>
      <c r="I23" s="87" t="s">
        <v>164</v>
      </c>
      <c r="J23" s="87">
        <v>0.32250614603713224</v>
      </c>
    </row>
    <row r="24" spans="2:17" ht="15.75" thickBot="1" x14ac:dyDescent="0.3">
      <c r="B24" s="81">
        <v>45830</v>
      </c>
      <c r="C24" s="80">
        <v>2728.5</v>
      </c>
      <c r="D24" s="34">
        <f t="shared" si="0"/>
        <v>7.346968913830132E-3</v>
      </c>
      <c r="F24" s="82">
        <v>25637.8</v>
      </c>
      <c r="G24" s="34">
        <f t="shared" si="1"/>
        <v>6.9439534975059836E-3</v>
      </c>
      <c r="I24" s="88" t="s">
        <v>165</v>
      </c>
      <c r="J24" s="88">
        <v>103</v>
      </c>
    </row>
    <row r="25" spans="2:17" x14ac:dyDescent="0.25">
      <c r="B25" s="81">
        <v>45823</v>
      </c>
      <c r="C25" s="80">
        <v>2762</v>
      </c>
      <c r="D25" s="34">
        <f t="shared" si="0"/>
        <v>1.2277808319589578E-2</v>
      </c>
      <c r="F25" s="82">
        <v>25112.400000000001</v>
      </c>
      <c r="G25" s="34">
        <f t="shared" si="1"/>
        <v>-2.0493178041797622E-2</v>
      </c>
    </row>
    <row r="26" spans="2:17" ht="15.75" thickBot="1" x14ac:dyDescent="0.3">
      <c r="B26" s="81">
        <v>45816</v>
      </c>
      <c r="C26" s="80">
        <v>2805.9</v>
      </c>
      <c r="D26" s="34">
        <f t="shared" si="0"/>
        <v>1.5894279507603137E-2</v>
      </c>
      <c r="F26" s="82">
        <v>24718.6</v>
      </c>
      <c r="G26" s="34">
        <f t="shared" si="1"/>
        <v>-1.568149599401103E-2</v>
      </c>
      <c r="I26" t="s">
        <v>166</v>
      </c>
    </row>
    <row r="27" spans="2:17" x14ac:dyDescent="0.25">
      <c r="B27" s="81">
        <v>45809</v>
      </c>
      <c r="C27" s="80">
        <v>2861.1</v>
      </c>
      <c r="D27" s="34">
        <f t="shared" si="0"/>
        <v>1.9672832246337979E-2</v>
      </c>
      <c r="F27" s="82">
        <v>25003.05</v>
      </c>
      <c r="G27" s="34">
        <f t="shared" si="1"/>
        <v>1.1507528743537332E-2</v>
      </c>
      <c r="I27" s="89"/>
      <c r="J27" s="89" t="s">
        <v>170</v>
      </c>
      <c r="K27" s="89" t="s">
        <v>171</v>
      </c>
      <c r="L27" s="89" t="s">
        <v>172</v>
      </c>
      <c r="M27" s="89" t="s">
        <v>173</v>
      </c>
      <c r="N27" s="89" t="s">
        <v>174</v>
      </c>
    </row>
    <row r="28" spans="2:17" x14ac:dyDescent="0.25">
      <c r="B28" s="81">
        <v>45802</v>
      </c>
      <c r="C28" s="80">
        <v>2712.6</v>
      </c>
      <c r="D28" s="34">
        <f t="shared" si="0"/>
        <v>-5.1903114186851229E-2</v>
      </c>
      <c r="F28" s="82">
        <v>24750.7</v>
      </c>
      <c r="G28" s="34">
        <f t="shared" si="1"/>
        <v>-1.0092768682220754E-2</v>
      </c>
      <c r="I28" s="87" t="s">
        <v>167</v>
      </c>
      <c r="J28" s="87">
        <v>1</v>
      </c>
      <c r="K28" s="87">
        <v>3.0532223835043837E-2</v>
      </c>
      <c r="L28" s="87">
        <v>3.0532223835043837E-2</v>
      </c>
      <c r="M28" s="87">
        <v>0.29355024466175195</v>
      </c>
      <c r="N28" s="87">
        <v>0.58914766010361408</v>
      </c>
    </row>
    <row r="29" spans="2:17" x14ac:dyDescent="0.25">
      <c r="B29" s="81">
        <v>45795</v>
      </c>
      <c r="C29" s="80">
        <v>2663.8</v>
      </c>
      <c r="D29" s="34">
        <f t="shared" si="0"/>
        <v>-1.7990120179901092E-2</v>
      </c>
      <c r="F29" s="82">
        <v>24853.15</v>
      </c>
      <c r="G29" s="34">
        <f t="shared" si="1"/>
        <v>4.139276868937003E-3</v>
      </c>
      <c r="I29" s="87" t="s">
        <v>168</v>
      </c>
      <c r="J29" s="87">
        <v>101</v>
      </c>
      <c r="K29" s="87">
        <v>10.505031637404132</v>
      </c>
      <c r="L29" s="87">
        <v>0.10401021423172407</v>
      </c>
      <c r="M29" s="87"/>
      <c r="N29" s="87"/>
    </row>
    <row r="30" spans="2:17" ht="15.75" thickBot="1" x14ac:dyDescent="0.3">
      <c r="B30" s="81">
        <v>45788</v>
      </c>
      <c r="C30" s="80">
        <v>2574.4</v>
      </c>
      <c r="D30" s="34">
        <f t="shared" si="0"/>
        <v>-3.3561078159020985E-2</v>
      </c>
      <c r="F30" s="82">
        <v>25019.8</v>
      </c>
      <c r="G30" s="34">
        <f t="shared" si="1"/>
        <v>6.705387445856914E-3</v>
      </c>
      <c r="I30" s="88" t="s">
        <v>12</v>
      </c>
      <c r="J30" s="88">
        <v>102</v>
      </c>
      <c r="K30" s="88">
        <v>10.535563861239176</v>
      </c>
      <c r="L30" s="88"/>
      <c r="M30" s="88"/>
      <c r="N30" s="88"/>
    </row>
    <row r="31" spans="2:17" ht="15.75" thickBot="1" x14ac:dyDescent="0.3">
      <c r="B31" s="81">
        <v>45781</v>
      </c>
      <c r="C31" s="80">
        <v>2545.8000000000002</v>
      </c>
      <c r="D31" s="34">
        <f t="shared" si="0"/>
        <v>-1.1109384711000536E-2</v>
      </c>
      <c r="F31" s="82">
        <v>24008</v>
      </c>
      <c r="G31" s="34">
        <f t="shared" si="1"/>
        <v>-4.0439971542538311E-2</v>
      </c>
    </row>
    <row r="32" spans="2:17" x14ac:dyDescent="0.25">
      <c r="B32" s="81">
        <v>45774</v>
      </c>
      <c r="C32" s="80">
        <v>2659.4</v>
      </c>
      <c r="D32" s="34">
        <f t="shared" si="0"/>
        <v>4.462251551575136E-2</v>
      </c>
      <c r="F32" s="82">
        <v>24346.7</v>
      </c>
      <c r="G32" s="34">
        <f t="shared" si="1"/>
        <v>1.4107797400866318E-2</v>
      </c>
      <c r="I32" s="89"/>
      <c r="J32" s="89" t="s">
        <v>175</v>
      </c>
      <c r="K32" s="89" t="s">
        <v>164</v>
      </c>
      <c r="L32" s="89" t="s">
        <v>176</v>
      </c>
      <c r="M32" s="89" t="s">
        <v>177</v>
      </c>
      <c r="N32" s="89" t="s">
        <v>178</v>
      </c>
      <c r="O32" s="89" t="s">
        <v>179</v>
      </c>
      <c r="P32" s="89" t="s">
        <v>180</v>
      </c>
      <c r="Q32" s="89" t="s">
        <v>181</v>
      </c>
    </row>
    <row r="33" spans="2:17" x14ac:dyDescent="0.25">
      <c r="B33" s="81">
        <v>45767</v>
      </c>
      <c r="C33" s="80">
        <v>2804.2</v>
      </c>
      <c r="D33" s="34">
        <f t="shared" si="0"/>
        <v>5.4448371813190732E-2</v>
      </c>
      <c r="F33" s="82">
        <v>24039.35</v>
      </c>
      <c r="G33" s="34">
        <f t="shared" si="1"/>
        <v>-1.2623887426222113E-2</v>
      </c>
      <c r="I33" s="87" t="s">
        <v>169</v>
      </c>
      <c r="J33" s="87">
        <v>3.0423987777378435E-2</v>
      </c>
      <c r="K33" s="87">
        <v>3.2009666251403224E-2</v>
      </c>
      <c r="L33" s="87">
        <v>0.95046251149353123</v>
      </c>
      <c r="M33" s="87">
        <v>0.3441461773704515</v>
      </c>
      <c r="N33" s="87">
        <v>-3.3074579559791845E-2</v>
      </c>
      <c r="O33" s="87">
        <v>9.3922555114548723E-2</v>
      </c>
      <c r="P33" s="87">
        <v>-3.3074579559791845E-2</v>
      </c>
      <c r="Q33" s="87">
        <v>9.3922555114548723E-2</v>
      </c>
    </row>
    <row r="34" spans="2:17" ht="15.75" thickBot="1" x14ac:dyDescent="0.3">
      <c r="B34" s="81">
        <v>45760</v>
      </c>
      <c r="C34" s="80">
        <v>2634.8</v>
      </c>
      <c r="D34" s="34">
        <f t="shared" si="0"/>
        <v>-6.0409385921118219E-2</v>
      </c>
      <c r="F34" s="82">
        <v>23851.65</v>
      </c>
      <c r="G34" s="34">
        <f t="shared" si="1"/>
        <v>-7.8080314151587338E-3</v>
      </c>
      <c r="I34" s="88" t="s">
        <v>182</v>
      </c>
      <c r="J34" s="88">
        <v>0.99528527427917546</v>
      </c>
      <c r="K34" s="88">
        <v>1.836988151711006</v>
      </c>
      <c r="L34" s="88">
        <v>0.54180277284431455</v>
      </c>
      <c r="M34" s="88">
        <v>0.58914766010359132</v>
      </c>
      <c r="N34" s="88">
        <v>-2.6488050743320608</v>
      </c>
      <c r="O34" s="88">
        <v>4.6393756228904115</v>
      </c>
      <c r="P34" s="88">
        <v>-2.6488050743320608</v>
      </c>
      <c r="Q34" s="88">
        <v>4.6393756228904115</v>
      </c>
    </row>
    <row r="35" spans="2:17" x14ac:dyDescent="0.25">
      <c r="B35" s="81">
        <v>45753</v>
      </c>
      <c r="C35" s="80">
        <v>2718.3</v>
      </c>
      <c r="D35" s="34">
        <f t="shared" si="0"/>
        <v>3.1691209959010092E-2</v>
      </c>
      <c r="F35" s="82">
        <v>22828.55</v>
      </c>
      <c r="G35" s="34">
        <f t="shared" si="1"/>
        <v>-4.2894307102443685E-2</v>
      </c>
    </row>
    <row r="36" spans="2:17" x14ac:dyDescent="0.25">
      <c r="B36" s="81">
        <v>45746</v>
      </c>
      <c r="C36" s="80">
        <v>2734.8</v>
      </c>
      <c r="D36" s="34">
        <f t="shared" si="0"/>
        <v>6.0699702019644253E-3</v>
      </c>
      <c r="F36" s="82">
        <v>22904.45</v>
      </c>
      <c r="G36" s="34">
        <f t="shared" si="1"/>
        <v>3.3247840971064591E-3</v>
      </c>
    </row>
    <row r="37" spans="2:17" x14ac:dyDescent="0.25">
      <c r="B37" s="81">
        <v>45739</v>
      </c>
      <c r="C37" s="80">
        <v>2760.7</v>
      </c>
      <c r="D37" s="34">
        <f t="shared" si="0"/>
        <v>9.470528009360768E-3</v>
      </c>
      <c r="F37" s="82">
        <v>23519.35</v>
      </c>
      <c r="G37" s="34">
        <f t="shared" si="1"/>
        <v>2.6846311524616251E-2</v>
      </c>
    </row>
    <row r="38" spans="2:17" x14ac:dyDescent="0.25">
      <c r="B38" s="81">
        <v>45732</v>
      </c>
      <c r="C38" s="80">
        <v>2651.25</v>
      </c>
      <c r="D38" s="34">
        <f t="shared" si="0"/>
        <v>-3.9645742021950925E-2</v>
      </c>
      <c r="F38" s="82">
        <v>23350.400000000001</v>
      </c>
      <c r="G38" s="34">
        <f t="shared" si="1"/>
        <v>-7.1834468214468927E-3</v>
      </c>
    </row>
    <row r="39" spans="2:17" x14ac:dyDescent="0.25">
      <c r="B39" s="81">
        <v>45725</v>
      </c>
      <c r="C39" s="80">
        <v>2616.9</v>
      </c>
      <c r="D39" s="34">
        <f t="shared" si="0"/>
        <v>-1.2956152758132888E-2</v>
      </c>
      <c r="F39" s="82">
        <v>22397.200000000001</v>
      </c>
      <c r="G39" s="34">
        <f t="shared" si="1"/>
        <v>-4.0821570508428162E-2</v>
      </c>
    </row>
    <row r="40" spans="2:17" x14ac:dyDescent="0.25">
      <c r="B40" s="81">
        <v>45718</v>
      </c>
      <c r="C40" s="80">
        <v>2611.15</v>
      </c>
      <c r="D40" s="34">
        <f t="shared" si="0"/>
        <v>-2.1972562956169561E-3</v>
      </c>
      <c r="F40" s="82">
        <v>22552.5</v>
      </c>
      <c r="G40" s="34">
        <f t="shared" si="1"/>
        <v>6.9339024520922443E-3</v>
      </c>
    </row>
    <row r="41" spans="2:17" x14ac:dyDescent="0.25">
      <c r="B41" s="81">
        <v>45711</v>
      </c>
      <c r="C41" s="80">
        <v>2469.4</v>
      </c>
      <c r="D41" s="34">
        <f t="shared" si="0"/>
        <v>-5.4286425521322013E-2</v>
      </c>
      <c r="F41" s="82">
        <v>22124.7</v>
      </c>
      <c r="G41" s="34">
        <f t="shared" si="1"/>
        <v>-1.8969072164948475E-2</v>
      </c>
    </row>
    <row r="42" spans="2:17" x14ac:dyDescent="0.25">
      <c r="B42" s="81">
        <v>45704</v>
      </c>
      <c r="C42" s="80">
        <v>2370.1999999999998</v>
      </c>
      <c r="D42" s="34">
        <f t="shared" si="0"/>
        <v>-4.0171701627925938E-2</v>
      </c>
      <c r="F42" s="82">
        <v>22795.9</v>
      </c>
      <c r="G42" s="34">
        <f t="shared" si="1"/>
        <v>3.0337134514818231E-2</v>
      </c>
    </row>
    <row r="43" spans="2:17" x14ac:dyDescent="0.25">
      <c r="B43" s="81">
        <v>45697</v>
      </c>
      <c r="C43" s="80">
        <v>2407.25</v>
      </c>
      <c r="D43" s="34">
        <f t="shared" si="0"/>
        <v>1.5631592270694439E-2</v>
      </c>
      <c r="F43" s="82">
        <v>22929.25</v>
      </c>
      <c r="G43" s="34">
        <f t="shared" si="1"/>
        <v>5.8497361367613188E-3</v>
      </c>
    </row>
    <row r="44" spans="2:17" x14ac:dyDescent="0.25">
      <c r="B44" s="81">
        <v>45690</v>
      </c>
      <c r="C44" s="80">
        <v>2306.65</v>
      </c>
      <c r="D44" s="34">
        <f t="shared" si="0"/>
        <v>-4.1790424758541889E-2</v>
      </c>
      <c r="F44" s="82">
        <v>23559.95</v>
      </c>
      <c r="G44" s="34">
        <f t="shared" si="1"/>
        <v>2.7506351058146361E-2</v>
      </c>
    </row>
    <row r="45" spans="2:17" x14ac:dyDescent="0.25">
      <c r="B45" s="81">
        <v>45683</v>
      </c>
      <c r="C45" s="80">
        <v>2431.0500000000002</v>
      </c>
      <c r="D45" s="34">
        <f t="shared" si="0"/>
        <v>5.3931025513190178E-2</v>
      </c>
      <c r="F45" s="82">
        <v>23508.400000000001</v>
      </c>
      <c r="G45" s="34">
        <f t="shared" si="1"/>
        <v>-2.188035203809835E-3</v>
      </c>
    </row>
    <row r="46" spans="2:17" x14ac:dyDescent="0.25">
      <c r="B46" s="81">
        <v>45676</v>
      </c>
      <c r="C46" s="80">
        <v>2431.3000000000002</v>
      </c>
      <c r="D46" s="34">
        <f t="shared" si="0"/>
        <v>1.0283622303131068E-4</v>
      </c>
      <c r="F46" s="82">
        <v>23092.2</v>
      </c>
      <c r="G46" s="34">
        <f t="shared" si="1"/>
        <v>-1.7704309948784247E-2</v>
      </c>
    </row>
    <row r="47" spans="2:17" x14ac:dyDescent="0.25">
      <c r="B47" s="81">
        <v>45669</v>
      </c>
      <c r="C47" s="80">
        <v>2487.6</v>
      </c>
      <c r="D47" s="34">
        <f t="shared" si="0"/>
        <v>2.3156336116480825E-2</v>
      </c>
      <c r="F47" s="82">
        <v>23203.200000000001</v>
      </c>
      <c r="G47" s="34">
        <f t="shared" si="1"/>
        <v>4.8068178865590117E-3</v>
      </c>
    </row>
    <row r="48" spans="2:17" x14ac:dyDescent="0.25">
      <c r="B48" s="81">
        <v>45662</v>
      </c>
      <c r="C48" s="80">
        <v>2508.85</v>
      </c>
      <c r="D48" s="34">
        <f t="shared" si="0"/>
        <v>8.5423701559736998E-3</v>
      </c>
      <c r="F48" s="82">
        <v>23431.5</v>
      </c>
      <c r="G48" s="34">
        <f t="shared" si="1"/>
        <v>9.8391601158460684E-3</v>
      </c>
    </row>
    <row r="49" spans="2:7" x14ac:dyDescent="0.25">
      <c r="B49" s="81">
        <v>45655</v>
      </c>
      <c r="C49" s="80">
        <v>2490.75</v>
      </c>
      <c r="D49" s="34">
        <f t="shared" si="0"/>
        <v>-7.2144608087369999E-3</v>
      </c>
      <c r="F49" s="82">
        <v>24004.75</v>
      </c>
      <c r="G49" s="34">
        <f t="shared" si="1"/>
        <v>2.4464929688666981E-2</v>
      </c>
    </row>
    <row r="50" spans="2:7" x14ac:dyDescent="0.25">
      <c r="B50" s="81">
        <v>45648</v>
      </c>
      <c r="C50" s="80">
        <v>2375.85</v>
      </c>
      <c r="D50" s="34">
        <f t="shared" si="0"/>
        <v>-4.6130683529057581E-2</v>
      </c>
      <c r="F50" s="82">
        <v>23813.4</v>
      </c>
      <c r="G50" s="34">
        <f t="shared" si="1"/>
        <v>-7.9713390058216982E-3</v>
      </c>
    </row>
    <row r="51" spans="2:7" x14ac:dyDescent="0.25">
      <c r="B51" s="81">
        <v>45641</v>
      </c>
      <c r="C51" s="80">
        <v>2364.1</v>
      </c>
      <c r="D51" s="34">
        <f t="shared" si="0"/>
        <v>-4.9455984174084922E-3</v>
      </c>
      <c r="F51" s="82">
        <v>23587.5</v>
      </c>
      <c r="G51" s="34">
        <f t="shared" si="1"/>
        <v>-9.4862556375822082E-3</v>
      </c>
    </row>
    <row r="52" spans="2:7" x14ac:dyDescent="0.25">
      <c r="B52" s="81">
        <v>45634</v>
      </c>
      <c r="C52" s="80">
        <v>2510</v>
      </c>
      <c r="D52" s="34">
        <f t="shared" si="0"/>
        <v>6.171481747811014E-2</v>
      </c>
      <c r="F52" s="82">
        <v>24768.3</v>
      </c>
      <c r="G52" s="34">
        <f t="shared" si="1"/>
        <v>5.0060413354531041E-2</v>
      </c>
    </row>
    <row r="53" spans="2:7" x14ac:dyDescent="0.25">
      <c r="B53" s="81">
        <v>45627</v>
      </c>
      <c r="C53" s="80">
        <v>2480.3000000000002</v>
      </c>
      <c r="D53" s="34">
        <f t="shared" si="0"/>
        <v>-1.18326693227091E-2</v>
      </c>
      <c r="F53" s="82">
        <v>24677.8</v>
      </c>
      <c r="G53" s="34">
        <f t="shared" si="1"/>
        <v>-3.653864011660013E-3</v>
      </c>
    </row>
    <row r="54" spans="2:7" x14ac:dyDescent="0.25">
      <c r="B54" s="81">
        <v>45620</v>
      </c>
      <c r="C54" s="80">
        <v>2488.6999999999998</v>
      </c>
      <c r="D54" s="34">
        <f t="shared" si="0"/>
        <v>3.3866870943028982E-3</v>
      </c>
      <c r="F54" s="82">
        <v>24131.1</v>
      </c>
      <c r="G54" s="34">
        <f t="shared" si="1"/>
        <v>-2.2153514494809179E-2</v>
      </c>
    </row>
    <row r="55" spans="2:7" x14ac:dyDescent="0.25">
      <c r="B55" s="81">
        <v>45613</v>
      </c>
      <c r="C55" s="80">
        <v>2692.7</v>
      </c>
      <c r="D55" s="34">
        <f t="shared" si="0"/>
        <v>8.1970506690239864E-2</v>
      </c>
      <c r="F55" s="82">
        <v>23907.25</v>
      </c>
      <c r="G55" s="34">
        <f t="shared" si="1"/>
        <v>-9.2764109385812255E-3</v>
      </c>
    </row>
    <row r="56" spans="2:7" x14ac:dyDescent="0.25">
      <c r="B56" s="81">
        <v>45606</v>
      </c>
      <c r="C56" s="80">
        <v>2701.9</v>
      </c>
      <c r="D56" s="34">
        <f t="shared" si="0"/>
        <v>3.4166450031567486E-3</v>
      </c>
      <c r="F56" s="82">
        <v>23532.7</v>
      </c>
      <c r="G56" s="34">
        <f t="shared" si="1"/>
        <v>-1.5666795637306663E-2</v>
      </c>
    </row>
    <row r="57" spans="2:7" x14ac:dyDescent="0.25">
      <c r="B57" s="81">
        <v>45599</v>
      </c>
      <c r="C57" s="80">
        <v>2606.25</v>
      </c>
      <c r="D57" s="34">
        <f t="shared" si="0"/>
        <v>-3.5401014101188122E-2</v>
      </c>
      <c r="F57" s="82">
        <v>24148.2</v>
      </c>
      <c r="G57" s="34">
        <f t="shared" si="1"/>
        <v>2.6155094825498049E-2</v>
      </c>
    </row>
    <row r="58" spans="2:7" x14ac:dyDescent="0.25">
      <c r="B58" s="81">
        <v>45592</v>
      </c>
      <c r="C58" s="80">
        <v>2598.65</v>
      </c>
      <c r="D58" s="34">
        <f t="shared" si="0"/>
        <v>-2.9160671462828969E-3</v>
      </c>
      <c r="F58" s="82">
        <v>24304.35</v>
      </c>
      <c r="G58" s="34">
        <f t="shared" si="1"/>
        <v>6.4663204710908584E-3</v>
      </c>
    </row>
    <row r="59" spans="2:7" x14ac:dyDescent="0.25">
      <c r="B59" s="81">
        <v>45585</v>
      </c>
      <c r="C59" s="80">
        <v>2523.9499999999998</v>
      </c>
      <c r="D59" s="34">
        <f t="shared" si="0"/>
        <v>-2.8745694880033978E-2</v>
      </c>
      <c r="F59" s="82">
        <v>24180.799999999999</v>
      </c>
      <c r="G59" s="34">
        <f t="shared" si="1"/>
        <v>-5.0834521392261189E-3</v>
      </c>
    </row>
    <row r="60" spans="2:7" x14ac:dyDescent="0.25">
      <c r="B60" s="81">
        <v>45578</v>
      </c>
      <c r="C60" s="80">
        <v>2544.85</v>
      </c>
      <c r="D60" s="34">
        <f t="shared" si="0"/>
        <v>8.2806711701897129E-3</v>
      </c>
      <c r="F60" s="82">
        <v>24854.05</v>
      </c>
      <c r="G60" s="34">
        <f t="shared" si="1"/>
        <v>2.7842337722490562E-2</v>
      </c>
    </row>
    <row r="61" spans="2:7" x14ac:dyDescent="0.25">
      <c r="B61" s="81">
        <v>45571</v>
      </c>
      <c r="C61" s="80">
        <v>2698.9</v>
      </c>
      <c r="D61" s="34">
        <f t="shared" si="0"/>
        <v>6.0534019686818485E-2</v>
      </c>
      <c r="F61" s="82">
        <v>24964.25</v>
      </c>
      <c r="G61" s="34">
        <f t="shared" si="1"/>
        <v>4.4338850207512603E-3</v>
      </c>
    </row>
    <row r="62" spans="2:7" x14ac:dyDescent="0.25">
      <c r="B62" s="81">
        <v>45564</v>
      </c>
      <c r="C62" s="80">
        <v>11450.25</v>
      </c>
      <c r="D62" s="34">
        <f t="shared" si="0"/>
        <v>3.242561784430694</v>
      </c>
      <c r="F62" s="82">
        <v>25014.6</v>
      </c>
      <c r="G62" s="34">
        <f t="shared" si="1"/>
        <v>2.0168841443264363E-3</v>
      </c>
    </row>
    <row r="63" spans="2:7" x14ac:dyDescent="0.25">
      <c r="B63" s="81">
        <v>45557</v>
      </c>
      <c r="C63" s="80">
        <v>11952.3</v>
      </c>
      <c r="D63" s="34">
        <f t="shared" si="0"/>
        <v>4.3846204231348551E-2</v>
      </c>
      <c r="F63" s="82">
        <v>26178.95</v>
      </c>
      <c r="G63" s="34">
        <f t="shared" si="1"/>
        <v>4.6546816659071233E-2</v>
      </c>
    </row>
    <row r="64" spans="2:7" x14ac:dyDescent="0.25">
      <c r="B64" s="81">
        <v>45550</v>
      </c>
      <c r="C64" s="80">
        <v>11798.3</v>
      </c>
      <c r="D64" s="34">
        <f t="shared" si="0"/>
        <v>-1.2884549417267022E-2</v>
      </c>
      <c r="F64" s="82">
        <v>25790.95</v>
      </c>
      <c r="G64" s="34">
        <f t="shared" si="1"/>
        <v>-1.4821068071866894E-2</v>
      </c>
    </row>
    <row r="65" spans="2:7" x14ac:dyDescent="0.25">
      <c r="B65" s="81">
        <v>45543</v>
      </c>
      <c r="C65" s="80">
        <v>11717.95</v>
      </c>
      <c r="D65" s="34">
        <f t="shared" si="0"/>
        <v>-6.8103031792714486E-3</v>
      </c>
      <c r="F65" s="82">
        <v>25356.5</v>
      </c>
      <c r="G65" s="34">
        <f t="shared" si="1"/>
        <v>-1.684505611464493E-2</v>
      </c>
    </row>
    <row r="66" spans="2:7" x14ac:dyDescent="0.25">
      <c r="B66" s="81">
        <v>45536</v>
      </c>
      <c r="C66" s="80">
        <v>11432.85</v>
      </c>
      <c r="D66" s="34">
        <f t="shared" si="0"/>
        <v>-2.4330194274595818E-2</v>
      </c>
      <c r="F66" s="82">
        <v>24852.15</v>
      </c>
      <c r="G66" s="34">
        <f t="shared" si="1"/>
        <v>-1.9890363417664036E-2</v>
      </c>
    </row>
    <row r="67" spans="2:7" x14ac:dyDescent="0.25">
      <c r="B67" s="81">
        <v>45529</v>
      </c>
      <c r="C67" s="80">
        <v>11301.9</v>
      </c>
      <c r="D67" s="34">
        <f t="shared" si="0"/>
        <v>-1.1453836969784525E-2</v>
      </c>
      <c r="F67" s="82">
        <v>25235.9</v>
      </c>
      <c r="G67" s="34">
        <f t="shared" si="1"/>
        <v>1.544131996628062E-2</v>
      </c>
    </row>
    <row r="68" spans="2:7" x14ac:dyDescent="0.25">
      <c r="B68" s="81">
        <v>45522</v>
      </c>
      <c r="C68" s="80">
        <v>11341.8</v>
      </c>
      <c r="D68" s="34">
        <f t="shared" si="0"/>
        <v>3.5303798476362669E-3</v>
      </c>
      <c r="F68" s="82">
        <v>24823.15</v>
      </c>
      <c r="G68" s="34">
        <f t="shared" si="1"/>
        <v>-1.6355667917530181E-2</v>
      </c>
    </row>
    <row r="69" spans="2:7" x14ac:dyDescent="0.25">
      <c r="B69" s="81">
        <v>45515</v>
      </c>
      <c r="C69" s="80">
        <v>11295.7</v>
      </c>
      <c r="D69" s="34">
        <f t="shared" si="0"/>
        <v>-4.0646105556435552E-3</v>
      </c>
      <c r="F69" s="82">
        <v>24541.15</v>
      </c>
      <c r="G69" s="34">
        <f t="shared" si="1"/>
        <v>-1.1360363209342861E-2</v>
      </c>
    </row>
    <row r="70" spans="2:7" x14ac:dyDescent="0.25">
      <c r="B70" s="81">
        <v>45508</v>
      </c>
      <c r="C70" s="80">
        <v>11300.35</v>
      </c>
      <c r="D70" s="34">
        <f t="shared" si="0"/>
        <v>4.1166107456813705E-4</v>
      </c>
      <c r="F70" s="82">
        <v>24367.5</v>
      </c>
      <c r="G70" s="34">
        <f t="shared" si="1"/>
        <v>-7.0758705276647849E-3</v>
      </c>
    </row>
    <row r="71" spans="2:7" x14ac:dyDescent="0.25">
      <c r="B71" s="81">
        <v>45501</v>
      </c>
      <c r="C71" s="80">
        <v>11764.5</v>
      </c>
      <c r="D71" s="34">
        <f t="shared" si="0"/>
        <v>4.1073949036976698E-2</v>
      </c>
      <c r="F71" s="82">
        <v>24717.7</v>
      </c>
      <c r="G71" s="34">
        <f t="shared" si="1"/>
        <v>1.4371601518415877E-2</v>
      </c>
    </row>
    <row r="72" spans="2:7" x14ac:dyDescent="0.25">
      <c r="B72" s="81">
        <v>45494</v>
      </c>
      <c r="C72" s="80">
        <v>11673.05</v>
      </c>
      <c r="D72" s="34">
        <f t="shared" si="0"/>
        <v>-7.7733860342557026E-3</v>
      </c>
      <c r="F72" s="82">
        <v>24834.85</v>
      </c>
      <c r="G72" s="34">
        <f t="shared" si="1"/>
        <v>4.7395186445340354E-3</v>
      </c>
    </row>
    <row r="73" spans="2:7" x14ac:dyDescent="0.25">
      <c r="B73" s="81">
        <v>45487</v>
      </c>
      <c r="C73" s="80">
        <v>11258.3</v>
      </c>
      <c r="D73" s="34">
        <f t="shared" si="0"/>
        <v>-3.5530559708045417E-2</v>
      </c>
      <c r="F73" s="82">
        <v>24530.9</v>
      </c>
      <c r="G73" s="34">
        <f t="shared" si="1"/>
        <v>-1.2238849842056476E-2</v>
      </c>
    </row>
    <row r="74" spans="2:7" x14ac:dyDescent="0.25">
      <c r="B74" s="81">
        <v>45480</v>
      </c>
      <c r="C74" s="80">
        <v>11602.3</v>
      </c>
      <c r="D74" s="34">
        <f t="shared" si="0"/>
        <v>3.055523480454414E-2</v>
      </c>
      <c r="F74" s="82">
        <v>24502.15</v>
      </c>
      <c r="G74" s="34">
        <f t="shared" si="1"/>
        <v>-1.1719912436967128E-3</v>
      </c>
    </row>
    <row r="75" spans="2:7" x14ac:dyDescent="0.25">
      <c r="B75" s="81">
        <v>45473</v>
      </c>
      <c r="C75" s="80">
        <v>11690.15</v>
      </c>
      <c r="D75" s="34">
        <f t="shared" si="0"/>
        <v>7.5717745619403587E-3</v>
      </c>
      <c r="F75" s="82">
        <v>24323.85</v>
      </c>
      <c r="G75" s="34">
        <f t="shared" si="1"/>
        <v>-7.2769124342150215E-3</v>
      </c>
    </row>
    <row r="76" spans="2:7" x14ac:dyDescent="0.25">
      <c r="B76" s="81">
        <v>45466</v>
      </c>
      <c r="C76" s="80">
        <v>11667.9</v>
      </c>
      <c r="D76" s="34">
        <f t="shared" ref="D76:D113" si="2">C76/C75-1</f>
        <v>-1.9033117624667195E-3</v>
      </c>
      <c r="F76" s="82">
        <v>24010.6</v>
      </c>
      <c r="G76" s="34">
        <f t="shared" ref="G76:G113" si="3">F76/F75-1</f>
        <v>-1.2878306682535867E-2</v>
      </c>
    </row>
    <row r="77" spans="2:7" x14ac:dyDescent="0.25">
      <c r="B77" s="81">
        <v>45459</v>
      </c>
      <c r="C77" s="80">
        <v>10662.4</v>
      </c>
      <c r="D77" s="34">
        <f t="shared" si="2"/>
        <v>-8.6176604187557349E-2</v>
      </c>
      <c r="F77" s="82">
        <v>23501.1</v>
      </c>
      <c r="G77" s="34">
        <f t="shared" si="3"/>
        <v>-2.1219794590722429E-2</v>
      </c>
    </row>
    <row r="78" spans="2:7" x14ac:dyDescent="0.25">
      <c r="B78" s="81">
        <v>45452</v>
      </c>
      <c r="C78" s="80">
        <v>11242.8</v>
      </c>
      <c r="D78" s="34">
        <f t="shared" si="2"/>
        <v>5.4434273709483838E-2</v>
      </c>
      <c r="F78" s="82">
        <v>23465.599999999999</v>
      </c>
      <c r="G78" s="34">
        <f t="shared" si="3"/>
        <v>-1.5105675904532045E-3</v>
      </c>
    </row>
    <row r="79" spans="2:7" x14ac:dyDescent="0.25">
      <c r="B79" s="81">
        <v>45445</v>
      </c>
      <c r="C79" s="80">
        <v>10463.15</v>
      </c>
      <c r="D79" s="34">
        <f t="shared" si="2"/>
        <v>-6.9346604048813432E-2</v>
      </c>
      <c r="F79" s="82">
        <v>23290.15</v>
      </c>
      <c r="G79" s="34">
        <f t="shared" si="3"/>
        <v>-7.4769023591980677E-3</v>
      </c>
    </row>
    <row r="80" spans="2:7" x14ac:dyDescent="0.25">
      <c r="B80" s="81">
        <v>45438</v>
      </c>
      <c r="C80" s="80">
        <v>9915.5</v>
      </c>
      <c r="D80" s="34">
        <f t="shared" si="2"/>
        <v>-5.2340834261192848E-2</v>
      </c>
      <c r="F80" s="82">
        <v>22530.7</v>
      </c>
      <c r="G80" s="34">
        <f t="shared" si="3"/>
        <v>-3.2608205614820029E-2</v>
      </c>
    </row>
    <row r="81" spans="2:7" x14ac:dyDescent="0.25">
      <c r="B81" s="81">
        <v>45431</v>
      </c>
      <c r="C81" s="80">
        <v>10231.1</v>
      </c>
      <c r="D81" s="34">
        <f t="shared" si="2"/>
        <v>3.1828954666935694E-2</v>
      </c>
      <c r="F81" s="82">
        <v>22957.1</v>
      </c>
      <c r="G81" s="34">
        <f t="shared" si="3"/>
        <v>1.8925288606212787E-2</v>
      </c>
    </row>
    <row r="82" spans="2:7" x14ac:dyDescent="0.25">
      <c r="B82" s="81">
        <v>45424</v>
      </c>
      <c r="C82" s="80">
        <v>9890.35</v>
      </c>
      <c r="D82" s="34">
        <f t="shared" si="2"/>
        <v>-3.3305314189090107E-2</v>
      </c>
      <c r="F82" s="82">
        <v>22466.1</v>
      </c>
      <c r="G82" s="34">
        <f t="shared" si="3"/>
        <v>-2.1387718832082458E-2</v>
      </c>
    </row>
    <row r="83" spans="2:7" x14ac:dyDescent="0.25">
      <c r="B83" s="81">
        <v>45417</v>
      </c>
      <c r="C83" s="80">
        <v>9491.7000000000007</v>
      </c>
      <c r="D83" s="34">
        <f t="shared" si="2"/>
        <v>-4.0306965880883894E-2</v>
      </c>
      <c r="F83" s="82">
        <v>22055.200000000001</v>
      </c>
      <c r="G83" s="34">
        <f t="shared" si="3"/>
        <v>-1.8289778822314418E-2</v>
      </c>
    </row>
    <row r="84" spans="2:7" x14ac:dyDescent="0.25">
      <c r="B84" s="81">
        <v>45410</v>
      </c>
      <c r="C84" s="80">
        <v>9816.2999999999993</v>
      </c>
      <c r="D84" s="34">
        <f t="shared" si="2"/>
        <v>3.4198299566990054E-2</v>
      </c>
      <c r="F84" s="82">
        <v>22475.85</v>
      </c>
      <c r="G84" s="34">
        <f t="shared" si="3"/>
        <v>1.9072599659037293E-2</v>
      </c>
    </row>
    <row r="85" spans="2:7" x14ac:dyDescent="0.25">
      <c r="B85" s="81">
        <v>45403</v>
      </c>
      <c r="C85" s="80">
        <v>9700.9</v>
      </c>
      <c r="D85" s="34">
        <f t="shared" si="2"/>
        <v>-1.175595692878173E-2</v>
      </c>
      <c r="F85" s="82">
        <v>22419.95</v>
      </c>
      <c r="G85" s="34">
        <f t="shared" si="3"/>
        <v>-2.4871139467471659E-3</v>
      </c>
    </row>
    <row r="86" spans="2:7" x14ac:dyDescent="0.25">
      <c r="B86" s="81">
        <v>45396</v>
      </c>
      <c r="C86" s="80">
        <v>9363.9500000000007</v>
      </c>
      <c r="D86" s="34">
        <f t="shared" si="2"/>
        <v>-3.4733890669937706E-2</v>
      </c>
      <c r="F86" s="82">
        <v>22147</v>
      </c>
      <c r="G86" s="34">
        <f t="shared" si="3"/>
        <v>-1.2174425009868428E-2</v>
      </c>
    </row>
    <row r="87" spans="2:7" x14ac:dyDescent="0.25">
      <c r="B87" s="81">
        <v>45389</v>
      </c>
      <c r="C87" s="80">
        <v>9652.5499999999993</v>
      </c>
      <c r="D87" s="34">
        <f t="shared" si="2"/>
        <v>3.0820326891963123E-2</v>
      </c>
      <c r="F87" s="82">
        <v>22519.4</v>
      </c>
      <c r="G87" s="34">
        <f t="shared" si="3"/>
        <v>1.6814918499119536E-2</v>
      </c>
    </row>
    <row r="88" spans="2:7" x14ac:dyDescent="0.25">
      <c r="B88" s="81">
        <v>45382</v>
      </c>
      <c r="C88" s="80">
        <v>9823.6</v>
      </c>
      <c r="D88" s="34">
        <f t="shared" si="2"/>
        <v>1.7720705927449343E-2</v>
      </c>
      <c r="F88" s="82">
        <v>22513.7</v>
      </c>
      <c r="G88" s="34">
        <f t="shared" si="3"/>
        <v>-2.5311509187642134E-4</v>
      </c>
    </row>
    <row r="89" spans="2:7" x14ac:dyDescent="0.25">
      <c r="B89" s="81">
        <v>45375</v>
      </c>
      <c r="C89" s="80">
        <v>9749.15</v>
      </c>
      <c r="D89" s="34">
        <f t="shared" si="2"/>
        <v>-7.5786880573314175E-3</v>
      </c>
      <c r="F89" s="82">
        <v>22326.9</v>
      </c>
      <c r="G89" s="34">
        <f t="shared" si="3"/>
        <v>-8.2971701674979803E-3</v>
      </c>
    </row>
    <row r="90" spans="2:7" x14ac:dyDescent="0.25">
      <c r="B90" s="81">
        <v>45368</v>
      </c>
      <c r="C90" s="80">
        <v>9681.75</v>
      </c>
      <c r="D90" s="34">
        <f t="shared" si="2"/>
        <v>-6.913423221511561E-3</v>
      </c>
      <c r="F90" s="82">
        <v>22096.75</v>
      </c>
      <c r="G90" s="34">
        <f t="shared" si="3"/>
        <v>-1.0308193255669229E-2</v>
      </c>
    </row>
    <row r="91" spans="2:7" x14ac:dyDescent="0.25">
      <c r="B91" s="81">
        <v>45361</v>
      </c>
      <c r="C91" s="80">
        <v>9632.9500000000007</v>
      </c>
      <c r="D91" s="34">
        <f t="shared" si="2"/>
        <v>-5.0404110827070303E-3</v>
      </c>
      <c r="F91" s="82">
        <v>22023.35</v>
      </c>
      <c r="G91" s="34">
        <f t="shared" si="3"/>
        <v>-3.3217554617761547E-3</v>
      </c>
    </row>
    <row r="92" spans="2:7" x14ac:dyDescent="0.25">
      <c r="B92" s="81">
        <v>45354</v>
      </c>
      <c r="C92" s="80">
        <v>9673.15</v>
      </c>
      <c r="D92" s="34">
        <f t="shared" si="2"/>
        <v>4.1731764412769046E-3</v>
      </c>
      <c r="F92" s="82">
        <v>22493.55</v>
      </c>
      <c r="G92" s="34">
        <f t="shared" si="3"/>
        <v>2.1350067087886337E-2</v>
      </c>
    </row>
    <row r="93" spans="2:7" x14ac:dyDescent="0.25">
      <c r="B93" s="81">
        <v>45347</v>
      </c>
      <c r="C93" s="80">
        <v>10135.5</v>
      </c>
      <c r="D93" s="34">
        <f t="shared" si="2"/>
        <v>4.7797253221546265E-2</v>
      </c>
      <c r="F93" s="82">
        <v>22338.75</v>
      </c>
      <c r="G93" s="34">
        <f t="shared" si="3"/>
        <v>-6.8819728322118134E-3</v>
      </c>
    </row>
    <row r="94" spans="2:7" x14ac:dyDescent="0.25">
      <c r="B94" s="81">
        <v>45340</v>
      </c>
      <c r="C94" s="80">
        <v>10000.9</v>
      </c>
      <c r="D94" s="34">
        <f t="shared" si="2"/>
        <v>-1.3280055251344347E-2</v>
      </c>
      <c r="F94" s="82">
        <v>22212.7</v>
      </c>
      <c r="G94" s="34">
        <f t="shared" si="3"/>
        <v>-5.6426612948351496E-3</v>
      </c>
    </row>
    <row r="95" spans="2:7" x14ac:dyDescent="0.25">
      <c r="B95" s="81">
        <v>45333</v>
      </c>
      <c r="C95" s="80">
        <v>9916.2000000000007</v>
      </c>
      <c r="D95" s="34">
        <f t="shared" si="2"/>
        <v>-8.4692377686007569E-3</v>
      </c>
      <c r="F95" s="82">
        <v>22040.7</v>
      </c>
      <c r="G95" s="34">
        <f t="shared" si="3"/>
        <v>-7.7433180117680855E-3</v>
      </c>
    </row>
    <row r="96" spans="2:7" x14ac:dyDescent="0.25">
      <c r="B96" s="81">
        <v>45326</v>
      </c>
      <c r="C96" s="80">
        <v>9945.75</v>
      </c>
      <c r="D96" s="34">
        <f t="shared" si="2"/>
        <v>2.9799721667573831E-3</v>
      </c>
      <c r="F96" s="82">
        <v>21782.5</v>
      </c>
      <c r="G96" s="34">
        <f t="shared" si="3"/>
        <v>-1.1714691457167858E-2</v>
      </c>
    </row>
    <row r="97" spans="2:7" x14ac:dyDescent="0.25">
      <c r="B97" s="81">
        <v>45319</v>
      </c>
      <c r="C97" s="80">
        <v>10098.549999999999</v>
      </c>
      <c r="D97" s="34">
        <f t="shared" si="2"/>
        <v>1.5363346152879265E-2</v>
      </c>
      <c r="F97" s="82">
        <v>21853.8</v>
      </c>
      <c r="G97" s="34">
        <f t="shared" si="3"/>
        <v>3.273269826695735E-3</v>
      </c>
    </row>
    <row r="98" spans="2:7" x14ac:dyDescent="0.25">
      <c r="B98" s="81">
        <v>45312</v>
      </c>
      <c r="C98" s="80">
        <v>9969.35</v>
      </c>
      <c r="D98" s="34">
        <f t="shared" si="2"/>
        <v>-1.2793915958231539E-2</v>
      </c>
      <c r="F98" s="82">
        <v>21352.6</v>
      </c>
      <c r="G98" s="34">
        <f t="shared" si="3"/>
        <v>-2.2934226541837188E-2</v>
      </c>
    </row>
    <row r="99" spans="2:7" x14ac:dyDescent="0.25">
      <c r="B99" s="81">
        <v>45305</v>
      </c>
      <c r="C99" s="80">
        <v>10093.700000000001</v>
      </c>
      <c r="D99" s="34">
        <f t="shared" si="2"/>
        <v>1.2473230451333306E-2</v>
      </c>
      <c r="F99" s="82">
        <v>21622.400000000001</v>
      </c>
      <c r="G99" s="34">
        <f t="shared" si="3"/>
        <v>1.2635463596939234E-2</v>
      </c>
    </row>
    <row r="100" spans="2:7" x14ac:dyDescent="0.25">
      <c r="B100" s="81">
        <v>45298</v>
      </c>
      <c r="C100" s="80">
        <v>9808.4500000000007</v>
      </c>
      <c r="D100" s="34">
        <f t="shared" si="2"/>
        <v>-2.8260201908120952E-2</v>
      </c>
      <c r="F100" s="82">
        <v>21894.55</v>
      </c>
      <c r="G100" s="34">
        <f t="shared" si="3"/>
        <v>1.2586484386561958E-2</v>
      </c>
    </row>
    <row r="101" spans="2:7" x14ac:dyDescent="0.25">
      <c r="B101" s="81">
        <v>45291</v>
      </c>
      <c r="C101" s="80">
        <v>10016.049999999999</v>
      </c>
      <c r="D101" s="34">
        <f t="shared" si="2"/>
        <v>2.1165423690796992E-2</v>
      </c>
      <c r="F101" s="82">
        <v>21710.799999999999</v>
      </c>
      <c r="G101" s="34">
        <f t="shared" si="3"/>
        <v>-8.3924995033010097E-3</v>
      </c>
    </row>
    <row r="102" spans="2:7" x14ac:dyDescent="0.25">
      <c r="B102" s="81">
        <v>45284</v>
      </c>
      <c r="C102" s="80">
        <v>10503.05</v>
      </c>
      <c r="D102" s="34">
        <f t="shared" si="2"/>
        <v>4.8621961751388998E-2</v>
      </c>
      <c r="F102" s="82">
        <v>21731.4</v>
      </c>
      <c r="G102" s="34">
        <f t="shared" si="3"/>
        <v>9.4883652375776784E-4</v>
      </c>
    </row>
    <row r="103" spans="2:7" x14ac:dyDescent="0.25">
      <c r="B103" s="81">
        <v>45277</v>
      </c>
      <c r="C103" s="80">
        <v>9969</v>
      </c>
      <c r="D103" s="34">
        <f t="shared" si="2"/>
        <v>-5.0847134879868139E-2</v>
      </c>
      <c r="F103" s="82">
        <v>21349.4</v>
      </c>
      <c r="G103" s="34">
        <f t="shared" si="3"/>
        <v>-1.7578250825993735E-2</v>
      </c>
    </row>
    <row r="104" spans="2:7" x14ac:dyDescent="0.25">
      <c r="B104" s="81">
        <v>45270</v>
      </c>
      <c r="C104" s="80">
        <v>10029.450000000001</v>
      </c>
      <c r="D104" s="34">
        <f t="shared" si="2"/>
        <v>6.0637977730966242E-3</v>
      </c>
      <c r="F104" s="82">
        <v>21456.65</v>
      </c>
      <c r="G104" s="34">
        <f t="shared" si="3"/>
        <v>5.023560381087977E-3</v>
      </c>
    </row>
    <row r="105" spans="2:7" x14ac:dyDescent="0.25">
      <c r="B105" s="81">
        <v>45263</v>
      </c>
      <c r="C105" s="80">
        <v>9413.5499999999993</v>
      </c>
      <c r="D105" s="34">
        <f t="shared" si="2"/>
        <v>-6.1409150053093775E-2</v>
      </c>
      <c r="F105" s="82">
        <v>20969.400000000001</v>
      </c>
      <c r="G105" s="34">
        <f t="shared" si="3"/>
        <v>-2.2708577527246754E-2</v>
      </c>
    </row>
    <row r="106" spans="2:7" x14ac:dyDescent="0.25">
      <c r="B106" s="81">
        <v>45256</v>
      </c>
      <c r="C106" s="80">
        <v>9033.85</v>
      </c>
      <c r="D106" s="34">
        <f t="shared" si="2"/>
        <v>-4.0335473864801186E-2</v>
      </c>
      <c r="F106" s="82">
        <v>20267.900000000001</v>
      </c>
      <c r="G106" s="34">
        <f t="shared" si="3"/>
        <v>-3.3453508445639879E-2</v>
      </c>
    </row>
    <row r="107" spans="2:7" x14ac:dyDescent="0.25">
      <c r="B107" s="81">
        <v>45249</v>
      </c>
      <c r="C107" s="80">
        <v>8556.2000000000007</v>
      </c>
      <c r="D107" s="34">
        <f t="shared" si="2"/>
        <v>-5.2873359641791629E-2</v>
      </c>
      <c r="F107" s="82">
        <v>19794.7</v>
      </c>
      <c r="G107" s="34">
        <f t="shared" si="3"/>
        <v>-2.3347263406667706E-2</v>
      </c>
    </row>
    <row r="108" spans="2:7" x14ac:dyDescent="0.25">
      <c r="B108" s="81">
        <v>45242</v>
      </c>
      <c r="C108" s="80">
        <v>8790.9500000000007</v>
      </c>
      <c r="D108" s="34">
        <f t="shared" si="2"/>
        <v>2.7436245062060216E-2</v>
      </c>
      <c r="F108" s="82">
        <v>19731.8</v>
      </c>
      <c r="G108" s="34">
        <f t="shared" si="3"/>
        <v>-3.1776182513502116E-3</v>
      </c>
    </row>
    <row r="109" spans="2:7" x14ac:dyDescent="0.25">
      <c r="B109" s="81">
        <v>45235</v>
      </c>
      <c r="C109" s="80">
        <v>8710.85</v>
      </c>
      <c r="D109" s="34">
        <f t="shared" si="2"/>
        <v>-9.1116432239974898E-3</v>
      </c>
      <c r="F109" s="82">
        <v>19425.349999999999</v>
      </c>
      <c r="G109" s="34">
        <f t="shared" si="3"/>
        <v>-1.5530767593427863E-2</v>
      </c>
    </row>
    <row r="110" spans="2:7" x14ac:dyDescent="0.25">
      <c r="B110" s="81">
        <v>45228</v>
      </c>
      <c r="C110" s="80">
        <v>8522.6</v>
      </c>
      <c r="D110" s="34">
        <f t="shared" si="2"/>
        <v>-2.1610979410734865E-2</v>
      </c>
      <c r="F110" s="82">
        <v>19230.599999999999</v>
      </c>
      <c r="G110" s="34">
        <f t="shared" si="3"/>
        <v>-1.0025559385030358E-2</v>
      </c>
    </row>
    <row r="111" spans="2:7" x14ac:dyDescent="0.25">
      <c r="B111" s="81">
        <v>45221</v>
      </c>
      <c r="C111" s="80">
        <v>8210.15</v>
      </c>
      <c r="D111" s="34">
        <f t="shared" si="2"/>
        <v>-3.6661347476122375E-2</v>
      </c>
      <c r="F111" s="82">
        <v>19047.25</v>
      </c>
      <c r="G111" s="34">
        <f t="shared" si="3"/>
        <v>-9.5342839016983039E-3</v>
      </c>
    </row>
    <row r="112" spans="2:7" x14ac:dyDescent="0.25">
      <c r="B112" s="81">
        <v>45214</v>
      </c>
      <c r="C112" s="80">
        <v>8461.0499999999993</v>
      </c>
      <c r="D112" s="34">
        <f t="shared" si="2"/>
        <v>3.0559733987807647E-2</v>
      </c>
      <c r="F112" s="82">
        <v>19542.650000000001</v>
      </c>
      <c r="G112" s="34">
        <f t="shared" si="3"/>
        <v>2.6009003924451157E-2</v>
      </c>
    </row>
    <row r="113" spans="2:7" x14ac:dyDescent="0.25">
      <c r="B113" s="81">
        <v>45207</v>
      </c>
      <c r="C113" s="80">
        <v>8369</v>
      </c>
      <c r="D113" s="34">
        <f t="shared" si="2"/>
        <v>-1.0879264393898969E-2</v>
      </c>
      <c r="F113" s="82">
        <v>19751.05</v>
      </c>
      <c r="G113" s="34">
        <f t="shared" si="3"/>
        <v>1.0663855720692839E-2</v>
      </c>
    </row>
    <row r="114" spans="2:7" x14ac:dyDescent="0.25">
      <c r="C114" s="80"/>
    </row>
  </sheetData>
  <mergeCells count="3">
    <mergeCell ref="B7:D7"/>
    <mergeCell ref="F7:G7"/>
    <mergeCell ref="I7:J7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2E7B6-1103-4803-ADEB-2897CC558A98}">
  <sheetPr>
    <tabColor rgb="FF002060"/>
  </sheetPr>
  <dimension ref="B2:N27"/>
  <sheetViews>
    <sheetView showGridLines="0" topLeftCell="A2" workbookViewId="0">
      <selection activeCell="K3" sqref="K3"/>
    </sheetView>
  </sheetViews>
  <sheetFormatPr defaultRowHeight="15" x14ac:dyDescent="0.25"/>
  <cols>
    <col min="1" max="1" width="1.85546875" customWidth="1"/>
    <col min="2" max="2" width="5.7109375" bestFit="1" customWidth="1"/>
    <col min="3" max="3" width="18.28515625" bestFit="1" customWidth="1"/>
    <col min="4" max="4" width="8" bestFit="1" customWidth="1"/>
    <col min="5" max="5" width="16.5703125" bestFit="1" customWidth="1"/>
    <col min="6" max="6" width="16.5703125" customWidth="1"/>
    <col min="7" max="7" width="10.7109375" bestFit="1" customWidth="1"/>
    <col min="8" max="8" width="14.42578125" bestFit="1" customWidth="1"/>
    <col min="9" max="9" width="10" bestFit="1" customWidth="1"/>
    <col min="10" max="10" width="11" bestFit="1" customWidth="1"/>
    <col min="11" max="11" width="13.28515625" bestFit="1" customWidth="1"/>
    <col min="12" max="12" width="11.28515625" bestFit="1" customWidth="1"/>
    <col min="14" max="14" width="14.140625" bestFit="1" customWidth="1"/>
  </cols>
  <sheetData>
    <row r="2" spans="2:14" x14ac:dyDescent="0.25">
      <c r="B2" s="131" t="s">
        <v>325</v>
      </c>
      <c r="C2" s="131" t="s">
        <v>184</v>
      </c>
      <c r="D2" s="131" t="s">
        <v>326</v>
      </c>
      <c r="E2" s="131" t="s">
        <v>327</v>
      </c>
      <c r="F2" s="124" t="s">
        <v>354</v>
      </c>
      <c r="G2" s="131" t="s">
        <v>328</v>
      </c>
      <c r="H2" s="131" t="s">
        <v>329</v>
      </c>
      <c r="I2" s="131" t="s">
        <v>330</v>
      </c>
      <c r="J2" s="131" t="s">
        <v>331</v>
      </c>
      <c r="K2" s="131" t="s">
        <v>332</v>
      </c>
      <c r="L2" s="131" t="s">
        <v>333</v>
      </c>
      <c r="M2" s="124" t="s">
        <v>60</v>
      </c>
      <c r="N2" s="124" t="s">
        <v>78</v>
      </c>
    </row>
    <row r="3" spans="2:14" x14ac:dyDescent="0.25">
      <c r="B3" s="18">
        <v>1</v>
      </c>
      <c r="C3" s="18" t="s">
        <v>217</v>
      </c>
      <c r="D3" s="177">
        <v>11918</v>
      </c>
      <c r="E3" s="177">
        <v>29.47</v>
      </c>
      <c r="F3" s="177">
        <f>D3*E3</f>
        <v>351223.45999999996</v>
      </c>
      <c r="G3" s="177">
        <v>25214.91</v>
      </c>
      <c r="H3" s="177">
        <v>1673.32</v>
      </c>
      <c r="I3" s="177">
        <v>375125.48</v>
      </c>
      <c r="J3" s="177">
        <v>81724.53</v>
      </c>
      <c r="K3" s="177">
        <v>7297.12</v>
      </c>
      <c r="L3" s="177">
        <v>23.89</v>
      </c>
      <c r="M3">
        <f>I3/L3</f>
        <v>15702.196735035579</v>
      </c>
      <c r="N3" s="34">
        <f>M3/J3</f>
        <v>0.19213566275677058</v>
      </c>
    </row>
    <row r="4" spans="2:14" x14ac:dyDescent="0.25">
      <c r="B4" s="18">
        <v>2</v>
      </c>
      <c r="C4" s="18" t="s">
        <v>218</v>
      </c>
      <c r="D4" s="177">
        <v>2841.3</v>
      </c>
      <c r="E4" s="177">
        <v>68.05</v>
      </c>
      <c r="F4" s="177">
        <f t="shared" ref="F4:F27" si="0">D4*E4</f>
        <v>193350.465</v>
      </c>
      <c r="G4" s="177">
        <v>186325.56</v>
      </c>
      <c r="H4" s="177">
        <v>7905.42</v>
      </c>
      <c r="I4" s="177">
        <v>371776.28</v>
      </c>
      <c r="J4" s="177">
        <v>153326.53</v>
      </c>
      <c r="K4" s="177">
        <v>8574.66</v>
      </c>
      <c r="L4" s="177">
        <v>11.54</v>
      </c>
      <c r="M4">
        <f t="shared" ref="M4:M27" si="1">I4/L4</f>
        <v>32216.315424610057</v>
      </c>
      <c r="N4" s="34">
        <f t="shared" ref="N4:N27" si="2">M4/J4</f>
        <v>0.21011572768659187</v>
      </c>
    </row>
    <row r="5" spans="2:14" x14ac:dyDescent="0.25">
      <c r="B5" s="18">
        <v>3</v>
      </c>
      <c r="C5" s="18" t="s">
        <v>219</v>
      </c>
      <c r="D5" s="177">
        <v>555</v>
      </c>
      <c r="E5" s="177">
        <v>247.18</v>
      </c>
      <c r="F5" s="177">
        <f t="shared" si="0"/>
        <v>137184.9</v>
      </c>
      <c r="G5" s="177">
        <v>788.5</v>
      </c>
      <c r="H5" s="177">
        <v>6172.16</v>
      </c>
      <c r="I5" s="177">
        <v>131802.54</v>
      </c>
      <c r="J5" s="177">
        <v>37114.29</v>
      </c>
      <c r="K5" s="177">
        <v>5344.88</v>
      </c>
      <c r="L5" s="177">
        <v>14.29</v>
      </c>
      <c r="M5">
        <f t="shared" si="1"/>
        <v>9223.4107767669702</v>
      </c>
      <c r="N5" s="34">
        <f t="shared" si="2"/>
        <v>0.24851373357181208</v>
      </c>
    </row>
    <row r="6" spans="2:14" x14ac:dyDescent="0.25">
      <c r="B6" s="18">
        <v>4</v>
      </c>
      <c r="C6" s="18" t="s">
        <v>220</v>
      </c>
      <c r="D6" s="177">
        <v>28705</v>
      </c>
      <c r="E6" s="177">
        <v>3.61</v>
      </c>
      <c r="F6" s="177">
        <f t="shared" si="0"/>
        <v>103625.05</v>
      </c>
      <c r="G6" s="177">
        <v>1046.1300000000001</v>
      </c>
      <c r="H6" s="177">
        <v>293.58</v>
      </c>
      <c r="I6" s="177">
        <v>104322.34</v>
      </c>
      <c r="J6" s="177">
        <v>19439.75</v>
      </c>
      <c r="K6" s="177">
        <v>1489.01</v>
      </c>
      <c r="L6" s="177">
        <v>20.76</v>
      </c>
      <c r="M6">
        <f t="shared" si="1"/>
        <v>5025.1608863198453</v>
      </c>
      <c r="N6" s="34">
        <f t="shared" si="2"/>
        <v>0.25849925468793811</v>
      </c>
    </row>
    <row r="7" spans="2:14" x14ac:dyDescent="0.25">
      <c r="B7" s="18">
        <v>5</v>
      </c>
      <c r="C7" s="18" t="s">
        <v>221</v>
      </c>
      <c r="D7" s="177">
        <v>6257.5</v>
      </c>
      <c r="E7" s="177">
        <v>7.73</v>
      </c>
      <c r="F7" s="177">
        <f t="shared" si="0"/>
        <v>48370.475000000006</v>
      </c>
      <c r="G7" s="177">
        <v>6028.23</v>
      </c>
      <c r="H7" s="177">
        <v>1369.67</v>
      </c>
      <c r="I7" s="177">
        <v>53009.17</v>
      </c>
      <c r="J7" s="177">
        <v>12424.11</v>
      </c>
      <c r="K7" s="177">
        <v>1011.6</v>
      </c>
      <c r="L7" s="177">
        <v>21.96</v>
      </c>
      <c r="M7">
        <f t="shared" si="1"/>
        <v>2413.896630236794</v>
      </c>
      <c r="N7" s="34">
        <f t="shared" si="2"/>
        <v>0.19429131183133391</v>
      </c>
    </row>
    <row r="8" spans="2:14" x14ac:dyDescent="0.25">
      <c r="B8" s="18">
        <v>6</v>
      </c>
      <c r="C8" s="18" t="s">
        <v>334</v>
      </c>
      <c r="D8" s="177">
        <v>2098.4</v>
      </c>
      <c r="E8" s="177">
        <v>18.760000000000002</v>
      </c>
      <c r="F8" s="177">
        <f t="shared" si="0"/>
        <v>39365.984000000004</v>
      </c>
      <c r="G8" s="177">
        <v>5702</v>
      </c>
      <c r="H8" s="177">
        <v>158</v>
      </c>
      <c r="I8" s="177">
        <v>44902.67</v>
      </c>
      <c r="J8" s="177">
        <v>14325</v>
      </c>
      <c r="K8" s="177">
        <v>1139</v>
      </c>
      <c r="L8" s="177">
        <v>14.36</v>
      </c>
      <c r="M8">
        <f t="shared" si="1"/>
        <v>3126.9268802228412</v>
      </c>
      <c r="N8" s="34">
        <f t="shared" si="2"/>
        <v>0.21828459896843569</v>
      </c>
    </row>
    <row r="9" spans="2:14" x14ac:dyDescent="0.25">
      <c r="B9" s="18">
        <v>7</v>
      </c>
      <c r="C9" s="18" t="s">
        <v>335</v>
      </c>
      <c r="D9" s="177">
        <v>1850.1</v>
      </c>
      <c r="E9" s="177">
        <v>18.78</v>
      </c>
      <c r="F9" s="177">
        <f t="shared" si="0"/>
        <v>34744.877999999997</v>
      </c>
      <c r="G9" s="177">
        <v>429.77</v>
      </c>
      <c r="H9" s="177">
        <v>1649.27</v>
      </c>
      <c r="I9" s="177">
        <v>33523.019999999997</v>
      </c>
      <c r="J9" s="177">
        <v>22742.68</v>
      </c>
      <c r="K9" s="177">
        <v>2417.9499999999998</v>
      </c>
      <c r="L9" s="177">
        <v>7.92</v>
      </c>
      <c r="M9">
        <f t="shared" si="1"/>
        <v>4232.704545454545</v>
      </c>
      <c r="N9" s="34">
        <f t="shared" si="2"/>
        <v>0.18611283039002197</v>
      </c>
    </row>
    <row r="10" spans="2:14" x14ac:dyDescent="0.25">
      <c r="B10" s="18">
        <v>8</v>
      </c>
      <c r="C10" s="18" t="s">
        <v>336</v>
      </c>
      <c r="D10" s="177">
        <v>1046.8</v>
      </c>
      <c r="E10" s="177">
        <v>23.63</v>
      </c>
      <c r="F10" s="177">
        <f t="shared" si="0"/>
        <v>24735.883999999998</v>
      </c>
      <c r="G10" s="177">
        <v>4674.6099999999997</v>
      </c>
      <c r="H10" s="177">
        <v>209.15</v>
      </c>
      <c r="I10" s="177">
        <v>29200.55</v>
      </c>
      <c r="J10" s="177">
        <v>8498.8700000000008</v>
      </c>
      <c r="K10" s="177">
        <v>317.56</v>
      </c>
      <c r="L10" s="177">
        <v>21.65</v>
      </c>
      <c r="M10">
        <f t="shared" si="1"/>
        <v>1348.75519630485</v>
      </c>
      <c r="N10" s="34">
        <f t="shared" si="2"/>
        <v>0.15869817944089623</v>
      </c>
    </row>
    <row r="11" spans="2:14" x14ac:dyDescent="0.25">
      <c r="B11" s="18">
        <v>9</v>
      </c>
      <c r="C11" s="18" t="s">
        <v>337</v>
      </c>
      <c r="D11" s="177">
        <v>135.27000000000001</v>
      </c>
      <c r="E11" s="177">
        <v>136.34</v>
      </c>
      <c r="F11" s="177">
        <f t="shared" si="0"/>
        <v>18442.711800000001</v>
      </c>
      <c r="G11" s="177">
        <v>6562.53</v>
      </c>
      <c r="H11" s="177">
        <v>123.52</v>
      </c>
      <c r="I11" s="177">
        <v>24881.25</v>
      </c>
      <c r="J11" s="177">
        <v>5785.29</v>
      </c>
      <c r="K11" s="177">
        <v>-163.77000000000001</v>
      </c>
      <c r="L11" s="177">
        <v>34.64</v>
      </c>
      <c r="M11">
        <f t="shared" si="1"/>
        <v>718.28088914549653</v>
      </c>
      <c r="N11" s="34">
        <f t="shared" si="2"/>
        <v>0.12415641897735404</v>
      </c>
    </row>
    <row r="12" spans="2:14" x14ac:dyDescent="0.25">
      <c r="B12" s="18">
        <v>10</v>
      </c>
      <c r="C12" s="18" t="s">
        <v>338</v>
      </c>
      <c r="D12" s="177">
        <v>414.9</v>
      </c>
      <c r="E12" s="177">
        <v>35.72</v>
      </c>
      <c r="F12" s="177">
        <f t="shared" si="0"/>
        <v>14820.227999999999</v>
      </c>
      <c r="G12" s="177">
        <v>5803.75</v>
      </c>
      <c r="H12" s="177">
        <v>182.33</v>
      </c>
      <c r="I12" s="177">
        <v>20395.14</v>
      </c>
      <c r="J12" s="177">
        <v>10781.88</v>
      </c>
      <c r="K12" s="177">
        <v>273.76</v>
      </c>
      <c r="L12" s="177">
        <v>11.87</v>
      </c>
      <c r="M12">
        <f t="shared" si="1"/>
        <v>1718.2089300758214</v>
      </c>
      <c r="N12" s="34">
        <f t="shared" si="2"/>
        <v>0.15936079144600213</v>
      </c>
    </row>
    <row r="13" spans="2:14" x14ac:dyDescent="0.25">
      <c r="B13" s="18">
        <v>11</v>
      </c>
      <c r="C13" s="18" t="s">
        <v>339</v>
      </c>
      <c r="D13" s="177">
        <v>390.3</v>
      </c>
      <c r="E13" s="177">
        <v>30.99</v>
      </c>
      <c r="F13" s="177">
        <f t="shared" si="0"/>
        <v>12095.396999999999</v>
      </c>
      <c r="G13" s="177">
        <v>1340.37</v>
      </c>
      <c r="H13" s="177">
        <v>104.13</v>
      </c>
      <c r="I13" s="177">
        <v>13396.27</v>
      </c>
      <c r="J13" s="177">
        <v>4279.8900000000003</v>
      </c>
      <c r="K13" s="177">
        <v>12.56</v>
      </c>
      <c r="L13" s="177">
        <v>279.55</v>
      </c>
      <c r="M13">
        <f t="shared" si="1"/>
        <v>47.920837059560007</v>
      </c>
      <c r="N13" s="34">
        <f t="shared" si="2"/>
        <v>1.11967450237179E-2</v>
      </c>
    </row>
    <row r="14" spans="2:14" x14ac:dyDescent="0.25">
      <c r="B14" s="18">
        <v>12</v>
      </c>
      <c r="C14" s="18" t="s">
        <v>340</v>
      </c>
      <c r="D14" s="177">
        <v>832.95</v>
      </c>
      <c r="E14" s="177">
        <v>12.41</v>
      </c>
      <c r="F14" s="177">
        <f t="shared" si="0"/>
        <v>10336.909500000002</v>
      </c>
      <c r="G14" s="177">
        <v>2613.91</v>
      </c>
      <c r="H14" s="177">
        <v>196.9</v>
      </c>
      <c r="I14" s="177">
        <v>12757.62</v>
      </c>
      <c r="J14" s="177">
        <v>6369.67</v>
      </c>
      <c r="K14" s="177">
        <v>366.45</v>
      </c>
      <c r="L14" s="177">
        <v>12.68</v>
      </c>
      <c r="M14">
        <f t="shared" si="1"/>
        <v>1006.1214511041011</v>
      </c>
      <c r="N14" s="34">
        <f t="shared" si="2"/>
        <v>0.15795503552053733</v>
      </c>
    </row>
    <row r="15" spans="2:14" x14ac:dyDescent="0.25">
      <c r="B15" s="18">
        <v>13</v>
      </c>
      <c r="C15" s="18" t="s">
        <v>341</v>
      </c>
      <c r="D15" s="177">
        <v>251</v>
      </c>
      <c r="E15" s="177">
        <v>40.42</v>
      </c>
      <c r="F15" s="177">
        <f t="shared" si="0"/>
        <v>10145.42</v>
      </c>
      <c r="G15" s="177">
        <v>402.75</v>
      </c>
      <c r="H15" s="177">
        <v>52.43</v>
      </c>
      <c r="I15" s="177">
        <v>10495.25</v>
      </c>
      <c r="J15" s="177">
        <v>3324.39</v>
      </c>
      <c r="K15" s="177">
        <v>236</v>
      </c>
      <c r="L15" s="177">
        <v>14.96</v>
      </c>
      <c r="M15">
        <f t="shared" si="1"/>
        <v>701.55414438502669</v>
      </c>
      <c r="N15" s="34">
        <f t="shared" si="2"/>
        <v>0.21103244336104571</v>
      </c>
    </row>
    <row r="16" spans="2:14" x14ac:dyDescent="0.25">
      <c r="B16" s="18">
        <v>14</v>
      </c>
      <c r="C16" s="18" t="s">
        <v>342</v>
      </c>
      <c r="D16" s="177">
        <v>1168.8</v>
      </c>
      <c r="E16" s="177">
        <v>7.7</v>
      </c>
      <c r="F16" s="177">
        <f t="shared" si="0"/>
        <v>8999.76</v>
      </c>
      <c r="G16" s="177">
        <v>3488.58</v>
      </c>
      <c r="H16" s="177">
        <v>126.48</v>
      </c>
      <c r="I16" s="177">
        <v>12363.03</v>
      </c>
      <c r="J16" s="177">
        <v>9478.34</v>
      </c>
      <c r="K16" s="177">
        <v>382.17</v>
      </c>
      <c r="L16" s="177">
        <v>8.7200000000000006</v>
      </c>
      <c r="M16">
        <f t="shared" si="1"/>
        <v>1417.7786697247707</v>
      </c>
      <c r="N16" s="34">
        <f t="shared" si="2"/>
        <v>0.14958090443313604</v>
      </c>
    </row>
    <row r="17" spans="2:14" x14ac:dyDescent="0.25">
      <c r="B17" s="18">
        <v>15</v>
      </c>
      <c r="C17" s="18" t="s">
        <v>343</v>
      </c>
      <c r="D17" s="177">
        <v>158.38</v>
      </c>
      <c r="E17" s="177">
        <v>50.34</v>
      </c>
      <c r="F17" s="177">
        <f t="shared" si="0"/>
        <v>7972.8492000000006</v>
      </c>
      <c r="G17" s="177">
        <v>1977.8</v>
      </c>
      <c r="H17" s="177">
        <v>478.22</v>
      </c>
      <c r="I17" s="177">
        <v>9471.7999999999993</v>
      </c>
      <c r="J17" s="177">
        <v>7530.11</v>
      </c>
      <c r="K17" s="177">
        <v>57.81</v>
      </c>
      <c r="L17" s="177">
        <v>15.92</v>
      </c>
      <c r="M17">
        <f t="shared" si="1"/>
        <v>594.96231155778889</v>
      </c>
      <c r="N17" s="34">
        <f t="shared" si="2"/>
        <v>7.9011104958332468E-2</v>
      </c>
    </row>
    <row r="18" spans="2:14" x14ac:dyDescent="0.25">
      <c r="B18" s="18">
        <v>16</v>
      </c>
      <c r="C18" s="18" t="s">
        <v>344</v>
      </c>
      <c r="D18" s="177">
        <v>194.37</v>
      </c>
      <c r="E18" s="177">
        <v>22.66</v>
      </c>
      <c r="F18" s="177">
        <f t="shared" si="0"/>
        <v>4404.4242000000004</v>
      </c>
      <c r="G18" s="177">
        <v>75.41</v>
      </c>
      <c r="H18" s="177">
        <v>478.16</v>
      </c>
      <c r="I18" s="177">
        <v>4001.93</v>
      </c>
      <c r="J18" s="177">
        <v>2214.23</v>
      </c>
      <c r="K18" s="177">
        <v>115.08</v>
      </c>
      <c r="L18" s="177">
        <v>13.67</v>
      </c>
      <c r="M18">
        <f t="shared" si="1"/>
        <v>292.75274323335771</v>
      </c>
      <c r="N18" s="34">
        <f t="shared" si="2"/>
        <v>0.13221424297988812</v>
      </c>
    </row>
    <row r="19" spans="2:14" x14ac:dyDescent="0.25">
      <c r="B19" s="18">
        <v>17</v>
      </c>
      <c r="C19" s="18" t="s">
        <v>345</v>
      </c>
      <c r="D19" s="177">
        <v>213.18</v>
      </c>
      <c r="E19" s="177">
        <v>20.55</v>
      </c>
      <c r="F19" s="177">
        <f t="shared" si="0"/>
        <v>4380.8490000000002</v>
      </c>
      <c r="G19" s="177">
        <v>69.73</v>
      </c>
      <c r="H19" s="177">
        <v>48.87</v>
      </c>
      <c r="I19" s="177">
        <v>4400.8500000000004</v>
      </c>
      <c r="J19" s="177">
        <v>2879.05</v>
      </c>
      <c r="K19" s="177">
        <v>259.89999999999998</v>
      </c>
      <c r="L19" s="177">
        <v>10.9</v>
      </c>
      <c r="M19">
        <f t="shared" si="1"/>
        <v>403.74770642201838</v>
      </c>
      <c r="N19" s="34">
        <f t="shared" si="2"/>
        <v>0.14023643438704378</v>
      </c>
    </row>
    <row r="20" spans="2:14" x14ac:dyDescent="0.25">
      <c r="B20" s="18">
        <v>18</v>
      </c>
      <c r="C20" s="18" t="s">
        <v>346</v>
      </c>
      <c r="D20" s="177">
        <v>227.92</v>
      </c>
      <c r="E20" s="177">
        <v>13.07</v>
      </c>
      <c r="F20" s="177">
        <f t="shared" si="0"/>
        <v>2978.9144000000001</v>
      </c>
      <c r="G20" s="177">
        <v>1640.01</v>
      </c>
      <c r="H20" s="177">
        <v>163.72</v>
      </c>
      <c r="I20" s="177">
        <v>4444.26</v>
      </c>
      <c r="J20" s="177">
        <v>2494.44</v>
      </c>
      <c r="K20" s="177">
        <v>-164.18</v>
      </c>
      <c r="L20" s="177">
        <v>16.829999999999998</v>
      </c>
      <c r="M20">
        <f t="shared" si="1"/>
        <v>264.0677361853833</v>
      </c>
      <c r="N20" s="34">
        <f t="shared" si="2"/>
        <v>0.10586253274698261</v>
      </c>
    </row>
    <row r="21" spans="2:14" x14ac:dyDescent="0.25">
      <c r="B21" s="18">
        <v>19</v>
      </c>
      <c r="C21" s="18" t="s">
        <v>347</v>
      </c>
      <c r="D21" s="177">
        <v>199.89</v>
      </c>
      <c r="E21" s="177">
        <v>12.89</v>
      </c>
      <c r="F21" s="177">
        <f t="shared" si="0"/>
        <v>2576.5821000000001</v>
      </c>
      <c r="G21" s="177">
        <v>542.15</v>
      </c>
      <c r="H21" s="177">
        <v>977.93</v>
      </c>
      <c r="I21" s="177">
        <v>2141.23</v>
      </c>
      <c r="J21" s="177">
        <v>2514.42</v>
      </c>
      <c r="K21" s="177">
        <v>291.12</v>
      </c>
      <c r="L21" s="177">
        <v>4.8600000000000003</v>
      </c>
      <c r="M21">
        <f t="shared" si="1"/>
        <v>440.58230452674894</v>
      </c>
      <c r="N21" s="34">
        <f t="shared" si="2"/>
        <v>0.17522223993077884</v>
      </c>
    </row>
    <row r="22" spans="2:14" x14ac:dyDescent="0.25">
      <c r="B22" s="18">
        <v>20</v>
      </c>
      <c r="C22" s="18" t="s">
        <v>348</v>
      </c>
      <c r="D22" s="177">
        <v>788.5</v>
      </c>
      <c r="E22" s="177">
        <v>2.75</v>
      </c>
      <c r="F22" s="177">
        <f t="shared" si="0"/>
        <v>2168.375</v>
      </c>
      <c r="G22" s="177">
        <v>627.30999999999995</v>
      </c>
      <c r="H22" s="177">
        <v>167.17</v>
      </c>
      <c r="I22" s="177">
        <v>2628.3</v>
      </c>
      <c r="J22" s="177">
        <v>1752.16</v>
      </c>
      <c r="K22" s="177">
        <v>60.26</v>
      </c>
      <c r="L22" s="177">
        <v>10.84</v>
      </c>
      <c r="M22">
        <f t="shared" si="1"/>
        <v>242.46309963099634</v>
      </c>
      <c r="N22" s="34">
        <f t="shared" si="2"/>
        <v>0.13837954275351355</v>
      </c>
    </row>
    <row r="23" spans="2:14" x14ac:dyDescent="0.25">
      <c r="B23" s="18">
        <v>21</v>
      </c>
      <c r="C23" s="18" t="s">
        <v>349</v>
      </c>
      <c r="D23" s="177">
        <v>63.76</v>
      </c>
      <c r="E23" s="177">
        <v>25.83</v>
      </c>
      <c r="F23" s="177">
        <f t="shared" si="0"/>
        <v>1646.9207999999999</v>
      </c>
      <c r="G23" s="177">
        <v>2506.14</v>
      </c>
      <c r="H23" s="177">
        <v>21.88</v>
      </c>
      <c r="I23" s="177">
        <v>4131.3500000000004</v>
      </c>
      <c r="J23" s="177">
        <v>991.09</v>
      </c>
      <c r="K23" s="177">
        <v>-484.95</v>
      </c>
      <c r="L23" s="177">
        <v>33.1</v>
      </c>
      <c r="M23">
        <f t="shared" si="1"/>
        <v>124.8141993957704</v>
      </c>
      <c r="N23" s="34">
        <f t="shared" si="2"/>
        <v>0.12593629175531021</v>
      </c>
    </row>
    <row r="24" spans="2:14" x14ac:dyDescent="0.25">
      <c r="B24" s="18">
        <v>22</v>
      </c>
      <c r="C24" s="18" t="s">
        <v>350</v>
      </c>
      <c r="D24" s="177">
        <v>1029.5</v>
      </c>
      <c r="E24" s="177">
        <v>1.4</v>
      </c>
      <c r="F24" s="177">
        <f t="shared" si="0"/>
        <v>1441.3</v>
      </c>
      <c r="G24" s="177">
        <v>714.15</v>
      </c>
      <c r="H24" s="177">
        <v>144.36000000000001</v>
      </c>
      <c r="I24" s="177">
        <v>2011.86</v>
      </c>
      <c r="J24" s="177">
        <v>505.39</v>
      </c>
      <c r="K24" s="177">
        <v>20.07</v>
      </c>
      <c r="L24" s="177">
        <v>29.65</v>
      </c>
      <c r="M24">
        <f t="shared" si="1"/>
        <v>67.853625632377742</v>
      </c>
      <c r="N24" s="34">
        <f t="shared" si="2"/>
        <v>0.1342599292276811</v>
      </c>
    </row>
    <row r="25" spans="2:14" x14ac:dyDescent="0.25">
      <c r="B25" s="18">
        <v>23</v>
      </c>
      <c r="C25" s="18" t="s">
        <v>351</v>
      </c>
      <c r="D25" s="177">
        <v>90.08</v>
      </c>
      <c r="E25" s="177">
        <v>14.79</v>
      </c>
      <c r="F25" s="177">
        <f t="shared" si="0"/>
        <v>1332.2831999999999</v>
      </c>
      <c r="G25" s="177">
        <v>142.97999999999999</v>
      </c>
      <c r="H25" s="177">
        <v>49.94</v>
      </c>
      <c r="I25" s="177">
        <v>1468.94</v>
      </c>
      <c r="J25" s="177">
        <v>760.48</v>
      </c>
      <c r="K25" s="177">
        <v>37.549999999999997</v>
      </c>
      <c r="L25" s="177">
        <v>18.350000000000001</v>
      </c>
      <c r="M25">
        <f t="shared" si="1"/>
        <v>80.051226158038148</v>
      </c>
      <c r="N25" s="34">
        <f t="shared" si="2"/>
        <v>0.10526407815858162</v>
      </c>
    </row>
    <row r="26" spans="2:14" x14ac:dyDescent="0.25">
      <c r="B26" s="18">
        <v>24</v>
      </c>
      <c r="C26" s="18" t="s">
        <v>352</v>
      </c>
      <c r="D26" s="177">
        <v>101.72</v>
      </c>
      <c r="E26" s="177">
        <v>11.13</v>
      </c>
      <c r="F26" s="177">
        <f t="shared" si="0"/>
        <v>1132.1436000000001</v>
      </c>
      <c r="G26" s="177">
        <v>135.71</v>
      </c>
      <c r="H26" s="177">
        <v>235.72</v>
      </c>
      <c r="I26" s="177">
        <v>1031.6600000000001</v>
      </c>
      <c r="J26" s="177">
        <v>1575.4</v>
      </c>
      <c r="K26" s="177">
        <v>13.97</v>
      </c>
      <c r="L26" s="177">
        <v>14.2</v>
      </c>
      <c r="M26">
        <f t="shared" si="1"/>
        <v>72.652112676056348</v>
      </c>
      <c r="N26" s="34">
        <f t="shared" si="2"/>
        <v>4.6116613352835054E-2</v>
      </c>
    </row>
    <row r="27" spans="2:14" x14ac:dyDescent="0.25">
      <c r="B27" s="18">
        <v>25</v>
      </c>
      <c r="C27" s="18" t="s">
        <v>353</v>
      </c>
      <c r="D27" s="177">
        <v>198.47</v>
      </c>
      <c r="E27" s="177">
        <v>4.5199999999999996</v>
      </c>
      <c r="F27" s="177">
        <f t="shared" si="0"/>
        <v>897.08439999999996</v>
      </c>
      <c r="G27" s="177">
        <v>252.47</v>
      </c>
      <c r="H27" s="177">
        <v>21.38</v>
      </c>
      <c r="I27" s="177">
        <v>1128.83</v>
      </c>
      <c r="J27" s="177">
        <v>1393.11</v>
      </c>
      <c r="K27" s="177">
        <v>32.659999999999997</v>
      </c>
      <c r="L27" s="177">
        <v>7.73</v>
      </c>
      <c r="M27">
        <f t="shared" si="1"/>
        <v>146.03234152652004</v>
      </c>
      <c r="N27" s="34">
        <f t="shared" si="2"/>
        <v>0.10482470266276177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D739-2F91-4D2E-9A81-4109A7BE6CA5}">
  <sheetPr>
    <tabColor rgb="FF002060"/>
  </sheetPr>
  <dimension ref="B2:M86"/>
  <sheetViews>
    <sheetView showGridLines="0" zoomScale="80" zoomScaleNormal="80" workbookViewId="0">
      <pane ySplit="2" topLeftCell="A3" activePane="bottomLeft" state="frozen"/>
      <selection pane="bottomLeft" activeCell="C3" sqref="C3"/>
    </sheetView>
  </sheetViews>
  <sheetFormatPr defaultRowHeight="15" outlineLevelRow="1" x14ac:dyDescent="0.25"/>
  <cols>
    <col min="1" max="1" width="1.85546875" customWidth="1"/>
    <col min="2" max="2" width="29.140625" bestFit="1" customWidth="1"/>
    <col min="3" max="4" width="12.140625" bestFit="1" customWidth="1"/>
    <col min="5" max="6" width="13" bestFit="1" customWidth="1"/>
    <col min="7" max="7" width="12.140625" bestFit="1" customWidth="1"/>
    <col min="8" max="9" width="13" bestFit="1" customWidth="1"/>
    <col min="10" max="10" width="12.140625" bestFit="1" customWidth="1"/>
    <col min="11" max="12" width="13" bestFit="1" customWidth="1"/>
  </cols>
  <sheetData>
    <row r="2" spans="2:12" x14ac:dyDescent="0.25">
      <c r="B2" s="131" t="s">
        <v>264</v>
      </c>
      <c r="C2" s="134">
        <v>42430</v>
      </c>
      <c r="D2" s="134">
        <v>42795</v>
      </c>
      <c r="E2" s="134">
        <v>43160</v>
      </c>
      <c r="F2" s="134">
        <v>43525</v>
      </c>
      <c r="G2" s="134">
        <v>43891</v>
      </c>
      <c r="H2" s="134">
        <v>44256</v>
      </c>
      <c r="I2" s="134">
        <v>44621</v>
      </c>
      <c r="J2" s="134">
        <v>44986</v>
      </c>
      <c r="K2" s="134">
        <v>45352</v>
      </c>
      <c r="L2" s="134">
        <v>45717</v>
      </c>
    </row>
    <row r="3" spans="2:12" x14ac:dyDescent="0.25">
      <c r="B3" s="135" t="s">
        <v>55</v>
      </c>
      <c r="C3" s="136"/>
      <c r="D3" s="136"/>
      <c r="E3" s="136"/>
      <c r="F3" s="136"/>
      <c r="G3" s="136"/>
      <c r="H3" s="136"/>
      <c r="I3" s="136"/>
      <c r="J3" s="136"/>
      <c r="K3" s="136"/>
      <c r="L3" s="136"/>
    </row>
    <row r="4" spans="2:12" hidden="1" outlineLevel="1" x14ac:dyDescent="0.25">
      <c r="B4" s="20" t="s">
        <v>1</v>
      </c>
      <c r="C4" s="159">
        <v>25153</v>
      </c>
      <c r="D4" s="159">
        <v>25375</v>
      </c>
      <c r="E4" s="159">
        <v>30979</v>
      </c>
      <c r="F4" s="159">
        <v>41462</v>
      </c>
      <c r="G4" s="159">
        <v>42430</v>
      </c>
      <c r="H4" s="159">
        <v>44726</v>
      </c>
      <c r="I4" s="159">
        <v>52599</v>
      </c>
      <c r="J4" s="159">
        <v>63240</v>
      </c>
      <c r="K4" s="159">
        <v>70908</v>
      </c>
      <c r="L4" s="159">
        <v>75955</v>
      </c>
    </row>
    <row r="5" spans="2:12" hidden="1" outlineLevel="1" x14ac:dyDescent="0.25">
      <c r="B5" s="20" t="s">
        <v>2</v>
      </c>
      <c r="C5" s="159">
        <v>20252</v>
      </c>
      <c r="D5" s="159">
        <v>20162</v>
      </c>
      <c r="E5" s="159">
        <v>24834</v>
      </c>
      <c r="F5" s="159">
        <v>34115</v>
      </c>
      <c r="G5" s="159">
        <v>33184</v>
      </c>
      <c r="H5" s="159">
        <v>33158</v>
      </c>
      <c r="I5" s="159">
        <v>41084</v>
      </c>
      <c r="J5" s="159">
        <v>52620</v>
      </c>
      <c r="K5" s="159">
        <v>57930</v>
      </c>
      <c r="L5" s="159">
        <v>63158</v>
      </c>
    </row>
    <row r="6" spans="2:12" hidden="1" outlineLevel="1" x14ac:dyDescent="0.25">
      <c r="B6" s="133" t="s">
        <v>3</v>
      </c>
      <c r="C6" s="160">
        <v>4901</v>
      </c>
      <c r="D6" s="160">
        <v>5212</v>
      </c>
      <c r="E6" s="160">
        <v>6145</v>
      </c>
      <c r="F6" s="160">
        <v>7347</v>
      </c>
      <c r="G6" s="160">
        <v>9246</v>
      </c>
      <c r="H6" s="160">
        <v>11568</v>
      </c>
      <c r="I6" s="160">
        <v>11514</v>
      </c>
      <c r="J6" s="160">
        <v>10620</v>
      </c>
      <c r="K6" s="160">
        <v>12979</v>
      </c>
      <c r="L6" s="160">
        <v>12797</v>
      </c>
    </row>
    <row r="7" spans="2:12" hidden="1" outlineLevel="1" x14ac:dyDescent="0.25">
      <c r="B7" s="28"/>
      <c r="C7" s="161"/>
      <c r="D7" s="161"/>
      <c r="E7" s="161"/>
      <c r="F7" s="161"/>
      <c r="G7" s="161"/>
      <c r="H7" s="161"/>
      <c r="I7" s="161"/>
      <c r="J7" s="161"/>
      <c r="K7" s="161"/>
      <c r="L7" s="161"/>
    </row>
    <row r="8" spans="2:12" hidden="1" outlineLevel="1" x14ac:dyDescent="0.25">
      <c r="B8" s="19" t="s">
        <v>237</v>
      </c>
      <c r="C8" s="162">
        <v>464</v>
      </c>
      <c r="D8" s="162">
        <v>648</v>
      </c>
      <c r="E8" s="162">
        <v>242</v>
      </c>
      <c r="F8" s="162">
        <v>350</v>
      </c>
      <c r="G8" s="162">
        <v>651</v>
      </c>
      <c r="H8" s="162">
        <v>619</v>
      </c>
      <c r="I8" s="162">
        <v>669</v>
      </c>
      <c r="J8" s="162">
        <v>507</v>
      </c>
      <c r="K8" s="162">
        <v>557</v>
      </c>
      <c r="L8" s="162">
        <v>397</v>
      </c>
    </row>
    <row r="9" spans="2:12" hidden="1" outlineLevel="1" x14ac:dyDescent="0.25">
      <c r="B9" s="137" t="s">
        <v>235</v>
      </c>
      <c r="C9" s="163">
        <v>63</v>
      </c>
      <c r="D9" s="163">
        <v>68</v>
      </c>
      <c r="E9" s="163">
        <v>-232</v>
      </c>
      <c r="F9" s="163">
        <v>8</v>
      </c>
      <c r="G9" s="163">
        <v>82</v>
      </c>
      <c r="H9" s="163">
        <v>40</v>
      </c>
      <c r="I9" s="163">
        <v>350</v>
      </c>
      <c r="J9" s="163">
        <v>32</v>
      </c>
      <c r="K9" s="163">
        <v>17</v>
      </c>
      <c r="L9" s="163">
        <v>-57</v>
      </c>
    </row>
    <row r="10" spans="2:12" hidden="1" outlineLevel="1" x14ac:dyDescent="0.25">
      <c r="B10" s="137" t="s">
        <v>236</v>
      </c>
      <c r="C10" s="163">
        <v>401</v>
      </c>
      <c r="D10" s="163">
        <v>580</v>
      </c>
      <c r="E10" s="163">
        <v>474</v>
      </c>
      <c r="F10" s="163">
        <v>342</v>
      </c>
      <c r="G10" s="163">
        <v>569</v>
      </c>
      <c r="H10" s="163">
        <v>578</v>
      </c>
      <c r="I10" s="163">
        <v>320</v>
      </c>
      <c r="J10" s="163">
        <v>475</v>
      </c>
      <c r="K10" s="163">
        <v>540</v>
      </c>
      <c r="L10" s="163">
        <v>454</v>
      </c>
    </row>
    <row r="11" spans="2:12" hidden="1" outlineLevel="1" x14ac:dyDescent="0.25">
      <c r="B11" s="137" t="s">
        <v>6</v>
      </c>
      <c r="C11" s="163">
        <v>566</v>
      </c>
      <c r="D11" s="163">
        <v>640</v>
      </c>
      <c r="E11" s="163">
        <v>1238</v>
      </c>
      <c r="F11" s="163">
        <v>1778</v>
      </c>
      <c r="G11" s="163">
        <v>1992</v>
      </c>
      <c r="H11" s="163">
        <v>1486</v>
      </c>
      <c r="I11" s="163">
        <v>945</v>
      </c>
      <c r="J11" s="163">
        <v>823</v>
      </c>
      <c r="K11" s="163">
        <v>968</v>
      </c>
      <c r="L11" s="163">
        <v>1651</v>
      </c>
    </row>
    <row r="12" spans="2:12" hidden="1" outlineLevel="1" x14ac:dyDescent="0.25">
      <c r="B12" s="137" t="s">
        <v>5</v>
      </c>
      <c r="C12" s="163">
        <v>1377</v>
      </c>
      <c r="D12" s="163">
        <v>1348</v>
      </c>
      <c r="E12" s="163">
        <v>1848</v>
      </c>
      <c r="F12" s="163">
        <v>2451</v>
      </c>
      <c r="G12" s="163">
        <v>2723</v>
      </c>
      <c r="H12" s="163">
        <v>2700</v>
      </c>
      <c r="I12" s="163">
        <v>2715</v>
      </c>
      <c r="J12" s="163">
        <v>2888</v>
      </c>
      <c r="K12" s="163">
        <v>3145</v>
      </c>
      <c r="L12" s="163">
        <v>4015</v>
      </c>
    </row>
    <row r="13" spans="2:12" hidden="1" outlineLevel="1" x14ac:dyDescent="0.25">
      <c r="B13" s="133" t="s">
        <v>7</v>
      </c>
      <c r="C13" s="160">
        <v>3421</v>
      </c>
      <c r="D13" s="160">
        <v>3872</v>
      </c>
      <c r="E13" s="160">
        <v>3301</v>
      </c>
      <c r="F13" s="160">
        <v>3468</v>
      </c>
      <c r="G13" s="160">
        <v>5183</v>
      </c>
      <c r="H13" s="160">
        <v>8001</v>
      </c>
      <c r="I13" s="160">
        <v>8524</v>
      </c>
      <c r="J13" s="160">
        <v>7416</v>
      </c>
      <c r="K13" s="160">
        <v>9422</v>
      </c>
      <c r="L13" s="160">
        <v>7528</v>
      </c>
    </row>
    <row r="14" spans="2:12" hidden="1" outlineLevel="1" x14ac:dyDescent="0.25">
      <c r="B14" s="83"/>
      <c r="C14" s="164"/>
      <c r="D14" s="164"/>
      <c r="E14" s="164"/>
      <c r="F14" s="164"/>
      <c r="G14" s="164"/>
      <c r="H14" s="164"/>
      <c r="I14" s="164"/>
      <c r="J14" s="164"/>
      <c r="K14" s="164"/>
      <c r="L14" s="164"/>
    </row>
    <row r="15" spans="2:12" hidden="1" outlineLevel="1" x14ac:dyDescent="0.25">
      <c r="B15" t="s">
        <v>234</v>
      </c>
      <c r="C15" s="165">
        <v>0.28000000000000003</v>
      </c>
      <c r="D15" s="165">
        <v>0.3</v>
      </c>
      <c r="E15" s="165">
        <v>0.33</v>
      </c>
      <c r="F15" s="165">
        <v>0.31</v>
      </c>
      <c r="G15" s="165">
        <v>-0.11</v>
      </c>
      <c r="H15" s="165">
        <v>0.32</v>
      </c>
      <c r="I15" s="165">
        <v>0.14000000000000001</v>
      </c>
      <c r="J15" s="165">
        <v>0.32</v>
      </c>
      <c r="K15" s="165">
        <v>0.26</v>
      </c>
      <c r="L15" s="165">
        <v>0.2</v>
      </c>
    </row>
    <row r="16" spans="2:12" collapsed="1" x14ac:dyDescent="0.25">
      <c r="B16" s="133" t="s">
        <v>63</v>
      </c>
      <c r="C16" s="160">
        <v>2480</v>
      </c>
      <c r="D16" s="160">
        <v>2714</v>
      </c>
      <c r="E16" s="160">
        <v>2224</v>
      </c>
      <c r="F16" s="160">
        <v>2400</v>
      </c>
      <c r="G16" s="160">
        <v>5751</v>
      </c>
      <c r="H16" s="160">
        <v>5462</v>
      </c>
      <c r="I16" s="160">
        <v>7334</v>
      </c>
      <c r="J16" s="160">
        <v>5073</v>
      </c>
      <c r="K16" s="160">
        <v>7004</v>
      </c>
      <c r="L16" s="160">
        <v>6040</v>
      </c>
    </row>
    <row r="17" spans="2:13" x14ac:dyDescent="0.25">
      <c r="B17" s="20"/>
      <c r="C17" s="165"/>
      <c r="D17" s="165"/>
      <c r="E17" s="165"/>
      <c r="F17" s="165"/>
      <c r="G17" s="165"/>
      <c r="H17" s="165"/>
      <c r="I17" s="165"/>
      <c r="J17" s="165"/>
      <c r="K17" s="165"/>
      <c r="L17" s="165"/>
    </row>
    <row r="18" spans="2:13" x14ac:dyDescent="0.25">
      <c r="B18" s="135" t="s">
        <v>68</v>
      </c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32"/>
    </row>
    <row r="19" spans="2:13" hidden="1" outlineLevel="1" x14ac:dyDescent="0.25">
      <c r="B19" t="s">
        <v>238</v>
      </c>
      <c r="C19" s="165">
        <v>274</v>
      </c>
      <c r="D19" s="165">
        <v>275</v>
      </c>
      <c r="E19" s="165">
        <v>275</v>
      </c>
      <c r="F19" s="165">
        <v>275</v>
      </c>
      <c r="G19" s="165">
        <v>289</v>
      </c>
      <c r="H19" s="165">
        <v>289</v>
      </c>
      <c r="I19" s="165">
        <v>289</v>
      </c>
      <c r="J19" s="165">
        <v>289</v>
      </c>
      <c r="K19" s="165">
        <v>289</v>
      </c>
      <c r="L19" s="165">
        <v>295</v>
      </c>
    </row>
    <row r="20" spans="2:13" hidden="1" outlineLevel="1" x14ac:dyDescent="0.25">
      <c r="B20" t="s">
        <v>11</v>
      </c>
      <c r="C20" s="165">
        <v>21671</v>
      </c>
      <c r="D20" s="165">
        <v>24117</v>
      </c>
      <c r="E20" s="165">
        <v>26107</v>
      </c>
      <c r="F20" s="165">
        <v>33476</v>
      </c>
      <c r="G20" s="165">
        <v>38755</v>
      </c>
      <c r="H20" s="165">
        <v>43886</v>
      </c>
      <c r="I20" s="165">
        <v>50147</v>
      </c>
      <c r="J20" s="165">
        <v>54036</v>
      </c>
      <c r="K20" s="165">
        <v>59939</v>
      </c>
      <c r="L20" s="165">
        <v>70412</v>
      </c>
      <c r="M20" s="128"/>
    </row>
    <row r="21" spans="2:13" hidden="1" outlineLevel="1" x14ac:dyDescent="0.25">
      <c r="B21" t="s">
        <v>35</v>
      </c>
      <c r="C21" s="165">
        <v>10616</v>
      </c>
      <c r="D21" s="165">
        <v>8474</v>
      </c>
      <c r="E21" s="165">
        <v>19480</v>
      </c>
      <c r="F21" s="165">
        <v>25337</v>
      </c>
      <c r="G21" s="165">
        <v>23019</v>
      </c>
      <c r="H21" s="165">
        <v>21719</v>
      </c>
      <c r="I21" s="165">
        <v>11299</v>
      </c>
      <c r="J21" s="165">
        <v>11058</v>
      </c>
      <c r="K21" s="165">
        <v>11403</v>
      </c>
      <c r="L21" s="165">
        <v>24102</v>
      </c>
      <c r="M21" s="128"/>
    </row>
    <row r="22" spans="2:13" hidden="1" outlineLevel="1" x14ac:dyDescent="0.25">
      <c r="B22" s="137" t="s">
        <v>239</v>
      </c>
      <c r="C22" s="163">
        <v>4897</v>
      </c>
      <c r="D22" s="163">
        <v>6371</v>
      </c>
      <c r="E22" s="163">
        <v>15863</v>
      </c>
      <c r="F22" s="163">
        <v>20650</v>
      </c>
      <c r="G22" s="163">
        <v>17368</v>
      </c>
      <c r="H22" s="163">
        <v>13548</v>
      </c>
      <c r="I22" s="163">
        <v>5303</v>
      </c>
      <c r="J22" s="163">
        <v>5356</v>
      </c>
      <c r="K22" s="163">
        <v>5308</v>
      </c>
      <c r="L22" s="163">
        <v>15781</v>
      </c>
      <c r="M22" s="128"/>
    </row>
    <row r="23" spans="2:13" hidden="1" outlineLevel="1" x14ac:dyDescent="0.25">
      <c r="B23" s="137" t="s">
        <v>240</v>
      </c>
      <c r="C23" s="163">
        <v>2476</v>
      </c>
      <c r="D23" s="163">
        <v>1079</v>
      </c>
      <c r="E23" s="163">
        <v>2763</v>
      </c>
      <c r="F23" s="163">
        <v>3668</v>
      </c>
      <c r="G23" s="163">
        <v>4106</v>
      </c>
      <c r="H23" s="163">
        <v>6939</v>
      </c>
      <c r="I23" s="163">
        <v>4900</v>
      </c>
      <c r="J23" s="163">
        <v>4544</v>
      </c>
      <c r="K23" s="163">
        <v>4991</v>
      </c>
      <c r="L23" s="163">
        <v>7250</v>
      </c>
      <c r="M23" s="128"/>
    </row>
    <row r="24" spans="2:13" hidden="1" outlineLevel="1" x14ac:dyDescent="0.25">
      <c r="B24" s="137" t="s">
        <v>241</v>
      </c>
      <c r="C24" s="163">
        <v>0</v>
      </c>
      <c r="D24" s="163">
        <v>0</v>
      </c>
      <c r="E24" s="163">
        <v>0</v>
      </c>
      <c r="F24" s="163">
        <v>0</v>
      </c>
      <c r="G24" s="163">
        <v>0</v>
      </c>
      <c r="H24" s="163">
        <v>1232</v>
      </c>
      <c r="I24" s="163">
        <v>1096</v>
      </c>
      <c r="J24" s="163">
        <v>1157</v>
      </c>
      <c r="K24" s="163">
        <v>1105</v>
      </c>
      <c r="L24" s="163">
        <v>1071</v>
      </c>
    </row>
    <row r="25" spans="2:13" hidden="1" outlineLevel="1" x14ac:dyDescent="0.25">
      <c r="B25" s="137" t="s">
        <v>242</v>
      </c>
      <c r="C25" s="163">
        <v>3244</v>
      </c>
      <c r="D25" s="163">
        <v>1024</v>
      </c>
      <c r="E25" s="163">
        <v>853</v>
      </c>
      <c r="F25" s="163">
        <v>1018</v>
      </c>
      <c r="G25" s="163">
        <v>1545</v>
      </c>
      <c r="H25" s="163">
        <v>0</v>
      </c>
      <c r="I25" s="163">
        <v>0</v>
      </c>
      <c r="J25" s="163">
        <v>0</v>
      </c>
      <c r="K25" s="163">
        <v>0</v>
      </c>
      <c r="L25" s="163">
        <v>0</v>
      </c>
    </row>
    <row r="26" spans="2:13" hidden="1" outlineLevel="1" x14ac:dyDescent="0.25">
      <c r="B26" t="s">
        <v>36</v>
      </c>
      <c r="C26" s="165">
        <v>8631</v>
      </c>
      <c r="D26" s="165">
        <v>9343</v>
      </c>
      <c r="E26" s="165">
        <v>11280</v>
      </c>
      <c r="F26" s="165">
        <v>17438</v>
      </c>
      <c r="G26" s="165">
        <v>17151</v>
      </c>
      <c r="H26" s="165">
        <v>20282</v>
      </c>
      <c r="I26" s="165">
        <v>22077</v>
      </c>
      <c r="J26" s="165">
        <v>25998</v>
      </c>
      <c r="K26" s="165">
        <v>29167</v>
      </c>
      <c r="L26" s="165">
        <v>38823</v>
      </c>
      <c r="M26" s="128"/>
    </row>
    <row r="27" spans="2:13" hidden="1" outlineLevel="1" x14ac:dyDescent="0.25">
      <c r="B27" s="137" t="s">
        <v>243</v>
      </c>
      <c r="C27" s="165">
        <v>15</v>
      </c>
      <c r="D27" s="165">
        <v>10</v>
      </c>
      <c r="E27" s="165">
        <v>16</v>
      </c>
      <c r="F27" s="165">
        <v>12</v>
      </c>
      <c r="G27" s="165">
        <v>8</v>
      </c>
      <c r="H27" s="165">
        <v>6</v>
      </c>
      <c r="I27" s="165">
        <v>-3</v>
      </c>
      <c r="J27" s="165">
        <v>56</v>
      </c>
      <c r="K27" s="165">
        <v>56</v>
      </c>
      <c r="L27" s="165">
        <v>3187</v>
      </c>
      <c r="M27" s="128"/>
    </row>
    <row r="28" spans="2:13" hidden="1" outlineLevel="1" x14ac:dyDescent="0.25">
      <c r="B28" s="137" t="s">
        <v>244</v>
      </c>
      <c r="C28" s="165">
        <v>1717</v>
      </c>
      <c r="D28" s="165">
        <v>1849</v>
      </c>
      <c r="E28" s="165">
        <v>2385</v>
      </c>
      <c r="F28" s="165">
        <v>3160</v>
      </c>
      <c r="G28" s="165">
        <v>3363</v>
      </c>
      <c r="H28" s="165">
        <v>4548</v>
      </c>
      <c r="I28" s="165">
        <v>5863</v>
      </c>
      <c r="J28" s="165">
        <v>7209</v>
      </c>
      <c r="K28" s="165">
        <v>8478</v>
      </c>
      <c r="L28" s="165">
        <v>9327</v>
      </c>
      <c r="M28" s="128"/>
    </row>
    <row r="29" spans="2:13" hidden="1" outlineLevel="1" x14ac:dyDescent="0.25">
      <c r="B29" s="137" t="s">
        <v>245</v>
      </c>
      <c r="C29" s="165">
        <v>166</v>
      </c>
      <c r="D29" s="165">
        <v>196</v>
      </c>
      <c r="E29" s="165">
        <v>305</v>
      </c>
      <c r="F29" s="165">
        <v>357</v>
      </c>
      <c r="G29" s="165">
        <v>464</v>
      </c>
      <c r="H29" s="165">
        <v>415</v>
      </c>
      <c r="I29" s="165">
        <v>465</v>
      </c>
      <c r="J29" s="165">
        <v>384</v>
      </c>
      <c r="K29" s="165">
        <v>527</v>
      </c>
      <c r="L29" s="165">
        <v>541</v>
      </c>
    </row>
    <row r="30" spans="2:13" hidden="1" outlineLevel="1" x14ac:dyDescent="0.25">
      <c r="B30" s="137" t="s">
        <v>246</v>
      </c>
      <c r="C30" s="165">
        <v>6733</v>
      </c>
      <c r="D30" s="165">
        <v>7288</v>
      </c>
      <c r="E30" s="165">
        <v>8574</v>
      </c>
      <c r="F30" s="165">
        <v>13909</v>
      </c>
      <c r="G30" s="165">
        <v>13316</v>
      </c>
      <c r="H30" s="165">
        <v>15313</v>
      </c>
      <c r="I30" s="165">
        <v>15753</v>
      </c>
      <c r="J30" s="165">
        <v>18349</v>
      </c>
      <c r="K30" s="165">
        <v>20106</v>
      </c>
      <c r="L30" s="165">
        <v>25768</v>
      </c>
      <c r="M30" s="128"/>
    </row>
    <row r="31" spans="2:13" collapsed="1" x14ac:dyDescent="0.25">
      <c r="B31" s="133" t="s">
        <v>103</v>
      </c>
      <c r="C31" s="160">
        <v>41193</v>
      </c>
      <c r="D31" s="160">
        <v>42209</v>
      </c>
      <c r="E31" s="160">
        <v>57141</v>
      </c>
      <c r="F31" s="160">
        <v>76525</v>
      </c>
      <c r="G31" s="160">
        <v>79214</v>
      </c>
      <c r="H31" s="160">
        <v>86176</v>
      </c>
      <c r="I31" s="160">
        <v>83811</v>
      </c>
      <c r="J31" s="160">
        <v>91380</v>
      </c>
      <c r="K31" s="160">
        <v>100797</v>
      </c>
      <c r="L31" s="160">
        <v>133632</v>
      </c>
      <c r="M31" s="128"/>
    </row>
    <row r="32" spans="2:13" x14ac:dyDescent="0.25">
      <c r="B32" s="83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28"/>
    </row>
    <row r="33" spans="2:13" hidden="1" outlineLevel="1" x14ac:dyDescent="0.25">
      <c r="B33" t="s">
        <v>265</v>
      </c>
      <c r="C33" s="165">
        <v>25309</v>
      </c>
      <c r="D33" s="165">
        <v>25904</v>
      </c>
      <c r="E33" s="165">
        <v>39715</v>
      </c>
      <c r="F33" s="165">
        <v>56645</v>
      </c>
      <c r="G33" s="165">
        <v>57151</v>
      </c>
      <c r="H33" s="165">
        <v>55412</v>
      </c>
      <c r="I33" s="165">
        <v>55488</v>
      </c>
      <c r="J33" s="165">
        <v>59579</v>
      </c>
      <c r="K33" s="165">
        <v>62878</v>
      </c>
      <c r="L33" s="165">
        <v>94564</v>
      </c>
      <c r="M33" s="128"/>
    </row>
    <row r="34" spans="2:13" hidden="1" outlineLevel="1" x14ac:dyDescent="0.25">
      <c r="B34" s="137" t="s">
        <v>247</v>
      </c>
      <c r="C34" s="163">
        <v>3627</v>
      </c>
      <c r="D34" s="163">
        <v>3785</v>
      </c>
      <c r="E34" s="163">
        <v>6361</v>
      </c>
      <c r="F34" s="163">
        <v>7492</v>
      </c>
      <c r="G34" s="163">
        <v>7943</v>
      </c>
      <c r="H34" s="163">
        <v>8085</v>
      </c>
      <c r="I34" s="163">
        <v>8454</v>
      </c>
      <c r="J34" s="163">
        <v>8709</v>
      </c>
      <c r="K34" s="163">
        <v>9259</v>
      </c>
      <c r="L34" s="163">
        <v>19872</v>
      </c>
    </row>
    <row r="35" spans="2:13" hidden="1" outlineLevel="1" x14ac:dyDescent="0.25">
      <c r="B35" s="137" t="s">
        <v>248</v>
      </c>
      <c r="C35" s="163">
        <v>2469</v>
      </c>
      <c r="D35" s="163">
        <v>2766</v>
      </c>
      <c r="E35" s="163">
        <v>4346</v>
      </c>
      <c r="F35" s="163">
        <v>5130</v>
      </c>
      <c r="G35" s="163">
        <v>5511</v>
      </c>
      <c r="H35" s="163">
        <v>5606</v>
      </c>
      <c r="I35" s="163">
        <v>5831</v>
      </c>
      <c r="J35" s="163">
        <v>6287</v>
      </c>
      <c r="K35" s="163">
        <v>6772</v>
      </c>
      <c r="L35" s="163">
        <v>9361</v>
      </c>
    </row>
    <row r="36" spans="2:13" hidden="1" outlineLevel="1" x14ac:dyDescent="0.25">
      <c r="B36" s="137" t="s">
        <v>249</v>
      </c>
      <c r="C36" s="163">
        <v>18452</v>
      </c>
      <c r="D36" s="163">
        <v>19713</v>
      </c>
      <c r="E36" s="163">
        <v>28048</v>
      </c>
      <c r="F36" s="163">
        <v>36920</v>
      </c>
      <c r="G36" s="163">
        <v>38369</v>
      </c>
      <c r="H36" s="163">
        <v>38655</v>
      </c>
      <c r="I36" s="163">
        <v>40604</v>
      </c>
      <c r="J36" s="163">
        <v>46270</v>
      </c>
      <c r="K36" s="163">
        <v>51343</v>
      </c>
      <c r="L36" s="163">
        <v>67010</v>
      </c>
    </row>
    <row r="37" spans="2:13" hidden="1" outlineLevel="1" x14ac:dyDescent="0.25">
      <c r="B37" s="137" t="s">
        <v>250</v>
      </c>
      <c r="C37" s="163">
        <v>0</v>
      </c>
      <c r="D37" s="163">
        <v>0</v>
      </c>
      <c r="E37" s="163">
        <v>0</v>
      </c>
      <c r="F37" s="163">
        <v>0</v>
      </c>
      <c r="G37" s="163">
        <v>717</v>
      </c>
      <c r="H37" s="163">
        <v>830</v>
      </c>
      <c r="I37" s="163">
        <v>719</v>
      </c>
      <c r="J37" s="163">
        <v>793</v>
      </c>
      <c r="K37" s="163">
        <v>801</v>
      </c>
      <c r="L37" s="163">
        <v>792</v>
      </c>
    </row>
    <row r="38" spans="2:13" hidden="1" outlineLevel="1" x14ac:dyDescent="0.25">
      <c r="B38" s="137" t="s">
        <v>251</v>
      </c>
      <c r="C38" s="163">
        <v>99</v>
      </c>
      <c r="D38" s="163">
        <v>115</v>
      </c>
      <c r="E38" s="163">
        <v>150</v>
      </c>
      <c r="F38" s="163">
        <v>208</v>
      </c>
      <c r="G38" s="163">
        <v>265</v>
      </c>
      <c r="H38" s="163">
        <v>289</v>
      </c>
      <c r="I38" s="163">
        <v>336</v>
      </c>
      <c r="J38" s="163">
        <v>387</v>
      </c>
      <c r="K38" s="163">
        <v>466</v>
      </c>
      <c r="L38" s="163">
        <v>555</v>
      </c>
    </row>
    <row r="39" spans="2:13" hidden="1" outlineLevel="1" x14ac:dyDescent="0.25">
      <c r="B39" s="137" t="s">
        <v>252</v>
      </c>
      <c r="C39" s="163">
        <v>57</v>
      </c>
      <c r="D39" s="163">
        <v>71</v>
      </c>
      <c r="E39" s="163">
        <v>80</v>
      </c>
      <c r="F39" s="163">
        <v>106</v>
      </c>
      <c r="G39" s="163">
        <v>112</v>
      </c>
      <c r="H39" s="163">
        <v>111</v>
      </c>
      <c r="I39" s="163">
        <v>114</v>
      </c>
      <c r="J39" s="163">
        <v>122</v>
      </c>
      <c r="K39" s="163">
        <v>154</v>
      </c>
      <c r="L39" s="163">
        <v>219</v>
      </c>
    </row>
    <row r="40" spans="2:13" hidden="1" outlineLevel="1" x14ac:dyDescent="0.25">
      <c r="B40" s="137" t="s">
        <v>253</v>
      </c>
      <c r="C40" s="163">
        <v>399</v>
      </c>
      <c r="D40" s="163">
        <v>444</v>
      </c>
      <c r="E40" s="163">
        <v>653</v>
      </c>
      <c r="F40" s="163">
        <v>890</v>
      </c>
      <c r="G40" s="163">
        <v>906</v>
      </c>
      <c r="H40" s="163">
        <v>959</v>
      </c>
      <c r="I40" s="163">
        <v>989</v>
      </c>
      <c r="J40" s="163">
        <v>1008</v>
      </c>
      <c r="K40" s="163">
        <v>1088</v>
      </c>
      <c r="L40" s="163">
        <v>1305</v>
      </c>
    </row>
    <row r="41" spans="2:13" hidden="1" outlineLevel="1" x14ac:dyDescent="0.25">
      <c r="B41" s="137" t="s">
        <v>254</v>
      </c>
      <c r="C41" s="163">
        <v>46</v>
      </c>
      <c r="D41" s="163">
        <v>63</v>
      </c>
      <c r="E41" s="163">
        <v>91</v>
      </c>
      <c r="F41" s="163">
        <v>110</v>
      </c>
      <c r="G41" s="163">
        <v>122</v>
      </c>
      <c r="H41" s="163">
        <v>133</v>
      </c>
      <c r="I41" s="163">
        <v>163</v>
      </c>
      <c r="J41" s="163">
        <v>200</v>
      </c>
      <c r="K41" s="163">
        <v>260</v>
      </c>
      <c r="L41" s="163">
        <v>354</v>
      </c>
    </row>
    <row r="42" spans="2:13" hidden="1" outlineLevel="1" x14ac:dyDescent="0.25">
      <c r="B42" s="137" t="s">
        <v>255</v>
      </c>
      <c r="C42" s="163">
        <v>1287</v>
      </c>
      <c r="D42" s="163">
        <v>1329</v>
      </c>
      <c r="E42" s="163">
        <v>1280</v>
      </c>
      <c r="F42" s="163">
        <v>6626</v>
      </c>
      <c r="G42" s="163">
        <v>6680</v>
      </c>
      <c r="H42" s="163">
        <v>6375</v>
      </c>
      <c r="I42" s="163">
        <v>6405</v>
      </c>
      <c r="J42" s="163">
        <v>6484</v>
      </c>
      <c r="K42" s="163">
        <v>6501</v>
      </c>
      <c r="L42" s="163">
        <v>8108</v>
      </c>
      <c r="M42" s="128"/>
    </row>
    <row r="43" spans="2:13" hidden="1" outlineLevel="1" x14ac:dyDescent="0.25">
      <c r="B43" s="137" t="s">
        <v>256</v>
      </c>
      <c r="C43" s="163">
        <v>176</v>
      </c>
      <c r="D43" s="163">
        <v>213</v>
      </c>
      <c r="E43" s="163">
        <v>3073</v>
      </c>
      <c r="F43" s="163">
        <v>5899</v>
      </c>
      <c r="G43" s="163">
        <v>5927</v>
      </c>
      <c r="H43" s="163">
        <v>6289</v>
      </c>
      <c r="I43" s="163">
        <v>6387</v>
      </c>
      <c r="J43" s="163">
        <v>6695</v>
      </c>
      <c r="K43" s="163">
        <v>6637</v>
      </c>
      <c r="L43" s="163">
        <v>11055</v>
      </c>
    </row>
    <row r="44" spans="2:13" hidden="1" outlineLevel="1" x14ac:dyDescent="0.25">
      <c r="B44" s="133" t="s">
        <v>257</v>
      </c>
      <c r="C44" s="160">
        <v>26611</v>
      </c>
      <c r="D44" s="160">
        <v>28498</v>
      </c>
      <c r="E44" s="160">
        <v>44082</v>
      </c>
      <c r="F44" s="160">
        <v>63382</v>
      </c>
      <c r="G44" s="160">
        <v>66550</v>
      </c>
      <c r="H44" s="160">
        <v>67332</v>
      </c>
      <c r="I44" s="160">
        <v>70002</v>
      </c>
      <c r="J44" s="160">
        <v>76957</v>
      </c>
      <c r="K44" s="160">
        <v>83280</v>
      </c>
      <c r="L44" s="160">
        <v>118631</v>
      </c>
    </row>
    <row r="45" spans="2:13" hidden="1" outlineLevel="1" x14ac:dyDescent="0.25">
      <c r="B45" t="s">
        <v>258</v>
      </c>
      <c r="C45" s="165">
        <v>1302</v>
      </c>
      <c r="D45" s="165">
        <v>2594</v>
      </c>
      <c r="E45" s="165">
        <v>4366</v>
      </c>
      <c r="F45" s="165">
        <v>6737</v>
      </c>
      <c r="G45" s="165">
        <v>9399</v>
      </c>
      <c r="H45" s="165">
        <v>11921</v>
      </c>
      <c r="I45" s="165">
        <v>14514</v>
      </c>
      <c r="J45" s="165">
        <v>17378</v>
      </c>
      <c r="K45" s="165">
        <v>20403</v>
      </c>
      <c r="L45" s="165">
        <v>24067</v>
      </c>
    </row>
    <row r="46" spans="2:13" hidden="1" outlineLevel="1" x14ac:dyDescent="0.25">
      <c r="B46" t="s">
        <v>259</v>
      </c>
      <c r="C46" s="165">
        <v>1469</v>
      </c>
      <c r="D46" s="165">
        <v>921</v>
      </c>
      <c r="E46" s="165">
        <v>1511</v>
      </c>
      <c r="F46" s="165">
        <v>1153</v>
      </c>
      <c r="G46" s="165">
        <v>920</v>
      </c>
      <c r="H46" s="165">
        <v>1687</v>
      </c>
      <c r="I46" s="165">
        <v>4785</v>
      </c>
      <c r="J46" s="165">
        <v>4040</v>
      </c>
      <c r="K46" s="165">
        <v>6811</v>
      </c>
      <c r="L46" s="165">
        <v>6234</v>
      </c>
      <c r="M46" s="128"/>
    </row>
    <row r="47" spans="2:13" hidden="1" outlineLevel="1" x14ac:dyDescent="0.25">
      <c r="B47" t="s">
        <v>15</v>
      </c>
      <c r="C47" s="165">
        <v>5095</v>
      </c>
      <c r="D47" s="165">
        <v>6691</v>
      </c>
      <c r="E47" s="165">
        <v>5447</v>
      </c>
      <c r="F47" s="165">
        <v>2921</v>
      </c>
      <c r="G47" s="165">
        <v>5929</v>
      </c>
      <c r="H47" s="165">
        <v>12178</v>
      </c>
      <c r="I47" s="165">
        <v>6336</v>
      </c>
      <c r="J47" s="165">
        <v>7297</v>
      </c>
      <c r="K47" s="165">
        <v>8249</v>
      </c>
      <c r="L47" s="165">
        <v>5156</v>
      </c>
      <c r="M47" s="128"/>
    </row>
    <row r="48" spans="2:13" hidden="1" outlineLevel="1" x14ac:dyDescent="0.25">
      <c r="B48" t="s">
        <v>37</v>
      </c>
      <c r="C48" s="165">
        <v>9319</v>
      </c>
      <c r="D48" s="165">
        <v>8693</v>
      </c>
      <c r="E48" s="165">
        <v>10468</v>
      </c>
      <c r="F48" s="165">
        <v>15806</v>
      </c>
      <c r="G48" s="165">
        <v>15215</v>
      </c>
      <c r="H48" s="165">
        <v>16900</v>
      </c>
      <c r="I48" s="165">
        <v>17203</v>
      </c>
      <c r="J48" s="165">
        <v>20464</v>
      </c>
      <c r="K48" s="165">
        <v>22859</v>
      </c>
      <c r="L48" s="165">
        <v>27677</v>
      </c>
      <c r="M48" s="128"/>
    </row>
    <row r="49" spans="2:13" hidden="1" outlineLevel="1" x14ac:dyDescent="0.25">
      <c r="B49" s="137" t="s">
        <v>260</v>
      </c>
      <c r="C49" s="163">
        <v>2455</v>
      </c>
      <c r="D49" s="163">
        <v>2401</v>
      </c>
      <c r="E49" s="163">
        <v>3268</v>
      </c>
      <c r="F49" s="163">
        <v>4099</v>
      </c>
      <c r="G49" s="163">
        <v>4183</v>
      </c>
      <c r="H49" s="163">
        <v>4018</v>
      </c>
      <c r="I49" s="163">
        <v>5596</v>
      </c>
      <c r="J49" s="163">
        <v>6612</v>
      </c>
      <c r="K49" s="163">
        <v>8330</v>
      </c>
      <c r="L49" s="163">
        <v>9563</v>
      </c>
      <c r="M49" s="128"/>
    </row>
    <row r="50" spans="2:13" hidden="1" outlineLevel="1" x14ac:dyDescent="0.25">
      <c r="B50" s="137" t="s">
        <v>266</v>
      </c>
      <c r="C50" s="163">
        <v>1928</v>
      </c>
      <c r="D50" s="163">
        <v>1757</v>
      </c>
      <c r="E50" s="163">
        <v>2221</v>
      </c>
      <c r="F50" s="163">
        <v>2787</v>
      </c>
      <c r="G50" s="163">
        <v>2383</v>
      </c>
      <c r="H50" s="163">
        <v>2572</v>
      </c>
      <c r="I50" s="163">
        <v>3072</v>
      </c>
      <c r="J50" s="163">
        <v>3867</v>
      </c>
      <c r="K50" s="163">
        <v>4278</v>
      </c>
      <c r="L50" s="163">
        <v>5890</v>
      </c>
      <c r="M50" s="128"/>
    </row>
    <row r="51" spans="2:13" hidden="1" outlineLevel="1" x14ac:dyDescent="0.25">
      <c r="B51" s="137" t="s">
        <v>261</v>
      </c>
      <c r="C51" s="163">
        <v>2267</v>
      </c>
      <c r="D51" s="163">
        <v>2249</v>
      </c>
      <c r="E51" s="163">
        <v>219</v>
      </c>
      <c r="F51" s="163">
        <v>740</v>
      </c>
      <c r="G51" s="163">
        <v>540</v>
      </c>
      <c r="H51" s="163">
        <v>2008</v>
      </c>
      <c r="I51" s="163">
        <v>359</v>
      </c>
      <c r="J51" s="163">
        <v>1150</v>
      </c>
      <c r="K51" s="163">
        <v>783</v>
      </c>
      <c r="L51" s="163">
        <v>1673</v>
      </c>
      <c r="M51" s="128"/>
    </row>
    <row r="52" spans="2:13" hidden="1" outlineLevel="1" x14ac:dyDescent="0.25">
      <c r="B52" s="137" t="s">
        <v>262</v>
      </c>
      <c r="C52" s="163">
        <v>377</v>
      </c>
      <c r="D52" s="163">
        <v>519</v>
      </c>
      <c r="E52" s="163">
        <v>544</v>
      </c>
      <c r="F52" s="163">
        <v>750</v>
      </c>
      <c r="G52" s="163">
        <v>796</v>
      </c>
      <c r="H52" s="163">
        <v>660</v>
      </c>
      <c r="I52" s="163">
        <v>873</v>
      </c>
      <c r="J52" s="163">
        <v>951</v>
      </c>
      <c r="K52" s="163">
        <v>985</v>
      </c>
      <c r="L52" s="163">
        <v>1259</v>
      </c>
      <c r="M52" s="128"/>
    </row>
    <row r="53" spans="2:13" hidden="1" outlineLevel="1" x14ac:dyDescent="0.25">
      <c r="B53" s="137" t="s">
        <v>263</v>
      </c>
      <c r="C53" s="163">
        <v>2292</v>
      </c>
      <c r="D53" s="163">
        <v>1768</v>
      </c>
      <c r="E53" s="163">
        <v>4216</v>
      </c>
      <c r="F53" s="163">
        <v>7430</v>
      </c>
      <c r="G53" s="163">
        <v>7312</v>
      </c>
      <c r="H53" s="163">
        <v>7642</v>
      </c>
      <c r="I53" s="163">
        <v>7304</v>
      </c>
      <c r="J53" s="163">
        <v>7885</v>
      </c>
      <c r="K53" s="163">
        <v>8483</v>
      </c>
      <c r="L53" s="163">
        <v>9292</v>
      </c>
      <c r="M53" s="128"/>
    </row>
    <row r="54" spans="2:13" collapsed="1" x14ac:dyDescent="0.25">
      <c r="B54" s="133" t="s">
        <v>75</v>
      </c>
      <c r="C54" s="160">
        <v>41193</v>
      </c>
      <c r="D54" s="160">
        <v>42209</v>
      </c>
      <c r="E54" s="160">
        <v>57141</v>
      </c>
      <c r="F54" s="160">
        <v>76525</v>
      </c>
      <c r="G54" s="160">
        <v>79214</v>
      </c>
      <c r="H54" s="160">
        <v>86176</v>
      </c>
      <c r="I54" s="160">
        <v>83811</v>
      </c>
      <c r="J54" s="160">
        <v>91380</v>
      </c>
      <c r="K54" s="160">
        <v>100797</v>
      </c>
      <c r="L54" s="160">
        <v>133632</v>
      </c>
      <c r="M54" s="128"/>
    </row>
    <row r="55" spans="2:13" x14ac:dyDescent="0.25">
      <c r="C55" s="165"/>
      <c r="D55" s="165"/>
      <c r="E55" s="165"/>
      <c r="F55" s="165"/>
      <c r="G55" s="165"/>
      <c r="H55" s="165"/>
      <c r="I55" s="165"/>
      <c r="J55" s="165"/>
      <c r="K55" s="165"/>
      <c r="L55" s="165"/>
    </row>
    <row r="56" spans="2:13" x14ac:dyDescent="0.25">
      <c r="B56" s="67" t="s">
        <v>17</v>
      </c>
      <c r="C56" s="167">
        <f>C57+C63+C64</f>
        <v>4525</v>
      </c>
      <c r="D56" s="167">
        <f t="shared" ref="D56:L56" si="0">D57+D63+D64</f>
        <v>5005</v>
      </c>
      <c r="E56" s="167">
        <f t="shared" si="0"/>
        <v>3888</v>
      </c>
      <c r="F56" s="167">
        <f t="shared" si="0"/>
        <v>5956</v>
      </c>
      <c r="G56" s="167">
        <f t="shared" si="0"/>
        <v>8973</v>
      </c>
      <c r="H56" s="167">
        <f t="shared" si="0"/>
        <v>12500</v>
      </c>
      <c r="I56" s="167">
        <f t="shared" si="0"/>
        <v>9283</v>
      </c>
      <c r="J56" s="167">
        <f t="shared" si="0"/>
        <v>9069</v>
      </c>
      <c r="K56" s="167">
        <f t="shared" si="0"/>
        <v>10897</v>
      </c>
      <c r="L56" s="167">
        <f t="shared" si="0"/>
        <v>10673</v>
      </c>
    </row>
    <row r="57" spans="2:13" hidden="1" outlineLevel="1" x14ac:dyDescent="0.25">
      <c r="B57" s="71" t="s">
        <v>127</v>
      </c>
      <c r="C57" s="162">
        <v>4948</v>
      </c>
      <c r="D57" s="162">
        <v>5220</v>
      </c>
      <c r="E57" s="162">
        <v>5986</v>
      </c>
      <c r="F57" s="162">
        <v>7362</v>
      </c>
      <c r="G57" s="162">
        <v>9348</v>
      </c>
      <c r="H57" s="162">
        <v>11465</v>
      </c>
      <c r="I57" s="162">
        <v>11311</v>
      </c>
      <c r="J57" s="162">
        <v>10530</v>
      </c>
      <c r="K57" s="162">
        <v>13029</v>
      </c>
      <c r="L57" s="162">
        <v>12645</v>
      </c>
    </row>
    <row r="58" spans="2:13" hidden="1" outlineLevel="1" x14ac:dyDescent="0.25">
      <c r="B58" s="72" t="s">
        <v>42</v>
      </c>
      <c r="C58" s="165">
        <v>-287</v>
      </c>
      <c r="D58" s="165">
        <v>156</v>
      </c>
      <c r="E58" s="165">
        <v>-454</v>
      </c>
      <c r="F58" s="165">
        <v>-279</v>
      </c>
      <c r="G58" s="165">
        <v>473</v>
      </c>
      <c r="H58" s="165">
        <v>-201</v>
      </c>
      <c r="I58" s="165">
        <v>-495</v>
      </c>
      <c r="J58" s="165">
        <v>-752</v>
      </c>
      <c r="K58" s="165">
        <v>-421</v>
      </c>
      <c r="L58" s="165">
        <v>-608</v>
      </c>
    </row>
    <row r="59" spans="2:13" hidden="1" outlineLevel="1" x14ac:dyDescent="0.25">
      <c r="B59" s="72" t="s">
        <v>29</v>
      </c>
      <c r="C59" s="165">
        <v>374</v>
      </c>
      <c r="D59" s="165">
        <v>54</v>
      </c>
      <c r="E59" s="165">
        <v>-623</v>
      </c>
      <c r="F59" s="165">
        <v>-15</v>
      </c>
      <c r="G59" s="165">
        <v>-64</v>
      </c>
      <c r="H59" s="165">
        <v>165</v>
      </c>
      <c r="I59" s="165">
        <v>-1579</v>
      </c>
      <c r="J59" s="165">
        <v>-992</v>
      </c>
      <c r="K59" s="165">
        <v>-1712</v>
      </c>
      <c r="L59" s="165">
        <v>-317</v>
      </c>
    </row>
    <row r="60" spans="2:13" hidden="1" outlineLevel="1" x14ac:dyDescent="0.25">
      <c r="B60" s="72" t="s">
        <v>128</v>
      </c>
      <c r="C60" s="159">
        <v>310</v>
      </c>
      <c r="D60" s="165">
        <v>482</v>
      </c>
      <c r="E60" s="165">
        <v>346</v>
      </c>
      <c r="F60" s="165">
        <v>766</v>
      </c>
      <c r="G60" s="165">
        <v>279</v>
      </c>
      <c r="H60" s="165">
        <v>2868</v>
      </c>
      <c r="I60" s="165">
        <v>2077</v>
      </c>
      <c r="J60" s="165">
        <v>1869</v>
      </c>
      <c r="K60" s="165">
        <v>1959</v>
      </c>
      <c r="L60" s="165">
        <v>-476</v>
      </c>
    </row>
    <row r="61" spans="2:13" hidden="1" outlineLevel="1" x14ac:dyDescent="0.25">
      <c r="B61" s="72" t="s">
        <v>129</v>
      </c>
      <c r="C61" s="165">
        <v>0</v>
      </c>
      <c r="D61" s="165">
        <v>0</v>
      </c>
      <c r="E61" s="165">
        <v>0</v>
      </c>
      <c r="F61" s="165">
        <v>0</v>
      </c>
      <c r="G61" s="165">
        <v>0</v>
      </c>
      <c r="H61" s="165">
        <v>0</v>
      </c>
      <c r="I61" s="165">
        <v>0</v>
      </c>
      <c r="J61" s="165">
        <v>0</v>
      </c>
      <c r="K61" s="165">
        <v>0</v>
      </c>
      <c r="L61" s="165">
        <v>0</v>
      </c>
    </row>
    <row r="62" spans="2:13" hidden="1" outlineLevel="1" x14ac:dyDescent="0.25">
      <c r="B62" s="73" t="s">
        <v>130</v>
      </c>
      <c r="C62" s="165">
        <v>32</v>
      </c>
      <c r="D62" s="165">
        <v>-162</v>
      </c>
      <c r="E62" s="165">
        <v>-525</v>
      </c>
      <c r="F62" s="165">
        <v>-1167</v>
      </c>
      <c r="G62" s="165">
        <v>-172</v>
      </c>
      <c r="H62" s="165">
        <v>-505</v>
      </c>
      <c r="I62" s="165">
        <v>-476</v>
      </c>
      <c r="J62" s="165">
        <v>-461</v>
      </c>
      <c r="K62" s="165">
        <v>-308</v>
      </c>
      <c r="L62" s="165">
        <v>729</v>
      </c>
    </row>
    <row r="63" spans="2:13" hidden="1" outlineLevel="1" x14ac:dyDescent="0.25">
      <c r="B63" s="71" t="s">
        <v>131</v>
      </c>
      <c r="C63" s="162">
        <v>429</v>
      </c>
      <c r="D63" s="162">
        <v>529</v>
      </c>
      <c r="E63" s="162">
        <v>-1255</v>
      </c>
      <c r="F63" s="162">
        <v>-696</v>
      </c>
      <c r="G63" s="162">
        <v>516</v>
      </c>
      <c r="H63" s="162">
        <v>2326</v>
      </c>
      <c r="I63" s="162">
        <v>-473</v>
      </c>
      <c r="J63" s="162">
        <v>-337</v>
      </c>
      <c r="K63" s="162">
        <v>-481</v>
      </c>
      <c r="L63" s="162">
        <v>-671</v>
      </c>
    </row>
    <row r="64" spans="2:13" hidden="1" outlineLevel="1" x14ac:dyDescent="0.25">
      <c r="B64" s="74" t="s">
        <v>132</v>
      </c>
      <c r="C64" s="162">
        <v>-852</v>
      </c>
      <c r="D64" s="162">
        <v>-744</v>
      </c>
      <c r="E64" s="162">
        <v>-843</v>
      </c>
      <c r="F64" s="162">
        <v>-710</v>
      </c>
      <c r="G64" s="162">
        <v>-891</v>
      </c>
      <c r="H64" s="162">
        <v>-1291</v>
      </c>
      <c r="I64" s="162">
        <v>-1555</v>
      </c>
      <c r="J64" s="162">
        <v>-1124</v>
      </c>
      <c r="K64" s="162">
        <v>-1651</v>
      </c>
      <c r="L64" s="162">
        <v>-1301</v>
      </c>
    </row>
    <row r="65" spans="2:12" hidden="1" outlineLevel="1" x14ac:dyDescent="0.25">
      <c r="B65" s="72" t="s">
        <v>213</v>
      </c>
      <c r="C65" s="165">
        <v>0</v>
      </c>
      <c r="D65" s="165">
        <v>0</v>
      </c>
      <c r="E65" s="165">
        <v>0</v>
      </c>
      <c r="F65" s="165">
        <v>0</v>
      </c>
      <c r="G65" s="165">
        <v>0</v>
      </c>
      <c r="H65" s="165">
        <v>0</v>
      </c>
      <c r="I65" s="165">
        <v>0</v>
      </c>
      <c r="J65" s="165">
        <v>0</v>
      </c>
      <c r="K65" s="165">
        <v>0</v>
      </c>
      <c r="L65" s="165">
        <v>0</v>
      </c>
    </row>
    <row r="66" spans="2:12" collapsed="1" x14ac:dyDescent="0.25">
      <c r="B66" s="67" t="s">
        <v>18</v>
      </c>
      <c r="C66" s="167">
        <f>SUM(C67:C77)</f>
        <v>-3675</v>
      </c>
      <c r="D66" s="167">
        <f t="shared" ref="D66:L66" si="1">SUM(D67:D77)</f>
        <v>-2501</v>
      </c>
      <c r="E66" s="167">
        <f t="shared" si="1"/>
        <v>1866</v>
      </c>
      <c r="F66" s="167">
        <f t="shared" si="1"/>
        <v>1164</v>
      </c>
      <c r="G66" s="167">
        <f t="shared" si="1"/>
        <v>-4193</v>
      </c>
      <c r="H66" s="167">
        <f t="shared" si="1"/>
        <v>-8856</v>
      </c>
      <c r="I66" s="167">
        <f t="shared" si="1"/>
        <v>2322</v>
      </c>
      <c r="J66" s="167">
        <f t="shared" si="1"/>
        <v>-7187</v>
      </c>
      <c r="K66" s="167">
        <f t="shared" si="1"/>
        <v>-8788</v>
      </c>
      <c r="L66" s="167">
        <f t="shared" si="1"/>
        <v>-15835</v>
      </c>
    </row>
    <row r="67" spans="2:12" hidden="1" outlineLevel="1" x14ac:dyDescent="0.25">
      <c r="B67" t="s">
        <v>133</v>
      </c>
      <c r="C67" s="165">
        <v>-2150</v>
      </c>
      <c r="D67" s="165">
        <v>-1402</v>
      </c>
      <c r="E67" s="165">
        <v>-2103</v>
      </c>
      <c r="F67" s="165">
        <v>-1808</v>
      </c>
      <c r="G67" s="165">
        <v>-1766</v>
      </c>
      <c r="H67" s="165">
        <v>-1925</v>
      </c>
      <c r="I67" s="165">
        <v>-5613</v>
      </c>
      <c r="J67" s="165">
        <v>-6200</v>
      </c>
      <c r="K67" s="165">
        <v>-9006</v>
      </c>
      <c r="L67" s="165">
        <v>-9129</v>
      </c>
    </row>
    <row r="68" spans="2:12" hidden="1" outlineLevel="1" x14ac:dyDescent="0.25">
      <c r="B68" t="s">
        <v>134</v>
      </c>
      <c r="C68" s="165">
        <v>18</v>
      </c>
      <c r="D68" s="165">
        <v>35</v>
      </c>
      <c r="E68" s="165">
        <v>220</v>
      </c>
      <c r="F68" s="165">
        <v>160</v>
      </c>
      <c r="G68" s="165">
        <v>79</v>
      </c>
      <c r="H68" s="165">
        <v>86</v>
      </c>
      <c r="I68" s="165">
        <v>73</v>
      </c>
      <c r="J68" s="165">
        <v>95</v>
      </c>
      <c r="K68" s="165">
        <v>122</v>
      </c>
      <c r="L68" s="165">
        <v>179</v>
      </c>
    </row>
    <row r="69" spans="2:12" hidden="1" outlineLevel="1" x14ac:dyDescent="0.25">
      <c r="B69" t="s">
        <v>135</v>
      </c>
      <c r="C69" s="165">
        <v>-2698</v>
      </c>
      <c r="D69" s="165">
        <v>-3377</v>
      </c>
      <c r="E69" s="165">
        <v>-3960</v>
      </c>
      <c r="F69" s="165">
        <v>-1700</v>
      </c>
      <c r="G69" s="165">
        <v>-6086</v>
      </c>
      <c r="H69" s="165">
        <v>-12689</v>
      </c>
      <c r="I69" s="165">
        <v>-7795</v>
      </c>
      <c r="J69" s="165">
        <v>-7260</v>
      </c>
      <c r="K69" s="165">
        <v>-7750</v>
      </c>
      <c r="L69" s="165">
        <v>-15885</v>
      </c>
    </row>
    <row r="70" spans="2:12" hidden="1" outlineLevel="1" x14ac:dyDescent="0.25">
      <c r="B70" t="s">
        <v>136</v>
      </c>
      <c r="C70" s="165">
        <v>2948</v>
      </c>
      <c r="D70" s="165">
        <v>2228</v>
      </c>
      <c r="E70" s="165">
        <v>5588</v>
      </c>
      <c r="F70" s="165">
        <v>4478</v>
      </c>
      <c r="G70" s="165">
        <v>3443</v>
      </c>
      <c r="H70" s="165">
        <v>7101</v>
      </c>
      <c r="I70" s="165">
        <v>13965</v>
      </c>
      <c r="J70" s="165">
        <v>7156</v>
      </c>
      <c r="K70" s="165">
        <v>7164</v>
      </c>
      <c r="L70" s="165">
        <v>19115</v>
      </c>
    </row>
    <row r="71" spans="2:12" hidden="1" outlineLevel="1" x14ac:dyDescent="0.25">
      <c r="B71" t="s">
        <v>137</v>
      </c>
      <c r="C71" s="165">
        <v>59</v>
      </c>
      <c r="D71" s="165">
        <v>47</v>
      </c>
      <c r="E71" s="165">
        <v>67</v>
      </c>
      <c r="F71" s="165">
        <v>78</v>
      </c>
      <c r="G71" s="165">
        <v>89</v>
      </c>
      <c r="H71" s="165">
        <v>77</v>
      </c>
      <c r="I71" s="165">
        <v>174</v>
      </c>
      <c r="J71" s="165">
        <v>283</v>
      </c>
      <c r="K71" s="165">
        <v>161</v>
      </c>
      <c r="L71" s="165">
        <v>342</v>
      </c>
    </row>
    <row r="72" spans="2:12" hidden="1" outlineLevel="1" x14ac:dyDescent="0.25">
      <c r="B72" t="s">
        <v>138</v>
      </c>
      <c r="C72" s="165">
        <v>0</v>
      </c>
      <c r="D72" s="165">
        <v>0</v>
      </c>
      <c r="E72" s="165">
        <v>0</v>
      </c>
      <c r="F72" s="165">
        <v>22</v>
      </c>
      <c r="G72" s="165">
        <v>32</v>
      </c>
      <c r="H72" s="165">
        <v>0</v>
      </c>
      <c r="I72" s="165">
        <v>0</v>
      </c>
      <c r="J72" s="165">
        <v>0</v>
      </c>
      <c r="K72" s="165">
        <v>0</v>
      </c>
      <c r="L72" s="165">
        <v>1</v>
      </c>
    </row>
    <row r="73" spans="2:12" hidden="1" outlineLevel="1" x14ac:dyDescent="0.25">
      <c r="B73" t="s">
        <v>139</v>
      </c>
      <c r="C73" s="165">
        <v>-13</v>
      </c>
      <c r="D73" s="165">
        <v>0</v>
      </c>
      <c r="E73" s="165">
        <v>0</v>
      </c>
      <c r="F73" s="165">
        <v>0</v>
      </c>
      <c r="G73" s="165">
        <v>0</v>
      </c>
      <c r="H73" s="165">
        <v>0</v>
      </c>
      <c r="I73" s="165">
        <v>0</v>
      </c>
      <c r="J73" s="165">
        <v>0</v>
      </c>
      <c r="K73" s="165">
        <v>0</v>
      </c>
      <c r="L73" s="165">
        <v>0</v>
      </c>
    </row>
    <row r="74" spans="2:12" hidden="1" outlineLevel="1" x14ac:dyDescent="0.25">
      <c r="B74" t="s">
        <v>214</v>
      </c>
      <c r="C74" s="165">
        <v>0</v>
      </c>
      <c r="D74" s="165">
        <v>0</v>
      </c>
      <c r="E74" s="165">
        <v>-1</v>
      </c>
      <c r="F74" s="165">
        <v>-8</v>
      </c>
      <c r="G74" s="165">
        <v>-6</v>
      </c>
      <c r="H74" s="165">
        <v>-3</v>
      </c>
      <c r="I74" s="165">
        <v>0</v>
      </c>
      <c r="J74" s="165">
        <v>0</v>
      </c>
      <c r="K74" s="165">
        <v>0</v>
      </c>
      <c r="L74" s="165">
        <v>0</v>
      </c>
    </row>
    <row r="75" spans="2:12" hidden="1" outlineLevel="1" x14ac:dyDescent="0.25">
      <c r="B75" t="s">
        <v>215</v>
      </c>
      <c r="C75" s="165">
        <v>0</v>
      </c>
      <c r="D75" s="165">
        <v>0</v>
      </c>
      <c r="E75" s="165">
        <v>0</v>
      </c>
      <c r="F75" s="165">
        <v>0</v>
      </c>
      <c r="G75" s="165">
        <v>0</v>
      </c>
      <c r="H75" s="165">
        <v>0</v>
      </c>
      <c r="I75" s="165">
        <v>0</v>
      </c>
      <c r="J75" s="165">
        <v>3</v>
      </c>
      <c r="K75" s="165">
        <v>0</v>
      </c>
      <c r="L75" s="165">
        <v>36</v>
      </c>
    </row>
    <row r="76" spans="2:12" hidden="1" outlineLevel="1" x14ac:dyDescent="0.25">
      <c r="B76" t="s">
        <v>216</v>
      </c>
      <c r="C76" s="165">
        <v>0</v>
      </c>
      <c r="D76" s="165">
        <v>0</v>
      </c>
      <c r="E76" s="165">
        <v>0</v>
      </c>
      <c r="F76" s="165">
        <v>0</v>
      </c>
      <c r="G76" s="165">
        <v>0</v>
      </c>
      <c r="H76" s="165">
        <v>0</v>
      </c>
      <c r="I76" s="165">
        <v>0</v>
      </c>
      <c r="J76" s="165">
        <v>-847</v>
      </c>
      <c r="K76" s="165">
        <v>-60</v>
      </c>
      <c r="L76" s="165">
        <v>-10262</v>
      </c>
    </row>
    <row r="77" spans="2:12" hidden="1" outlineLevel="1" x14ac:dyDescent="0.25">
      <c r="B77" t="s">
        <v>140</v>
      </c>
      <c r="C77" s="165">
        <v>-1839</v>
      </c>
      <c r="D77" s="165">
        <v>-32</v>
      </c>
      <c r="E77" s="165">
        <v>2055</v>
      </c>
      <c r="F77" s="165">
        <v>-58</v>
      </c>
      <c r="G77" s="165">
        <v>22</v>
      </c>
      <c r="H77" s="165">
        <v>-1503</v>
      </c>
      <c r="I77" s="165">
        <v>1518</v>
      </c>
      <c r="J77" s="165">
        <v>-417</v>
      </c>
      <c r="K77" s="165">
        <v>581</v>
      </c>
      <c r="L77" s="165">
        <v>-232</v>
      </c>
    </row>
    <row r="78" spans="2:12" collapsed="1" x14ac:dyDescent="0.25">
      <c r="B78" s="67" t="s">
        <v>19</v>
      </c>
      <c r="C78" s="167">
        <f>SUM(C79:C85)</f>
        <v>-843</v>
      </c>
      <c r="D78" s="167">
        <f t="shared" ref="D78:L78" si="2">SUM(D79:D85)</f>
        <v>-2535</v>
      </c>
      <c r="E78" s="167">
        <f t="shared" si="2"/>
        <v>-5735</v>
      </c>
      <c r="F78" s="167">
        <f t="shared" si="2"/>
        <v>-6757</v>
      </c>
      <c r="G78" s="167">
        <f t="shared" si="2"/>
        <v>-5076</v>
      </c>
      <c r="H78" s="167">
        <f t="shared" si="2"/>
        <v>-4356</v>
      </c>
      <c r="I78" s="167">
        <f t="shared" si="2"/>
        <v>-12497</v>
      </c>
      <c r="J78" s="167">
        <f t="shared" si="2"/>
        <v>-1631</v>
      </c>
      <c r="K78" s="167">
        <f t="shared" si="2"/>
        <v>-1925</v>
      </c>
      <c r="L78" s="167">
        <f t="shared" si="2"/>
        <v>5076</v>
      </c>
    </row>
    <row r="79" spans="2:12" hidden="1" outlineLevel="1" x14ac:dyDescent="0.25">
      <c r="B79" s="72" t="s">
        <v>141</v>
      </c>
      <c r="C79" s="159">
        <v>3</v>
      </c>
      <c r="D79" s="165">
        <v>7</v>
      </c>
      <c r="E79" s="165">
        <v>16</v>
      </c>
      <c r="F79" s="165">
        <v>5</v>
      </c>
      <c r="G79" s="165">
        <v>3</v>
      </c>
      <c r="H79" s="165">
        <v>14</v>
      </c>
      <c r="I79" s="165">
        <v>13</v>
      </c>
      <c r="J79" s="165">
        <v>13</v>
      </c>
      <c r="K79" s="165">
        <v>18</v>
      </c>
      <c r="L79" s="165">
        <v>33</v>
      </c>
    </row>
    <row r="80" spans="2:12" hidden="1" outlineLevel="1" x14ac:dyDescent="0.25">
      <c r="B80" s="72" t="s">
        <v>142</v>
      </c>
      <c r="C80" s="165">
        <v>2821</v>
      </c>
      <c r="D80" s="165">
        <v>3656</v>
      </c>
      <c r="E80" s="165">
        <v>15775</v>
      </c>
      <c r="F80" s="165">
        <v>9772</v>
      </c>
      <c r="G80" s="165">
        <v>1510</v>
      </c>
      <c r="H80" s="165">
        <v>4103</v>
      </c>
      <c r="I80" s="165">
        <v>175</v>
      </c>
      <c r="J80" s="165">
        <v>1032</v>
      </c>
      <c r="K80" s="165">
        <v>1399</v>
      </c>
      <c r="L80" s="165">
        <v>9410</v>
      </c>
    </row>
    <row r="81" spans="2:12" hidden="1" outlineLevel="1" x14ac:dyDescent="0.25">
      <c r="B81" s="72" t="s">
        <v>143</v>
      </c>
      <c r="C81" s="165">
        <v>-2775</v>
      </c>
      <c r="D81" s="165">
        <v>-5272</v>
      </c>
      <c r="E81" s="165">
        <v>-19982</v>
      </c>
      <c r="F81" s="165">
        <v>-14420</v>
      </c>
      <c r="G81" s="165">
        <v>-4154</v>
      </c>
      <c r="H81" s="165">
        <v>-6499</v>
      </c>
      <c r="I81" s="165">
        <v>-10346</v>
      </c>
      <c r="J81" s="165">
        <v>-579</v>
      </c>
      <c r="K81" s="165">
        <v>-1069</v>
      </c>
      <c r="L81" s="165">
        <v>-550</v>
      </c>
    </row>
    <row r="82" spans="2:12" hidden="1" outlineLevel="1" x14ac:dyDescent="0.25">
      <c r="B82" s="72" t="s">
        <v>144</v>
      </c>
      <c r="C82" s="165">
        <v>-596</v>
      </c>
      <c r="D82" s="165">
        <v>-614</v>
      </c>
      <c r="E82" s="165">
        <v>-1210</v>
      </c>
      <c r="F82" s="165">
        <v>-1685</v>
      </c>
      <c r="G82" s="165">
        <v>-1950</v>
      </c>
      <c r="H82" s="165">
        <v>-1481</v>
      </c>
      <c r="I82" s="165">
        <v>-1026</v>
      </c>
      <c r="J82" s="165">
        <v>-765</v>
      </c>
      <c r="K82" s="165">
        <v>-917</v>
      </c>
      <c r="L82" s="165">
        <v>-1540</v>
      </c>
    </row>
    <row r="83" spans="2:12" hidden="1" outlineLevel="1" x14ac:dyDescent="0.25">
      <c r="B83" s="72" t="s">
        <v>145</v>
      </c>
      <c r="C83" s="165">
        <v>-297</v>
      </c>
      <c r="D83" s="165">
        <v>-312</v>
      </c>
      <c r="E83" s="165">
        <v>-334</v>
      </c>
      <c r="F83" s="165">
        <v>-346</v>
      </c>
      <c r="G83" s="165">
        <v>-380</v>
      </c>
      <c r="H83" s="165">
        <v>-375</v>
      </c>
      <c r="I83" s="165">
        <v>-1065</v>
      </c>
      <c r="J83" s="165">
        <v>-1091</v>
      </c>
      <c r="K83" s="165">
        <v>-1094</v>
      </c>
      <c r="L83" s="165">
        <v>-2012</v>
      </c>
    </row>
    <row r="84" spans="2:12" hidden="1" outlineLevel="1" x14ac:dyDescent="0.25">
      <c r="B84" s="72" t="s">
        <v>146</v>
      </c>
      <c r="C84" s="165">
        <v>0</v>
      </c>
      <c r="D84" s="165">
        <v>0</v>
      </c>
      <c r="E84" s="165">
        <v>0</v>
      </c>
      <c r="F84" s="165">
        <v>0</v>
      </c>
      <c r="G84" s="165">
        <v>-101</v>
      </c>
      <c r="H84" s="165">
        <v>-118</v>
      </c>
      <c r="I84" s="165">
        <v>-157</v>
      </c>
      <c r="J84" s="165">
        <v>-126</v>
      </c>
      <c r="K84" s="165">
        <v>-162</v>
      </c>
      <c r="L84" s="165">
        <v>-165</v>
      </c>
    </row>
    <row r="85" spans="2:12" hidden="1" outlineLevel="1" x14ac:dyDescent="0.25">
      <c r="B85" s="72" t="s">
        <v>147</v>
      </c>
      <c r="C85" s="165">
        <v>1</v>
      </c>
      <c r="D85" s="165">
        <v>0</v>
      </c>
      <c r="E85" s="165">
        <v>0</v>
      </c>
      <c r="F85" s="165">
        <v>-83</v>
      </c>
      <c r="G85" s="165">
        <v>-4</v>
      </c>
      <c r="H85" s="165">
        <v>0</v>
      </c>
      <c r="I85" s="165">
        <v>-91</v>
      </c>
      <c r="J85" s="165">
        <v>-115</v>
      </c>
      <c r="K85" s="165">
        <v>-100</v>
      </c>
      <c r="L85" s="165">
        <v>-100</v>
      </c>
    </row>
    <row r="86" spans="2:12" collapsed="1" x14ac:dyDescent="0.25">
      <c r="B86" s="77" t="s">
        <v>20</v>
      </c>
      <c r="C86" s="168">
        <f t="shared" ref="C86:L86" si="3">C78+C66+C56</f>
        <v>7</v>
      </c>
      <c r="D86" s="168">
        <f t="shared" si="3"/>
        <v>-31</v>
      </c>
      <c r="E86" s="168">
        <f t="shared" si="3"/>
        <v>19</v>
      </c>
      <c r="F86" s="168">
        <f t="shared" si="3"/>
        <v>363</v>
      </c>
      <c r="G86" s="168">
        <f t="shared" si="3"/>
        <v>-296</v>
      </c>
      <c r="H86" s="168">
        <f t="shared" si="3"/>
        <v>-712</v>
      </c>
      <c r="I86" s="168">
        <f t="shared" si="3"/>
        <v>-892</v>
      </c>
      <c r="J86" s="168">
        <f t="shared" si="3"/>
        <v>251</v>
      </c>
      <c r="K86" s="168">
        <f t="shared" si="3"/>
        <v>184</v>
      </c>
      <c r="L86" s="168">
        <f t="shared" si="3"/>
        <v>-86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291BA-0333-45BF-ABB8-72F6D3FDD6F3}">
  <sheetPr>
    <tabColor rgb="FF002060"/>
  </sheetPr>
  <dimension ref="B7:G35"/>
  <sheetViews>
    <sheetView showGridLines="0" zoomScale="80" zoomScaleNormal="80" workbookViewId="0">
      <selection activeCell="D10" sqref="D10"/>
    </sheetView>
  </sheetViews>
  <sheetFormatPr defaultRowHeight="15" x14ac:dyDescent="0.25"/>
  <cols>
    <col min="1" max="1" width="1.85546875" customWidth="1"/>
    <col min="3" max="3" width="10.42578125" customWidth="1"/>
    <col min="6" max="6" width="14.5703125" customWidth="1"/>
    <col min="7" max="7" width="10.28515625" bestFit="1" customWidth="1"/>
  </cols>
  <sheetData>
    <row r="7" spans="2:7" x14ac:dyDescent="0.25">
      <c r="B7" s="203" t="s">
        <v>227</v>
      </c>
      <c r="C7" s="203"/>
    </row>
    <row r="9" spans="2:7" x14ac:dyDescent="0.25">
      <c r="B9" s="105" t="s">
        <v>225</v>
      </c>
      <c r="C9" s="124" t="s">
        <v>226</v>
      </c>
      <c r="E9" s="20" t="s">
        <v>228</v>
      </c>
      <c r="F9" s="20"/>
      <c r="G9" s="127">
        <f>AVERAGE(C10:C34)</f>
        <v>0.15334799999999998</v>
      </c>
    </row>
    <row r="10" spans="2:7" ht="17.25" x14ac:dyDescent="0.25">
      <c r="B10" s="18">
        <v>2000</v>
      </c>
      <c r="C10" s="91">
        <v>-0.14649999999999999</v>
      </c>
      <c r="E10" s="20" t="s">
        <v>229</v>
      </c>
      <c r="F10" s="20"/>
      <c r="G10" s="126" t="s">
        <v>230</v>
      </c>
    </row>
    <row r="11" spans="2:7" x14ac:dyDescent="0.25">
      <c r="B11" s="18">
        <v>2001</v>
      </c>
      <c r="C11" s="91">
        <v>-0.1618</v>
      </c>
      <c r="E11" s="19" t="s">
        <v>231</v>
      </c>
      <c r="G11" s="125">
        <f>SUM(G9:G10)</f>
        <v>0.15334799999999998</v>
      </c>
    </row>
    <row r="12" spans="2:7" x14ac:dyDescent="0.25">
      <c r="B12" s="18">
        <v>2002</v>
      </c>
      <c r="C12" s="91">
        <v>3.2500000000000001E-2</v>
      </c>
    </row>
    <row r="13" spans="2:7" x14ac:dyDescent="0.25">
      <c r="B13" s="18">
        <v>2003</v>
      </c>
      <c r="C13" s="91">
        <v>0.71900000000000008</v>
      </c>
      <c r="E13" s="19" t="s">
        <v>232</v>
      </c>
      <c r="G13" s="169">
        <v>1824</v>
      </c>
    </row>
    <row r="14" spans="2:7" x14ac:dyDescent="0.25">
      <c r="B14" s="18">
        <v>2004</v>
      </c>
      <c r="C14" s="91">
        <v>0.10679999999999999</v>
      </c>
    </row>
    <row r="15" spans="2:7" x14ac:dyDescent="0.25">
      <c r="B15" s="18">
        <v>2005</v>
      </c>
      <c r="C15" s="91">
        <v>0.36340000000000006</v>
      </c>
    </row>
    <row r="16" spans="2:7" x14ac:dyDescent="0.25">
      <c r="B16" s="18">
        <v>2006</v>
      </c>
      <c r="C16" s="91">
        <v>0.39829999999999999</v>
      </c>
    </row>
    <row r="17" spans="2:3" x14ac:dyDescent="0.25">
      <c r="B17" s="18">
        <v>2007</v>
      </c>
      <c r="C17" s="91">
        <v>0.54770000000000008</v>
      </c>
    </row>
    <row r="18" spans="2:3" x14ac:dyDescent="0.25">
      <c r="B18" s="18">
        <v>2008</v>
      </c>
      <c r="C18" s="91">
        <v>-0.51790000000000003</v>
      </c>
    </row>
    <row r="19" spans="2:3" x14ac:dyDescent="0.25">
      <c r="B19" s="18">
        <v>2009</v>
      </c>
      <c r="C19" s="91">
        <v>0.75760000000000005</v>
      </c>
    </row>
    <row r="20" spans="2:3" x14ac:dyDescent="0.25">
      <c r="B20" s="18">
        <v>2010</v>
      </c>
      <c r="C20" s="91">
        <v>0.17949999999999999</v>
      </c>
    </row>
    <row r="21" spans="2:3" x14ac:dyDescent="0.25">
      <c r="B21" s="18">
        <v>2011</v>
      </c>
      <c r="C21" s="91">
        <v>-0.2462</v>
      </c>
    </row>
    <row r="22" spans="2:3" x14ac:dyDescent="0.25">
      <c r="B22" s="18">
        <v>2012</v>
      </c>
      <c r="C22" s="91">
        <v>0.27699999999999997</v>
      </c>
    </row>
    <row r="23" spans="2:3" x14ac:dyDescent="0.25">
      <c r="B23" s="18">
        <v>2013</v>
      </c>
      <c r="C23" s="91">
        <v>6.7599999999999993E-2</v>
      </c>
    </row>
    <row r="24" spans="2:3" x14ac:dyDescent="0.25">
      <c r="B24" s="18">
        <v>2014</v>
      </c>
      <c r="C24" s="91">
        <v>0.31390000000000001</v>
      </c>
    </row>
    <row r="25" spans="2:3" x14ac:dyDescent="0.25">
      <c r="B25" s="18">
        <v>2015</v>
      </c>
      <c r="C25" s="91">
        <v>-4.0599999999999997E-2</v>
      </c>
    </row>
    <row r="26" spans="2:3" x14ac:dyDescent="0.25">
      <c r="B26" s="18">
        <v>2016</v>
      </c>
      <c r="C26" s="91">
        <v>3.0099999999999998E-2</v>
      </c>
    </row>
    <row r="27" spans="2:3" x14ac:dyDescent="0.25">
      <c r="B27" s="18">
        <v>2017</v>
      </c>
      <c r="C27" s="91">
        <v>0.28649999999999998</v>
      </c>
    </row>
    <row r="28" spans="2:3" x14ac:dyDescent="0.25">
      <c r="B28" s="18">
        <v>2018</v>
      </c>
      <c r="C28" s="91">
        <v>3.15E-2</v>
      </c>
    </row>
    <row r="29" spans="2:3" x14ac:dyDescent="0.25">
      <c r="B29" s="18">
        <v>2019</v>
      </c>
      <c r="C29" s="91">
        <v>0.1202</v>
      </c>
    </row>
    <row r="30" spans="2:3" x14ac:dyDescent="0.25">
      <c r="B30" s="18">
        <v>2020</v>
      </c>
      <c r="C30" s="91">
        <v>0.14899999999999999</v>
      </c>
    </row>
    <row r="31" spans="2:3" x14ac:dyDescent="0.25">
      <c r="B31" s="18">
        <v>2021</v>
      </c>
      <c r="C31" s="91">
        <v>0.2412</v>
      </c>
    </row>
    <row r="32" spans="2:3" x14ac:dyDescent="0.25">
      <c r="B32" s="18">
        <v>2022</v>
      </c>
      <c r="C32" s="91">
        <v>4.3200000000000002E-2</v>
      </c>
    </row>
    <row r="33" spans="2:3" x14ac:dyDescent="0.25">
      <c r="B33" s="18">
        <v>2023</v>
      </c>
      <c r="C33" s="91">
        <v>0.19420000000000001</v>
      </c>
    </row>
    <row r="34" spans="2:3" x14ac:dyDescent="0.25">
      <c r="B34" s="18">
        <v>2024</v>
      </c>
      <c r="C34" s="91">
        <v>8.7499999999999994E-2</v>
      </c>
    </row>
    <row r="35" spans="2:3" x14ac:dyDescent="0.25">
      <c r="B35" s="18"/>
    </row>
  </sheetData>
  <mergeCells count="1">
    <mergeCell ref="B7:C7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7878-8412-40C0-A9D0-659486CDFA16}">
  <sheetPr>
    <tabColor rgb="FF002060"/>
  </sheetPr>
  <dimension ref="B6:Q115"/>
  <sheetViews>
    <sheetView showGridLines="0" zoomScale="80" zoomScaleNormal="80" workbookViewId="0">
      <selection activeCell="I8" sqref="I8:J8"/>
    </sheetView>
  </sheetViews>
  <sheetFormatPr defaultRowHeight="15" x14ac:dyDescent="0.25"/>
  <cols>
    <col min="1" max="1" width="1.85546875" customWidth="1"/>
    <col min="2" max="2" width="15.7109375" bestFit="1" customWidth="1"/>
    <col min="3" max="3" width="12.28515625" customWidth="1"/>
    <col min="4" max="4" width="16" customWidth="1"/>
    <col min="6" max="6" width="12.28515625" bestFit="1" customWidth="1"/>
    <col min="7" max="7" width="15.28515625" bestFit="1" customWidth="1"/>
    <col min="9" max="9" width="20.85546875" bestFit="1" customWidth="1"/>
    <col min="10" max="10" width="12.7109375" bestFit="1" customWidth="1"/>
    <col min="11" max="11" width="14.5703125" bestFit="1" customWidth="1"/>
    <col min="12" max="13" width="12" bestFit="1" customWidth="1"/>
    <col min="14" max="14" width="13.42578125" bestFit="1" customWidth="1"/>
    <col min="15" max="15" width="12" bestFit="1" customWidth="1"/>
    <col min="16" max="16" width="12.7109375" bestFit="1" customWidth="1"/>
    <col min="17" max="17" width="12.5703125" bestFit="1" customWidth="1"/>
  </cols>
  <sheetData>
    <row r="6" spans="2:10" s="28" customFormat="1" x14ac:dyDescent="0.25">
      <c r="B6" s="65" t="s">
        <v>153</v>
      </c>
      <c r="C6" s="54"/>
      <c r="D6" s="54"/>
      <c r="E6" s="54"/>
      <c r="F6" s="54"/>
      <c r="G6" s="54"/>
      <c r="H6" s="54"/>
      <c r="I6" s="54"/>
      <c r="J6" s="54"/>
    </row>
    <row r="7" spans="2:10" s="28" customFormat="1" x14ac:dyDescent="0.25">
      <c r="B7" s="83"/>
    </row>
    <row r="8" spans="2:10" x14ac:dyDescent="0.25">
      <c r="B8" s="203" t="str">
        <f>'Data Sheet'!$B$1&amp;" Returns"</f>
        <v>ULTRATECH CEMENT LTD Returns</v>
      </c>
      <c r="C8" s="203"/>
      <c r="D8" s="203"/>
      <c r="F8" s="203" t="s">
        <v>151</v>
      </c>
      <c r="G8" s="203"/>
      <c r="I8" s="203" t="s">
        <v>152</v>
      </c>
      <c r="J8" s="203"/>
    </row>
    <row r="9" spans="2:10" s="28" customFormat="1" x14ac:dyDescent="0.25"/>
    <row r="10" spans="2:10" x14ac:dyDescent="0.25">
      <c r="B10" s="84" t="s">
        <v>148</v>
      </c>
      <c r="C10" s="85" t="s">
        <v>149</v>
      </c>
      <c r="D10" s="85" t="s">
        <v>150</v>
      </c>
      <c r="E10" s="15"/>
      <c r="F10" s="85" t="s">
        <v>149</v>
      </c>
      <c r="G10" s="85" t="s">
        <v>150</v>
      </c>
      <c r="I10" s="86" t="s">
        <v>154</v>
      </c>
      <c r="J10" s="14">
        <f>J35</f>
        <v>1.2661066359509003</v>
      </c>
    </row>
    <row r="11" spans="2:10" x14ac:dyDescent="0.25">
      <c r="B11" s="81">
        <v>45928</v>
      </c>
      <c r="C11" s="80">
        <v>12019</v>
      </c>
      <c r="F11" s="82">
        <v>24894.25</v>
      </c>
      <c r="I11" s="20" t="s">
        <v>155</v>
      </c>
      <c r="J11" s="91">
        <v>0.75</v>
      </c>
    </row>
    <row r="12" spans="2:10" x14ac:dyDescent="0.25">
      <c r="B12" s="81">
        <v>45921</v>
      </c>
      <c r="C12" s="80">
        <v>12070</v>
      </c>
      <c r="D12" s="34">
        <f>C12/C11-1</f>
        <v>4.2432814710042788E-3</v>
      </c>
      <c r="F12" s="82">
        <v>24654.7</v>
      </c>
      <c r="G12" s="34">
        <f>F12/F11-1</f>
        <v>-9.6227040380810758E-3</v>
      </c>
    </row>
    <row r="13" spans="2:10" x14ac:dyDescent="0.25">
      <c r="B13" s="81">
        <v>45914</v>
      </c>
      <c r="C13" s="80">
        <v>12508</v>
      </c>
      <c r="D13" s="34">
        <f t="shared" ref="D13:D76" si="0">C13/C12-1</f>
        <v>3.6288318144159115E-2</v>
      </c>
      <c r="F13" s="82">
        <v>25327.05</v>
      </c>
      <c r="G13" s="34">
        <f t="shared" ref="G13:G76" si="1">F13/F12-1</f>
        <v>2.7270662388915623E-2</v>
      </c>
      <c r="I13" s="20" t="s">
        <v>156</v>
      </c>
      <c r="J13" s="92">
        <v>1</v>
      </c>
    </row>
    <row r="14" spans="2:10" x14ac:dyDescent="0.25">
      <c r="B14" s="81">
        <v>45907</v>
      </c>
      <c r="C14" s="80">
        <v>12370</v>
      </c>
      <c r="D14" s="34">
        <f t="shared" si="0"/>
        <v>-1.1032938919091739E-2</v>
      </c>
      <c r="F14" s="82">
        <v>25114</v>
      </c>
      <c r="G14" s="34">
        <f t="shared" si="1"/>
        <v>-8.4119548072120187E-3</v>
      </c>
      <c r="I14" s="20" t="s">
        <v>157</v>
      </c>
      <c r="J14" s="91">
        <v>0.25</v>
      </c>
    </row>
    <row r="15" spans="2:10" x14ac:dyDescent="0.25">
      <c r="B15" s="81">
        <v>45900</v>
      </c>
      <c r="C15" s="80">
        <v>12601</v>
      </c>
      <c r="D15" s="34">
        <f t="shared" si="0"/>
        <v>1.867421180274853E-2</v>
      </c>
      <c r="F15" s="82">
        <v>24741</v>
      </c>
      <c r="G15" s="34">
        <f t="shared" si="1"/>
        <v>-1.4852273632236956E-2</v>
      </c>
    </row>
    <row r="16" spans="2:10" x14ac:dyDescent="0.25">
      <c r="B16" s="81">
        <v>45893</v>
      </c>
      <c r="C16" s="80">
        <v>12640</v>
      </c>
      <c r="D16" s="34">
        <f t="shared" si="0"/>
        <v>3.0949924609158241E-3</v>
      </c>
      <c r="F16" s="82">
        <v>24426.85</v>
      </c>
      <c r="G16" s="34">
        <f t="shared" si="1"/>
        <v>-1.2697546582595698E-2</v>
      </c>
      <c r="I16" s="93" t="s">
        <v>158</v>
      </c>
      <c r="J16" s="94">
        <f>(J10*J11)+(J13*J14)</f>
        <v>1.1995799769631752</v>
      </c>
    </row>
    <row r="17" spans="2:14" x14ac:dyDescent="0.25">
      <c r="B17" s="81">
        <v>45886</v>
      </c>
      <c r="C17" s="80">
        <v>12589</v>
      </c>
      <c r="D17" s="34">
        <f t="shared" si="0"/>
        <v>-4.0348101265822445E-3</v>
      </c>
      <c r="F17" s="82">
        <v>24870.1</v>
      </c>
      <c r="G17" s="34">
        <f t="shared" si="1"/>
        <v>1.8146015552557904E-2</v>
      </c>
    </row>
    <row r="18" spans="2:14" x14ac:dyDescent="0.25">
      <c r="B18" s="81">
        <v>45879</v>
      </c>
      <c r="C18" s="80">
        <v>12317</v>
      </c>
      <c r="D18" s="34">
        <f t="shared" si="0"/>
        <v>-2.1606164111525938E-2</v>
      </c>
      <c r="F18" s="82">
        <v>24631.3</v>
      </c>
      <c r="G18" s="34">
        <f t="shared" si="1"/>
        <v>-9.6018914278591661E-3</v>
      </c>
      <c r="I18" t="s">
        <v>159</v>
      </c>
    </row>
    <row r="19" spans="2:14" ht="15.75" thickBot="1" x14ac:dyDescent="0.3">
      <c r="B19" s="81">
        <v>45872</v>
      </c>
      <c r="C19" s="80">
        <v>12157</v>
      </c>
      <c r="D19" s="34">
        <f t="shared" si="0"/>
        <v>-1.2990176179264457E-2</v>
      </c>
      <c r="F19" s="82">
        <v>24363.3</v>
      </c>
      <c r="G19" s="34">
        <f t="shared" si="1"/>
        <v>-1.0880465099284198E-2</v>
      </c>
    </row>
    <row r="20" spans="2:14" x14ac:dyDescent="0.25">
      <c r="B20" s="81">
        <v>45865</v>
      </c>
      <c r="C20" s="80">
        <v>12113</v>
      </c>
      <c r="D20" s="34">
        <f t="shared" si="0"/>
        <v>-3.6193139754874259E-3</v>
      </c>
      <c r="F20" s="82">
        <v>24565.35</v>
      </c>
      <c r="G20" s="34">
        <f t="shared" si="1"/>
        <v>8.2932115107559046E-3</v>
      </c>
      <c r="I20" s="90" t="s">
        <v>160</v>
      </c>
      <c r="J20" s="90"/>
    </row>
    <row r="21" spans="2:14" x14ac:dyDescent="0.25">
      <c r="B21" s="81">
        <v>45858</v>
      </c>
      <c r="C21" s="80">
        <v>12250</v>
      </c>
      <c r="D21" s="34">
        <f t="shared" si="0"/>
        <v>1.131016263518525E-2</v>
      </c>
      <c r="F21" s="82">
        <v>24837</v>
      </c>
      <c r="G21" s="34">
        <f t="shared" si="1"/>
        <v>1.1058258889045103E-2</v>
      </c>
      <c r="I21" s="87" t="s">
        <v>161</v>
      </c>
      <c r="J21" s="87">
        <v>0.65855728130581426</v>
      </c>
    </row>
    <row r="22" spans="2:14" x14ac:dyDescent="0.25">
      <c r="B22" s="81">
        <v>45851</v>
      </c>
      <c r="C22" s="80">
        <v>12498</v>
      </c>
      <c r="D22" s="34">
        <f t="shared" si="0"/>
        <v>2.0244897959183605E-2</v>
      </c>
      <c r="F22" s="82">
        <v>24968.400000000001</v>
      </c>
      <c r="G22" s="34">
        <f t="shared" si="1"/>
        <v>5.2904940210170004E-3</v>
      </c>
      <c r="I22" s="87" t="s">
        <v>162</v>
      </c>
      <c r="J22" s="87">
        <v>0.43369769276090542</v>
      </c>
    </row>
    <row r="23" spans="2:14" x14ac:dyDescent="0.25">
      <c r="B23" s="81">
        <v>45844</v>
      </c>
      <c r="C23" s="80">
        <v>12495</v>
      </c>
      <c r="D23" s="34">
        <f t="shared" si="0"/>
        <v>-2.4003840614494898E-4</v>
      </c>
      <c r="F23" s="82">
        <v>25149.85</v>
      </c>
      <c r="G23" s="34">
        <f t="shared" si="1"/>
        <v>7.267185722753533E-3</v>
      </c>
      <c r="I23" s="87" t="s">
        <v>163</v>
      </c>
      <c r="J23" s="87">
        <v>0.42809073922388469</v>
      </c>
    </row>
    <row r="24" spans="2:14" x14ac:dyDescent="0.25">
      <c r="B24" s="81">
        <v>45837</v>
      </c>
      <c r="C24" s="80">
        <v>12506</v>
      </c>
      <c r="D24" s="34">
        <f t="shared" si="0"/>
        <v>8.8035214085624425E-4</v>
      </c>
      <c r="F24" s="82">
        <v>25461</v>
      </c>
      <c r="G24" s="34">
        <f t="shared" si="1"/>
        <v>1.2371843172026997E-2</v>
      </c>
      <c r="I24" s="87" t="s">
        <v>164</v>
      </c>
      <c r="J24" s="87">
        <v>2.5273875863498052E-2</v>
      </c>
    </row>
    <row r="25" spans="2:14" ht="15.75" thickBot="1" x14ac:dyDescent="0.3">
      <c r="B25" s="81">
        <v>45830</v>
      </c>
      <c r="C25" s="80">
        <v>12213</v>
      </c>
      <c r="D25" s="34">
        <f t="shared" si="0"/>
        <v>-2.3428754197984958E-2</v>
      </c>
      <c r="F25" s="82">
        <v>25637.8</v>
      </c>
      <c r="G25" s="34">
        <f t="shared" si="1"/>
        <v>6.9439534975059836E-3</v>
      </c>
      <c r="I25" s="88" t="s">
        <v>165</v>
      </c>
      <c r="J25" s="88">
        <v>103</v>
      </c>
    </row>
    <row r="26" spans="2:14" x14ac:dyDescent="0.25">
      <c r="B26" s="81">
        <v>45823</v>
      </c>
      <c r="C26" s="80">
        <v>11458</v>
      </c>
      <c r="D26" s="34">
        <f t="shared" si="0"/>
        <v>-6.1819372799475913E-2</v>
      </c>
      <c r="F26" s="82">
        <v>25112.400000000001</v>
      </c>
      <c r="G26" s="34">
        <f t="shared" si="1"/>
        <v>-2.0493178041797622E-2</v>
      </c>
    </row>
    <row r="27" spans="2:14" ht="15.75" thickBot="1" x14ac:dyDescent="0.3">
      <c r="B27" s="81">
        <v>45816</v>
      </c>
      <c r="C27" s="80">
        <v>11224</v>
      </c>
      <c r="D27" s="34">
        <f t="shared" si="0"/>
        <v>-2.0422412288357505E-2</v>
      </c>
      <c r="F27" s="82">
        <v>24718.6</v>
      </c>
      <c r="G27" s="34">
        <f t="shared" si="1"/>
        <v>-1.568149599401103E-2</v>
      </c>
      <c r="I27" t="s">
        <v>166</v>
      </c>
    </row>
    <row r="28" spans="2:14" x14ac:dyDescent="0.25">
      <c r="B28" s="81">
        <v>45809</v>
      </c>
      <c r="C28" s="80">
        <v>11253</v>
      </c>
      <c r="D28" s="34">
        <f t="shared" si="0"/>
        <v>2.5837491090521247E-3</v>
      </c>
      <c r="F28" s="82">
        <v>25003.05</v>
      </c>
      <c r="G28" s="34">
        <f t="shared" si="1"/>
        <v>1.1507528743537332E-2</v>
      </c>
      <c r="I28" s="89"/>
      <c r="J28" s="89" t="s">
        <v>170</v>
      </c>
      <c r="K28" s="89" t="s">
        <v>171</v>
      </c>
      <c r="L28" s="89" t="s">
        <v>172</v>
      </c>
      <c r="M28" s="89" t="s">
        <v>173</v>
      </c>
      <c r="N28" s="89" t="s">
        <v>174</v>
      </c>
    </row>
    <row r="29" spans="2:14" x14ac:dyDescent="0.25">
      <c r="B29" s="81">
        <v>45802</v>
      </c>
      <c r="C29" s="80">
        <v>11210</v>
      </c>
      <c r="D29" s="34">
        <f t="shared" si="0"/>
        <v>-3.821203234692927E-3</v>
      </c>
      <c r="F29" s="82">
        <v>24750.7</v>
      </c>
      <c r="G29" s="34">
        <f t="shared" si="1"/>
        <v>-1.0092768682220754E-2</v>
      </c>
      <c r="I29" s="87" t="s">
        <v>167</v>
      </c>
      <c r="J29" s="87">
        <v>1</v>
      </c>
      <c r="K29" s="87">
        <v>4.9408748162993552E-2</v>
      </c>
      <c r="L29" s="87">
        <v>4.9408748162993552E-2</v>
      </c>
      <c r="M29" s="87">
        <v>77.349970870518618</v>
      </c>
      <c r="N29" s="87">
        <v>4.0151982120875056E-14</v>
      </c>
    </row>
    <row r="30" spans="2:14" x14ac:dyDescent="0.25">
      <c r="B30" s="81">
        <v>45795</v>
      </c>
      <c r="C30" s="80">
        <v>11746</v>
      </c>
      <c r="D30" s="34">
        <f t="shared" si="0"/>
        <v>4.7814451382694134E-2</v>
      </c>
      <c r="F30" s="82">
        <v>24853.15</v>
      </c>
      <c r="G30" s="34">
        <f t="shared" si="1"/>
        <v>4.139276868937003E-3</v>
      </c>
      <c r="I30" s="87" t="s">
        <v>168</v>
      </c>
      <c r="J30" s="87">
        <v>101</v>
      </c>
      <c r="K30" s="87">
        <v>6.4515648917514448E-2</v>
      </c>
      <c r="L30" s="87">
        <v>6.387688011635094E-4</v>
      </c>
      <c r="M30" s="87"/>
      <c r="N30" s="87"/>
    </row>
    <row r="31" spans="2:14" ht="15.75" thickBot="1" x14ac:dyDescent="0.3">
      <c r="B31" s="81">
        <v>45788</v>
      </c>
      <c r="C31" s="80">
        <v>11905</v>
      </c>
      <c r="D31" s="34">
        <f t="shared" si="0"/>
        <v>1.3536523071683959E-2</v>
      </c>
      <c r="F31" s="82">
        <v>25019.8</v>
      </c>
      <c r="G31" s="34">
        <f t="shared" si="1"/>
        <v>6.705387445856914E-3</v>
      </c>
      <c r="I31" s="88" t="s">
        <v>12</v>
      </c>
      <c r="J31" s="88">
        <v>102</v>
      </c>
      <c r="K31" s="88">
        <v>0.113924397080508</v>
      </c>
      <c r="L31" s="88"/>
      <c r="M31" s="88"/>
      <c r="N31" s="88"/>
    </row>
    <row r="32" spans="2:14" ht="15.75" thickBot="1" x14ac:dyDescent="0.3">
      <c r="B32" s="81">
        <v>45781</v>
      </c>
      <c r="C32" s="80">
        <v>11364</v>
      </c>
      <c r="D32" s="34">
        <f t="shared" si="0"/>
        <v>-4.5443091138177238E-2</v>
      </c>
      <c r="F32" s="82">
        <v>24008</v>
      </c>
      <c r="G32" s="34">
        <f t="shared" si="1"/>
        <v>-4.0439971542538311E-2</v>
      </c>
    </row>
    <row r="33" spans="2:17" x14ac:dyDescent="0.25">
      <c r="B33" s="81">
        <v>45774</v>
      </c>
      <c r="C33" s="80">
        <v>11644</v>
      </c>
      <c r="D33" s="34">
        <f t="shared" si="0"/>
        <v>2.4639211545230522E-2</v>
      </c>
      <c r="F33" s="82">
        <v>24346.7</v>
      </c>
      <c r="G33" s="34">
        <f t="shared" si="1"/>
        <v>1.4107797400866318E-2</v>
      </c>
      <c r="I33" s="89"/>
      <c r="J33" s="89" t="s">
        <v>175</v>
      </c>
      <c r="K33" s="89" t="s">
        <v>164</v>
      </c>
      <c r="L33" s="89" t="s">
        <v>176</v>
      </c>
      <c r="M33" s="89" t="s">
        <v>177</v>
      </c>
      <c r="N33" s="89" t="s">
        <v>178</v>
      </c>
      <c r="O33" s="89" t="s">
        <v>179</v>
      </c>
      <c r="P33" s="89" t="s">
        <v>180</v>
      </c>
      <c r="Q33" s="89" t="s">
        <v>181</v>
      </c>
    </row>
    <row r="34" spans="2:17" x14ac:dyDescent="0.25">
      <c r="B34" s="81">
        <v>45767</v>
      </c>
      <c r="C34" s="80">
        <v>12237</v>
      </c>
      <c r="D34" s="34">
        <f t="shared" si="0"/>
        <v>5.0927516317416766E-2</v>
      </c>
      <c r="F34" s="82">
        <v>24039.35</v>
      </c>
      <c r="G34" s="34">
        <f t="shared" si="1"/>
        <v>-1.2623887426222113E-2</v>
      </c>
      <c r="I34" s="87" t="s">
        <v>169</v>
      </c>
      <c r="J34" s="87">
        <v>-3.0222425624621893E-4</v>
      </c>
      <c r="K34" s="87">
        <v>2.5085051593925953E-3</v>
      </c>
      <c r="L34" s="87">
        <v>-0.12047982246103849</v>
      </c>
      <c r="M34" s="87">
        <v>0.90434241060183751</v>
      </c>
      <c r="N34" s="87">
        <v>-5.2784237120074009E-3</v>
      </c>
      <c r="O34" s="87">
        <v>4.6739751995149631E-3</v>
      </c>
      <c r="P34" s="87">
        <v>-5.2784237120074009E-3</v>
      </c>
      <c r="Q34" s="87">
        <v>4.6739751995149631E-3</v>
      </c>
    </row>
    <row r="35" spans="2:17" ht="15.75" thickBot="1" x14ac:dyDescent="0.3">
      <c r="B35" s="81">
        <v>45760</v>
      </c>
      <c r="C35" s="80">
        <v>11901</v>
      </c>
      <c r="D35" s="34">
        <f t="shared" si="0"/>
        <v>-2.7457710223093845E-2</v>
      </c>
      <c r="F35" s="82">
        <v>23851.65</v>
      </c>
      <c r="G35" s="34">
        <f t="shared" si="1"/>
        <v>-7.8080314151587338E-3</v>
      </c>
      <c r="I35" s="88" t="s">
        <v>182</v>
      </c>
      <c r="J35" s="88">
        <v>1.2661066359509003</v>
      </c>
      <c r="K35" s="88">
        <v>0.14395945962442261</v>
      </c>
      <c r="L35" s="88">
        <v>8.7948832209710961</v>
      </c>
      <c r="M35" s="88">
        <v>4.0151982120871888E-14</v>
      </c>
      <c r="N35" s="88">
        <v>0.98052979272519769</v>
      </c>
      <c r="O35" s="88">
        <v>1.551683479176603</v>
      </c>
      <c r="P35" s="88">
        <v>0.98052979272519769</v>
      </c>
      <c r="Q35" s="88">
        <v>1.551683479176603</v>
      </c>
    </row>
    <row r="36" spans="2:17" x14ac:dyDescent="0.25">
      <c r="B36" s="81">
        <v>45753</v>
      </c>
      <c r="C36" s="80">
        <v>11502.65</v>
      </c>
      <c r="D36" s="34">
        <f t="shared" si="0"/>
        <v>-3.3471977144777787E-2</v>
      </c>
      <c r="F36" s="82">
        <v>22828.55</v>
      </c>
      <c r="G36" s="34">
        <f t="shared" si="1"/>
        <v>-4.2894307102443685E-2</v>
      </c>
    </row>
    <row r="37" spans="2:17" x14ac:dyDescent="0.25">
      <c r="B37" s="81">
        <v>45746</v>
      </c>
      <c r="C37" s="80">
        <v>11498.65</v>
      </c>
      <c r="D37" s="34">
        <f t="shared" si="0"/>
        <v>-3.4774595419317933E-4</v>
      </c>
      <c r="F37" s="82">
        <v>22904.45</v>
      </c>
      <c r="G37" s="34">
        <f t="shared" si="1"/>
        <v>3.3247840971064591E-3</v>
      </c>
    </row>
    <row r="38" spans="2:17" x14ac:dyDescent="0.25">
      <c r="B38" s="81">
        <v>45739</v>
      </c>
      <c r="C38" s="80">
        <v>11509.55</v>
      </c>
      <c r="D38" s="34">
        <f t="shared" si="0"/>
        <v>9.4793736656040295E-4</v>
      </c>
      <c r="F38" s="82">
        <v>23519.35</v>
      </c>
      <c r="G38" s="34">
        <f t="shared" si="1"/>
        <v>2.6846311524616251E-2</v>
      </c>
    </row>
    <row r="39" spans="2:17" x14ac:dyDescent="0.25">
      <c r="B39" s="81">
        <v>45732</v>
      </c>
      <c r="C39" s="80">
        <v>10976.75</v>
      </c>
      <c r="D39" s="34">
        <f t="shared" si="0"/>
        <v>-4.6291992302044727E-2</v>
      </c>
      <c r="F39" s="82">
        <v>23350.400000000001</v>
      </c>
      <c r="G39" s="34">
        <f t="shared" si="1"/>
        <v>-7.1834468214468927E-3</v>
      </c>
    </row>
    <row r="40" spans="2:17" x14ac:dyDescent="0.25">
      <c r="B40" s="81">
        <v>45725</v>
      </c>
      <c r="C40" s="80">
        <v>10452.1</v>
      </c>
      <c r="D40" s="34">
        <f t="shared" si="0"/>
        <v>-4.7796478921356522E-2</v>
      </c>
      <c r="F40" s="82">
        <v>22397.200000000001</v>
      </c>
      <c r="G40" s="34">
        <f t="shared" si="1"/>
        <v>-4.0821570508428162E-2</v>
      </c>
    </row>
    <row r="41" spans="2:17" x14ac:dyDescent="0.25">
      <c r="B41" s="81">
        <v>45718</v>
      </c>
      <c r="C41" s="80">
        <v>10582.4</v>
      </c>
      <c r="D41" s="34">
        <f t="shared" si="0"/>
        <v>1.2466394313104479E-2</v>
      </c>
      <c r="F41" s="82">
        <v>22552.5</v>
      </c>
      <c r="G41" s="34">
        <f t="shared" si="1"/>
        <v>6.9339024520922443E-3</v>
      </c>
    </row>
    <row r="42" spans="2:17" x14ac:dyDescent="0.25">
      <c r="B42" s="81">
        <v>45711</v>
      </c>
      <c r="C42" s="80">
        <v>10128.450000000001</v>
      </c>
      <c r="D42" s="34">
        <f t="shared" si="0"/>
        <v>-4.2896696401572343E-2</v>
      </c>
      <c r="F42" s="82">
        <v>22124.7</v>
      </c>
      <c r="G42" s="34">
        <f t="shared" si="1"/>
        <v>-1.8969072164948475E-2</v>
      </c>
    </row>
    <row r="43" spans="2:17" x14ac:dyDescent="0.25">
      <c r="B43" s="81">
        <v>45704</v>
      </c>
      <c r="C43" s="80">
        <v>11157.25</v>
      </c>
      <c r="D43" s="34">
        <f t="shared" si="0"/>
        <v>0.10157526571193021</v>
      </c>
      <c r="F43" s="82">
        <v>22795.9</v>
      </c>
      <c r="G43" s="34">
        <f t="shared" si="1"/>
        <v>3.0337134514818231E-2</v>
      </c>
    </row>
    <row r="44" spans="2:17" x14ac:dyDescent="0.25">
      <c r="B44" s="81">
        <v>45697</v>
      </c>
      <c r="C44" s="80">
        <v>11263.85</v>
      </c>
      <c r="D44" s="34">
        <f t="shared" si="0"/>
        <v>9.5543256626857698E-3</v>
      </c>
      <c r="F44" s="82">
        <v>22929.25</v>
      </c>
      <c r="G44" s="34">
        <f t="shared" si="1"/>
        <v>5.8497361367613188E-3</v>
      </c>
    </row>
    <row r="45" spans="2:17" x14ac:dyDescent="0.25">
      <c r="B45" s="81">
        <v>45690</v>
      </c>
      <c r="C45" s="80">
        <v>11640.6</v>
      </c>
      <c r="D45" s="34">
        <f t="shared" si="0"/>
        <v>3.3447711040186068E-2</v>
      </c>
      <c r="F45" s="82">
        <v>23559.95</v>
      </c>
      <c r="G45" s="34">
        <f t="shared" si="1"/>
        <v>2.7506351058146361E-2</v>
      </c>
    </row>
    <row r="46" spans="2:17" x14ac:dyDescent="0.25">
      <c r="B46" s="81">
        <v>45683</v>
      </c>
      <c r="C46" s="80">
        <v>11487.45</v>
      </c>
      <c r="D46" s="34">
        <f t="shared" si="0"/>
        <v>-1.3156538322766864E-2</v>
      </c>
      <c r="F46" s="82">
        <v>23508.400000000001</v>
      </c>
      <c r="G46" s="34">
        <f t="shared" si="1"/>
        <v>-2.188035203809835E-3</v>
      </c>
    </row>
    <row r="47" spans="2:17" x14ac:dyDescent="0.25">
      <c r="B47" s="81">
        <v>45676</v>
      </c>
      <c r="C47" s="80">
        <v>11285.85</v>
      </c>
      <c r="D47" s="34">
        <f t="shared" si="0"/>
        <v>-1.7549586722901966E-2</v>
      </c>
      <c r="F47" s="82">
        <v>23092.2</v>
      </c>
      <c r="G47" s="34">
        <f t="shared" si="1"/>
        <v>-1.7704309948784247E-2</v>
      </c>
    </row>
    <row r="48" spans="2:17" x14ac:dyDescent="0.25">
      <c r="B48" s="81">
        <v>45669</v>
      </c>
      <c r="C48" s="80">
        <v>10580</v>
      </c>
      <c r="D48" s="34">
        <f t="shared" si="0"/>
        <v>-6.2542918787685475E-2</v>
      </c>
      <c r="F48" s="82">
        <v>23203.200000000001</v>
      </c>
      <c r="G48" s="34">
        <f t="shared" si="1"/>
        <v>4.8068178865590117E-3</v>
      </c>
    </row>
    <row r="49" spans="2:7" x14ac:dyDescent="0.25">
      <c r="B49" s="81">
        <v>45662</v>
      </c>
      <c r="C49" s="80">
        <v>10865.2</v>
      </c>
      <c r="D49" s="34">
        <f t="shared" si="0"/>
        <v>2.6956521739130546E-2</v>
      </c>
      <c r="F49" s="82">
        <v>23431.5</v>
      </c>
      <c r="G49" s="34">
        <f t="shared" si="1"/>
        <v>9.8391601158460684E-3</v>
      </c>
    </row>
    <row r="50" spans="2:7" x14ac:dyDescent="0.25">
      <c r="B50" s="81">
        <v>45655</v>
      </c>
      <c r="C50" s="80">
        <v>11786</v>
      </c>
      <c r="D50" s="34">
        <f t="shared" si="0"/>
        <v>8.4747634650075288E-2</v>
      </c>
      <c r="F50" s="82">
        <v>24004.75</v>
      </c>
      <c r="G50" s="34">
        <f t="shared" si="1"/>
        <v>2.4464929688666981E-2</v>
      </c>
    </row>
    <row r="51" spans="2:7" x14ac:dyDescent="0.25">
      <c r="B51" s="81">
        <v>45648</v>
      </c>
      <c r="C51" s="80">
        <v>11406.55</v>
      </c>
      <c r="D51" s="34">
        <f t="shared" si="0"/>
        <v>-3.2194977091464461E-2</v>
      </c>
      <c r="F51" s="82">
        <v>23813.4</v>
      </c>
      <c r="G51" s="34">
        <f t="shared" si="1"/>
        <v>-7.9713390058216982E-3</v>
      </c>
    </row>
    <row r="52" spans="2:7" x14ac:dyDescent="0.25">
      <c r="B52" s="81">
        <v>45641</v>
      </c>
      <c r="C52" s="80">
        <v>11422.8</v>
      </c>
      <c r="D52" s="34">
        <f t="shared" si="0"/>
        <v>1.4246200647873852E-3</v>
      </c>
      <c r="F52" s="82">
        <v>23587.5</v>
      </c>
      <c r="G52" s="34">
        <f t="shared" si="1"/>
        <v>-9.4862556375822082E-3</v>
      </c>
    </row>
    <row r="53" spans="2:7" x14ac:dyDescent="0.25">
      <c r="B53" s="81">
        <v>45634</v>
      </c>
      <c r="C53" s="80">
        <v>12083.9</v>
      </c>
      <c r="D53" s="34">
        <f t="shared" si="0"/>
        <v>5.7875477115943541E-2</v>
      </c>
      <c r="F53" s="82">
        <v>24768.3</v>
      </c>
      <c r="G53" s="34">
        <f t="shared" si="1"/>
        <v>5.0060413354531041E-2</v>
      </c>
    </row>
    <row r="54" spans="2:7" x14ac:dyDescent="0.25">
      <c r="B54" s="81">
        <v>45627</v>
      </c>
      <c r="C54" s="80">
        <v>11848.5</v>
      </c>
      <c r="D54" s="34">
        <f t="shared" si="0"/>
        <v>-1.9480465743675457E-2</v>
      </c>
      <c r="F54" s="82">
        <v>24677.8</v>
      </c>
      <c r="G54" s="34">
        <f t="shared" si="1"/>
        <v>-3.653864011660013E-3</v>
      </c>
    </row>
    <row r="55" spans="2:7" x14ac:dyDescent="0.25">
      <c r="B55" s="81">
        <v>45620</v>
      </c>
      <c r="C55" s="80">
        <v>11202.15</v>
      </c>
      <c r="D55" s="34">
        <f t="shared" si="0"/>
        <v>-5.4551209013799284E-2</v>
      </c>
      <c r="F55" s="82">
        <v>24131.1</v>
      </c>
      <c r="G55" s="34">
        <f t="shared" si="1"/>
        <v>-2.2153514494809179E-2</v>
      </c>
    </row>
    <row r="56" spans="2:7" x14ac:dyDescent="0.25">
      <c r="B56" s="81">
        <v>45613</v>
      </c>
      <c r="C56" s="80">
        <v>11375.3</v>
      </c>
      <c r="D56" s="34">
        <f t="shared" si="0"/>
        <v>1.5456854264583209E-2</v>
      </c>
      <c r="F56" s="82">
        <v>23907.25</v>
      </c>
      <c r="G56" s="34">
        <f t="shared" si="1"/>
        <v>-9.2764109385812255E-3</v>
      </c>
    </row>
    <row r="57" spans="2:7" x14ac:dyDescent="0.25">
      <c r="B57" s="81">
        <v>45606</v>
      </c>
      <c r="C57" s="80">
        <v>10728.5</v>
      </c>
      <c r="D57" s="34">
        <f t="shared" si="0"/>
        <v>-5.6860038856118011E-2</v>
      </c>
      <c r="F57" s="82">
        <v>23532.7</v>
      </c>
      <c r="G57" s="34">
        <f t="shared" si="1"/>
        <v>-1.5666795637306663E-2</v>
      </c>
    </row>
    <row r="58" spans="2:7" x14ac:dyDescent="0.25">
      <c r="B58" s="81">
        <v>45599</v>
      </c>
      <c r="C58" s="80">
        <v>11043.35</v>
      </c>
      <c r="D58" s="34">
        <f t="shared" si="0"/>
        <v>2.9347066225474228E-2</v>
      </c>
      <c r="F58" s="82">
        <v>24148.2</v>
      </c>
      <c r="G58" s="34">
        <f t="shared" si="1"/>
        <v>2.6155094825498049E-2</v>
      </c>
    </row>
    <row r="59" spans="2:7" x14ac:dyDescent="0.25">
      <c r="B59" s="81">
        <v>45592</v>
      </c>
      <c r="C59" s="80">
        <v>11145.8</v>
      </c>
      <c r="D59" s="34">
        <f t="shared" si="0"/>
        <v>9.2770762495075765E-3</v>
      </c>
      <c r="F59" s="82">
        <v>24304.35</v>
      </c>
      <c r="G59" s="34">
        <f t="shared" si="1"/>
        <v>6.4663204710908584E-3</v>
      </c>
    </row>
    <row r="60" spans="2:7" x14ac:dyDescent="0.25">
      <c r="B60" s="81">
        <v>45585</v>
      </c>
      <c r="C60" s="80">
        <v>10995.2</v>
      </c>
      <c r="D60" s="34">
        <f t="shared" si="0"/>
        <v>-1.3511816110104102E-2</v>
      </c>
      <c r="F60" s="82">
        <v>24180.799999999999</v>
      </c>
      <c r="G60" s="34">
        <f t="shared" si="1"/>
        <v>-5.0834521392261189E-3</v>
      </c>
    </row>
    <row r="61" spans="2:7" x14ac:dyDescent="0.25">
      <c r="B61" s="81">
        <v>45578</v>
      </c>
      <c r="C61" s="80">
        <v>11069.3</v>
      </c>
      <c r="D61" s="34">
        <f t="shared" si="0"/>
        <v>6.7393044237484823E-3</v>
      </c>
      <c r="F61" s="82">
        <v>24854.05</v>
      </c>
      <c r="G61" s="34">
        <f t="shared" si="1"/>
        <v>2.7842337722490562E-2</v>
      </c>
    </row>
    <row r="62" spans="2:7" x14ac:dyDescent="0.25">
      <c r="B62" s="81">
        <v>45571</v>
      </c>
      <c r="C62" s="80">
        <v>11421.3</v>
      </c>
      <c r="D62" s="34">
        <f t="shared" si="0"/>
        <v>3.1799662128589867E-2</v>
      </c>
      <c r="F62" s="82">
        <v>24964.25</v>
      </c>
      <c r="G62" s="34">
        <f t="shared" si="1"/>
        <v>4.4338850207512603E-3</v>
      </c>
    </row>
    <row r="63" spans="2:7" x14ac:dyDescent="0.25">
      <c r="B63" s="81">
        <v>45564</v>
      </c>
      <c r="C63" s="80">
        <v>11450.25</v>
      </c>
      <c r="D63" s="34">
        <f t="shared" si="0"/>
        <v>2.534737726878733E-3</v>
      </c>
      <c r="F63" s="82">
        <v>25014.6</v>
      </c>
      <c r="G63" s="34">
        <f t="shared" si="1"/>
        <v>2.0168841443264363E-3</v>
      </c>
    </row>
    <row r="64" spans="2:7" x14ac:dyDescent="0.25">
      <c r="B64" s="81">
        <v>45557</v>
      </c>
      <c r="C64" s="80">
        <v>11952.3</v>
      </c>
      <c r="D64" s="34">
        <f t="shared" si="0"/>
        <v>4.3846204231348551E-2</v>
      </c>
      <c r="F64" s="82">
        <v>26178.95</v>
      </c>
      <c r="G64" s="34">
        <f t="shared" si="1"/>
        <v>4.6546816659071233E-2</v>
      </c>
    </row>
    <row r="65" spans="2:7" x14ac:dyDescent="0.25">
      <c r="B65" s="81">
        <v>45550</v>
      </c>
      <c r="C65" s="80">
        <v>11798.3</v>
      </c>
      <c r="D65" s="34">
        <f t="shared" si="0"/>
        <v>-1.2884549417267022E-2</v>
      </c>
      <c r="F65" s="82">
        <v>25790.95</v>
      </c>
      <c r="G65" s="34">
        <f t="shared" si="1"/>
        <v>-1.4821068071866894E-2</v>
      </c>
    </row>
    <row r="66" spans="2:7" x14ac:dyDescent="0.25">
      <c r="B66" s="81">
        <v>45543</v>
      </c>
      <c r="C66" s="80">
        <v>11717.95</v>
      </c>
      <c r="D66" s="34">
        <f t="shared" si="0"/>
        <v>-6.8103031792714486E-3</v>
      </c>
      <c r="F66" s="82">
        <v>25356.5</v>
      </c>
      <c r="G66" s="34">
        <f t="shared" si="1"/>
        <v>-1.684505611464493E-2</v>
      </c>
    </row>
    <row r="67" spans="2:7" x14ac:dyDescent="0.25">
      <c r="B67" s="81">
        <v>45536</v>
      </c>
      <c r="C67" s="80">
        <v>11432.85</v>
      </c>
      <c r="D67" s="34">
        <f t="shared" si="0"/>
        <v>-2.4330194274595818E-2</v>
      </c>
      <c r="F67" s="82">
        <v>24852.15</v>
      </c>
      <c r="G67" s="34">
        <f t="shared" si="1"/>
        <v>-1.9890363417664036E-2</v>
      </c>
    </row>
    <row r="68" spans="2:7" x14ac:dyDescent="0.25">
      <c r="B68" s="81">
        <v>45529</v>
      </c>
      <c r="C68" s="80">
        <v>11301.9</v>
      </c>
      <c r="D68" s="34">
        <f t="shared" si="0"/>
        <v>-1.1453836969784525E-2</v>
      </c>
      <c r="F68" s="82">
        <v>25235.9</v>
      </c>
      <c r="G68" s="34">
        <f t="shared" si="1"/>
        <v>1.544131996628062E-2</v>
      </c>
    </row>
    <row r="69" spans="2:7" x14ac:dyDescent="0.25">
      <c r="B69" s="81">
        <v>45522</v>
      </c>
      <c r="C69" s="80">
        <v>11341.8</v>
      </c>
      <c r="D69" s="34">
        <f t="shared" si="0"/>
        <v>3.5303798476362669E-3</v>
      </c>
      <c r="F69" s="82">
        <v>24823.15</v>
      </c>
      <c r="G69" s="34">
        <f t="shared" si="1"/>
        <v>-1.6355667917530181E-2</v>
      </c>
    </row>
    <row r="70" spans="2:7" x14ac:dyDescent="0.25">
      <c r="B70" s="81">
        <v>45515</v>
      </c>
      <c r="C70" s="80">
        <v>11295.7</v>
      </c>
      <c r="D70" s="34">
        <f t="shared" si="0"/>
        <v>-4.0646105556435552E-3</v>
      </c>
      <c r="F70" s="82">
        <v>24541.15</v>
      </c>
      <c r="G70" s="34">
        <f t="shared" si="1"/>
        <v>-1.1360363209342861E-2</v>
      </c>
    </row>
    <row r="71" spans="2:7" x14ac:dyDescent="0.25">
      <c r="B71" s="81">
        <v>45508</v>
      </c>
      <c r="C71" s="80">
        <v>11300.35</v>
      </c>
      <c r="D71" s="34">
        <f t="shared" si="0"/>
        <v>4.1166107456813705E-4</v>
      </c>
      <c r="F71" s="82">
        <v>24367.5</v>
      </c>
      <c r="G71" s="34">
        <f t="shared" si="1"/>
        <v>-7.0758705276647849E-3</v>
      </c>
    </row>
    <row r="72" spans="2:7" x14ac:dyDescent="0.25">
      <c r="B72" s="81">
        <v>45501</v>
      </c>
      <c r="C72" s="80">
        <v>11764.5</v>
      </c>
      <c r="D72" s="34">
        <f t="shared" si="0"/>
        <v>4.1073949036976698E-2</v>
      </c>
      <c r="F72" s="82">
        <v>24717.7</v>
      </c>
      <c r="G72" s="34">
        <f t="shared" si="1"/>
        <v>1.4371601518415877E-2</v>
      </c>
    </row>
    <row r="73" spans="2:7" x14ac:dyDescent="0.25">
      <c r="B73" s="81">
        <v>45494</v>
      </c>
      <c r="C73" s="80">
        <v>11673.05</v>
      </c>
      <c r="D73" s="34">
        <f t="shared" si="0"/>
        <v>-7.7733860342557026E-3</v>
      </c>
      <c r="F73" s="82">
        <v>24834.85</v>
      </c>
      <c r="G73" s="34">
        <f t="shared" si="1"/>
        <v>4.7395186445340354E-3</v>
      </c>
    </row>
    <row r="74" spans="2:7" x14ac:dyDescent="0.25">
      <c r="B74" s="81">
        <v>45487</v>
      </c>
      <c r="C74" s="80">
        <v>11258.3</v>
      </c>
      <c r="D74" s="34">
        <f t="shared" si="0"/>
        <v>-3.5530559708045417E-2</v>
      </c>
      <c r="F74" s="82">
        <v>24530.9</v>
      </c>
      <c r="G74" s="34">
        <f t="shared" si="1"/>
        <v>-1.2238849842056476E-2</v>
      </c>
    </row>
    <row r="75" spans="2:7" x14ac:dyDescent="0.25">
      <c r="B75" s="81">
        <v>45480</v>
      </c>
      <c r="C75" s="80">
        <v>11602.3</v>
      </c>
      <c r="D75" s="34">
        <f t="shared" si="0"/>
        <v>3.055523480454414E-2</v>
      </c>
      <c r="F75" s="82">
        <v>24502.15</v>
      </c>
      <c r="G75" s="34">
        <f t="shared" si="1"/>
        <v>-1.1719912436967128E-3</v>
      </c>
    </row>
    <row r="76" spans="2:7" x14ac:dyDescent="0.25">
      <c r="B76" s="81">
        <v>45473</v>
      </c>
      <c r="C76" s="80">
        <v>11690.15</v>
      </c>
      <c r="D76" s="34">
        <f t="shared" si="0"/>
        <v>7.5717745619403587E-3</v>
      </c>
      <c r="F76" s="82">
        <v>24323.85</v>
      </c>
      <c r="G76" s="34">
        <f t="shared" si="1"/>
        <v>-7.2769124342150215E-3</v>
      </c>
    </row>
    <row r="77" spans="2:7" x14ac:dyDescent="0.25">
      <c r="B77" s="81">
        <v>45466</v>
      </c>
      <c r="C77" s="80">
        <v>11667.9</v>
      </c>
      <c r="D77" s="34">
        <f t="shared" ref="D77:D114" si="2">C77/C76-1</f>
        <v>-1.9033117624667195E-3</v>
      </c>
      <c r="F77" s="82">
        <v>24010.6</v>
      </c>
      <c r="G77" s="34">
        <f t="shared" ref="G77:G114" si="3">F77/F76-1</f>
        <v>-1.2878306682535867E-2</v>
      </c>
    </row>
    <row r="78" spans="2:7" x14ac:dyDescent="0.25">
      <c r="B78" s="81">
        <v>45459</v>
      </c>
      <c r="C78" s="80">
        <v>10662.4</v>
      </c>
      <c r="D78" s="34">
        <f t="shared" si="2"/>
        <v>-8.6176604187557349E-2</v>
      </c>
      <c r="F78" s="82">
        <v>23501.1</v>
      </c>
      <c r="G78" s="34">
        <f t="shared" si="3"/>
        <v>-2.1219794590722429E-2</v>
      </c>
    </row>
    <row r="79" spans="2:7" x14ac:dyDescent="0.25">
      <c r="B79" s="81">
        <v>45452</v>
      </c>
      <c r="C79" s="80">
        <v>11242.8</v>
      </c>
      <c r="D79" s="34">
        <f t="shared" si="2"/>
        <v>5.4434273709483838E-2</v>
      </c>
      <c r="F79" s="82">
        <v>23465.599999999999</v>
      </c>
      <c r="G79" s="34">
        <f t="shared" si="3"/>
        <v>-1.5105675904532045E-3</v>
      </c>
    </row>
    <row r="80" spans="2:7" x14ac:dyDescent="0.25">
      <c r="B80" s="81">
        <v>45445</v>
      </c>
      <c r="C80" s="80">
        <v>10463.15</v>
      </c>
      <c r="D80" s="34">
        <f t="shared" si="2"/>
        <v>-6.9346604048813432E-2</v>
      </c>
      <c r="F80" s="82">
        <v>23290.15</v>
      </c>
      <c r="G80" s="34">
        <f t="shared" si="3"/>
        <v>-7.4769023591980677E-3</v>
      </c>
    </row>
    <row r="81" spans="2:7" x14ac:dyDescent="0.25">
      <c r="B81" s="81">
        <v>45438</v>
      </c>
      <c r="C81" s="80">
        <v>9915.5</v>
      </c>
      <c r="D81" s="34">
        <f t="shared" si="2"/>
        <v>-5.2340834261192848E-2</v>
      </c>
      <c r="F81" s="82">
        <v>22530.7</v>
      </c>
      <c r="G81" s="34">
        <f t="shared" si="3"/>
        <v>-3.2608205614820029E-2</v>
      </c>
    </row>
    <row r="82" spans="2:7" x14ac:dyDescent="0.25">
      <c r="B82" s="81">
        <v>45431</v>
      </c>
      <c r="C82" s="80">
        <v>10231.1</v>
      </c>
      <c r="D82" s="34">
        <f t="shared" si="2"/>
        <v>3.1828954666935694E-2</v>
      </c>
      <c r="F82" s="82">
        <v>22957.1</v>
      </c>
      <c r="G82" s="34">
        <f t="shared" si="3"/>
        <v>1.8925288606212787E-2</v>
      </c>
    </row>
    <row r="83" spans="2:7" x14ac:dyDescent="0.25">
      <c r="B83" s="81">
        <v>45424</v>
      </c>
      <c r="C83" s="80">
        <v>9890.35</v>
      </c>
      <c r="D83" s="34">
        <f t="shared" si="2"/>
        <v>-3.3305314189090107E-2</v>
      </c>
      <c r="F83" s="82">
        <v>22466.1</v>
      </c>
      <c r="G83" s="34">
        <f t="shared" si="3"/>
        <v>-2.1387718832082458E-2</v>
      </c>
    </row>
    <row r="84" spans="2:7" x14ac:dyDescent="0.25">
      <c r="B84" s="81">
        <v>45417</v>
      </c>
      <c r="C84" s="80">
        <v>9491.7000000000007</v>
      </c>
      <c r="D84" s="34">
        <f t="shared" si="2"/>
        <v>-4.0306965880883894E-2</v>
      </c>
      <c r="F84" s="82">
        <v>22055.200000000001</v>
      </c>
      <c r="G84" s="34">
        <f t="shared" si="3"/>
        <v>-1.8289778822314418E-2</v>
      </c>
    </row>
    <row r="85" spans="2:7" x14ac:dyDescent="0.25">
      <c r="B85" s="81">
        <v>45410</v>
      </c>
      <c r="C85" s="80">
        <v>9816.2999999999993</v>
      </c>
      <c r="D85" s="34">
        <f t="shared" si="2"/>
        <v>3.4198299566990054E-2</v>
      </c>
      <c r="F85" s="82">
        <v>22475.85</v>
      </c>
      <c r="G85" s="34">
        <f t="shared" si="3"/>
        <v>1.9072599659037293E-2</v>
      </c>
    </row>
    <row r="86" spans="2:7" x14ac:dyDescent="0.25">
      <c r="B86" s="81">
        <v>45403</v>
      </c>
      <c r="C86" s="80">
        <v>9700.9</v>
      </c>
      <c r="D86" s="34">
        <f t="shared" si="2"/>
        <v>-1.175595692878173E-2</v>
      </c>
      <c r="F86" s="82">
        <v>22419.95</v>
      </c>
      <c r="G86" s="34">
        <f t="shared" si="3"/>
        <v>-2.4871139467471659E-3</v>
      </c>
    </row>
    <row r="87" spans="2:7" x14ac:dyDescent="0.25">
      <c r="B87" s="81">
        <v>45396</v>
      </c>
      <c r="C87" s="80">
        <v>9363.9500000000007</v>
      </c>
      <c r="D87" s="34">
        <f t="shared" si="2"/>
        <v>-3.4733890669937706E-2</v>
      </c>
      <c r="F87" s="82">
        <v>22147</v>
      </c>
      <c r="G87" s="34">
        <f t="shared" si="3"/>
        <v>-1.2174425009868428E-2</v>
      </c>
    </row>
    <row r="88" spans="2:7" x14ac:dyDescent="0.25">
      <c r="B88" s="81">
        <v>45389</v>
      </c>
      <c r="C88" s="80">
        <v>9652.5499999999993</v>
      </c>
      <c r="D88" s="34">
        <f t="shared" si="2"/>
        <v>3.0820326891963123E-2</v>
      </c>
      <c r="F88" s="82">
        <v>22519.4</v>
      </c>
      <c r="G88" s="34">
        <f t="shared" si="3"/>
        <v>1.6814918499119536E-2</v>
      </c>
    </row>
    <row r="89" spans="2:7" x14ac:dyDescent="0.25">
      <c r="B89" s="81">
        <v>45382</v>
      </c>
      <c r="C89" s="80">
        <v>9823.6</v>
      </c>
      <c r="D89" s="34">
        <f t="shared" si="2"/>
        <v>1.7720705927449343E-2</v>
      </c>
      <c r="F89" s="82">
        <v>22513.7</v>
      </c>
      <c r="G89" s="34">
        <f t="shared" si="3"/>
        <v>-2.5311509187642134E-4</v>
      </c>
    </row>
    <row r="90" spans="2:7" x14ac:dyDescent="0.25">
      <c r="B90" s="81">
        <v>45375</v>
      </c>
      <c r="C90" s="80">
        <v>9749.15</v>
      </c>
      <c r="D90" s="34">
        <f t="shared" si="2"/>
        <v>-7.5786880573314175E-3</v>
      </c>
      <c r="F90" s="82">
        <v>22326.9</v>
      </c>
      <c r="G90" s="34">
        <f t="shared" si="3"/>
        <v>-8.2971701674979803E-3</v>
      </c>
    </row>
    <row r="91" spans="2:7" x14ac:dyDescent="0.25">
      <c r="B91" s="81">
        <v>45368</v>
      </c>
      <c r="C91" s="80">
        <v>9681.75</v>
      </c>
      <c r="D91" s="34">
        <f t="shared" si="2"/>
        <v>-6.913423221511561E-3</v>
      </c>
      <c r="F91" s="82">
        <v>22096.75</v>
      </c>
      <c r="G91" s="34">
        <f t="shared" si="3"/>
        <v>-1.0308193255669229E-2</v>
      </c>
    </row>
    <row r="92" spans="2:7" x14ac:dyDescent="0.25">
      <c r="B92" s="81">
        <v>45361</v>
      </c>
      <c r="C92" s="80">
        <v>9632.9500000000007</v>
      </c>
      <c r="D92" s="34">
        <f t="shared" si="2"/>
        <v>-5.0404110827070303E-3</v>
      </c>
      <c r="F92" s="82">
        <v>22023.35</v>
      </c>
      <c r="G92" s="34">
        <f t="shared" si="3"/>
        <v>-3.3217554617761547E-3</v>
      </c>
    </row>
    <row r="93" spans="2:7" x14ac:dyDescent="0.25">
      <c r="B93" s="81">
        <v>45354</v>
      </c>
      <c r="C93" s="80">
        <v>9673.15</v>
      </c>
      <c r="D93" s="34">
        <f t="shared" si="2"/>
        <v>4.1731764412769046E-3</v>
      </c>
      <c r="F93" s="82">
        <v>22493.55</v>
      </c>
      <c r="G93" s="34">
        <f t="shared" si="3"/>
        <v>2.1350067087886337E-2</v>
      </c>
    </row>
    <row r="94" spans="2:7" x14ac:dyDescent="0.25">
      <c r="B94" s="81">
        <v>45347</v>
      </c>
      <c r="C94" s="80">
        <v>10135.5</v>
      </c>
      <c r="D94" s="34">
        <f t="shared" si="2"/>
        <v>4.7797253221546265E-2</v>
      </c>
      <c r="F94" s="82">
        <v>22338.75</v>
      </c>
      <c r="G94" s="34">
        <f t="shared" si="3"/>
        <v>-6.8819728322118134E-3</v>
      </c>
    </row>
    <row r="95" spans="2:7" x14ac:dyDescent="0.25">
      <c r="B95" s="81">
        <v>45340</v>
      </c>
      <c r="C95" s="80">
        <v>10000.9</v>
      </c>
      <c r="D95" s="34">
        <f t="shared" si="2"/>
        <v>-1.3280055251344347E-2</v>
      </c>
      <c r="F95" s="82">
        <v>22212.7</v>
      </c>
      <c r="G95" s="34">
        <f t="shared" si="3"/>
        <v>-5.6426612948351496E-3</v>
      </c>
    </row>
    <row r="96" spans="2:7" x14ac:dyDescent="0.25">
      <c r="B96" s="81">
        <v>45333</v>
      </c>
      <c r="C96" s="80">
        <v>9916.2000000000007</v>
      </c>
      <c r="D96" s="34">
        <f t="shared" si="2"/>
        <v>-8.4692377686007569E-3</v>
      </c>
      <c r="F96" s="82">
        <v>22040.7</v>
      </c>
      <c r="G96" s="34">
        <f t="shared" si="3"/>
        <v>-7.7433180117680855E-3</v>
      </c>
    </row>
    <row r="97" spans="2:7" x14ac:dyDescent="0.25">
      <c r="B97" s="81">
        <v>45326</v>
      </c>
      <c r="C97" s="80">
        <v>9945.75</v>
      </c>
      <c r="D97" s="34">
        <f t="shared" si="2"/>
        <v>2.9799721667573831E-3</v>
      </c>
      <c r="F97" s="82">
        <v>21782.5</v>
      </c>
      <c r="G97" s="34">
        <f t="shared" si="3"/>
        <v>-1.1714691457167858E-2</v>
      </c>
    </row>
    <row r="98" spans="2:7" x14ac:dyDescent="0.25">
      <c r="B98" s="81">
        <v>45319</v>
      </c>
      <c r="C98" s="80">
        <v>10098.549999999999</v>
      </c>
      <c r="D98" s="34">
        <f t="shared" si="2"/>
        <v>1.5363346152879265E-2</v>
      </c>
      <c r="F98" s="82">
        <v>21853.8</v>
      </c>
      <c r="G98" s="34">
        <f t="shared" si="3"/>
        <v>3.273269826695735E-3</v>
      </c>
    </row>
    <row r="99" spans="2:7" x14ac:dyDescent="0.25">
      <c r="B99" s="81">
        <v>45312</v>
      </c>
      <c r="C99" s="80">
        <v>9969.35</v>
      </c>
      <c r="D99" s="34">
        <f t="shared" si="2"/>
        <v>-1.2793915958231539E-2</v>
      </c>
      <c r="F99" s="82">
        <v>21352.6</v>
      </c>
      <c r="G99" s="34">
        <f t="shared" si="3"/>
        <v>-2.2934226541837188E-2</v>
      </c>
    </row>
    <row r="100" spans="2:7" x14ac:dyDescent="0.25">
      <c r="B100" s="81">
        <v>45305</v>
      </c>
      <c r="C100" s="80">
        <v>10093.700000000001</v>
      </c>
      <c r="D100" s="34">
        <f t="shared" si="2"/>
        <v>1.2473230451333306E-2</v>
      </c>
      <c r="F100" s="82">
        <v>21622.400000000001</v>
      </c>
      <c r="G100" s="34">
        <f t="shared" si="3"/>
        <v>1.2635463596939234E-2</v>
      </c>
    </row>
    <row r="101" spans="2:7" x14ac:dyDescent="0.25">
      <c r="B101" s="81">
        <v>45298</v>
      </c>
      <c r="C101" s="80">
        <v>9808.4500000000007</v>
      </c>
      <c r="D101" s="34">
        <f t="shared" si="2"/>
        <v>-2.8260201908120952E-2</v>
      </c>
      <c r="F101" s="82">
        <v>21894.55</v>
      </c>
      <c r="G101" s="34">
        <f t="shared" si="3"/>
        <v>1.2586484386561958E-2</v>
      </c>
    </row>
    <row r="102" spans="2:7" x14ac:dyDescent="0.25">
      <c r="B102" s="81">
        <v>45291</v>
      </c>
      <c r="C102" s="80">
        <v>10016.049999999999</v>
      </c>
      <c r="D102" s="34">
        <f t="shared" si="2"/>
        <v>2.1165423690796992E-2</v>
      </c>
      <c r="F102" s="82">
        <v>21710.799999999999</v>
      </c>
      <c r="G102" s="34">
        <f t="shared" si="3"/>
        <v>-8.3924995033010097E-3</v>
      </c>
    </row>
    <row r="103" spans="2:7" x14ac:dyDescent="0.25">
      <c r="B103" s="81">
        <v>45284</v>
      </c>
      <c r="C103" s="80">
        <v>10503.05</v>
      </c>
      <c r="D103" s="34">
        <f t="shared" si="2"/>
        <v>4.8621961751388998E-2</v>
      </c>
      <c r="F103" s="82">
        <v>21731.4</v>
      </c>
      <c r="G103" s="34">
        <f t="shared" si="3"/>
        <v>9.4883652375776784E-4</v>
      </c>
    </row>
    <row r="104" spans="2:7" x14ac:dyDescent="0.25">
      <c r="B104" s="81">
        <v>45277</v>
      </c>
      <c r="C104" s="80">
        <v>9969</v>
      </c>
      <c r="D104" s="34">
        <f t="shared" si="2"/>
        <v>-5.0847134879868139E-2</v>
      </c>
      <c r="F104" s="82">
        <v>21349.4</v>
      </c>
      <c r="G104" s="34">
        <f t="shared" si="3"/>
        <v>-1.7578250825993735E-2</v>
      </c>
    </row>
    <row r="105" spans="2:7" x14ac:dyDescent="0.25">
      <c r="B105" s="81">
        <v>45270</v>
      </c>
      <c r="C105" s="80">
        <v>10029.450000000001</v>
      </c>
      <c r="D105" s="34">
        <f t="shared" si="2"/>
        <v>6.0637977730966242E-3</v>
      </c>
      <c r="F105" s="82">
        <v>21456.65</v>
      </c>
      <c r="G105" s="34">
        <f t="shared" si="3"/>
        <v>5.023560381087977E-3</v>
      </c>
    </row>
    <row r="106" spans="2:7" x14ac:dyDescent="0.25">
      <c r="B106" s="81">
        <v>45263</v>
      </c>
      <c r="C106" s="80">
        <v>9413.5499999999993</v>
      </c>
      <c r="D106" s="34">
        <f t="shared" si="2"/>
        <v>-6.1409150053093775E-2</v>
      </c>
      <c r="F106" s="82">
        <v>20969.400000000001</v>
      </c>
      <c r="G106" s="34">
        <f t="shared" si="3"/>
        <v>-2.2708577527246754E-2</v>
      </c>
    </row>
    <row r="107" spans="2:7" x14ac:dyDescent="0.25">
      <c r="B107" s="81">
        <v>45256</v>
      </c>
      <c r="C107" s="80">
        <v>9033.85</v>
      </c>
      <c r="D107" s="34">
        <f t="shared" si="2"/>
        <v>-4.0335473864801186E-2</v>
      </c>
      <c r="F107" s="82">
        <v>20267.900000000001</v>
      </c>
      <c r="G107" s="34">
        <f t="shared" si="3"/>
        <v>-3.3453508445639879E-2</v>
      </c>
    </row>
    <row r="108" spans="2:7" x14ac:dyDescent="0.25">
      <c r="B108" s="81">
        <v>45249</v>
      </c>
      <c r="C108" s="80">
        <v>8556.2000000000007</v>
      </c>
      <c r="D108" s="34">
        <f t="shared" si="2"/>
        <v>-5.2873359641791629E-2</v>
      </c>
      <c r="F108" s="82">
        <v>19794.7</v>
      </c>
      <c r="G108" s="34">
        <f t="shared" si="3"/>
        <v>-2.3347263406667706E-2</v>
      </c>
    </row>
    <row r="109" spans="2:7" x14ac:dyDescent="0.25">
      <c r="B109" s="81">
        <v>45242</v>
      </c>
      <c r="C109" s="80">
        <v>8790.9500000000007</v>
      </c>
      <c r="D109" s="34">
        <f t="shared" si="2"/>
        <v>2.7436245062060216E-2</v>
      </c>
      <c r="F109" s="82">
        <v>19731.8</v>
      </c>
      <c r="G109" s="34">
        <f t="shared" si="3"/>
        <v>-3.1776182513502116E-3</v>
      </c>
    </row>
    <row r="110" spans="2:7" x14ac:dyDescent="0.25">
      <c r="B110" s="81">
        <v>45235</v>
      </c>
      <c r="C110" s="80">
        <v>8710.85</v>
      </c>
      <c r="D110" s="34">
        <f t="shared" si="2"/>
        <v>-9.1116432239974898E-3</v>
      </c>
      <c r="F110" s="82">
        <v>19425.349999999999</v>
      </c>
      <c r="G110" s="34">
        <f t="shared" si="3"/>
        <v>-1.5530767593427863E-2</v>
      </c>
    </row>
    <row r="111" spans="2:7" x14ac:dyDescent="0.25">
      <c r="B111" s="81">
        <v>45228</v>
      </c>
      <c r="C111" s="80">
        <v>8522.6</v>
      </c>
      <c r="D111" s="34">
        <f t="shared" si="2"/>
        <v>-2.1610979410734865E-2</v>
      </c>
      <c r="F111" s="82">
        <v>19230.599999999999</v>
      </c>
      <c r="G111" s="34">
        <f t="shared" si="3"/>
        <v>-1.0025559385030358E-2</v>
      </c>
    </row>
    <row r="112" spans="2:7" x14ac:dyDescent="0.25">
      <c r="B112" s="81">
        <v>45221</v>
      </c>
      <c r="C112" s="80">
        <v>8210.15</v>
      </c>
      <c r="D112" s="34">
        <f t="shared" si="2"/>
        <v>-3.6661347476122375E-2</v>
      </c>
      <c r="F112" s="82">
        <v>19047.25</v>
      </c>
      <c r="G112" s="34">
        <f t="shared" si="3"/>
        <v>-9.5342839016983039E-3</v>
      </c>
    </row>
    <row r="113" spans="2:7" x14ac:dyDescent="0.25">
      <c r="B113" s="81">
        <v>45214</v>
      </c>
      <c r="C113" s="80">
        <v>8461.0499999999993</v>
      </c>
      <c r="D113" s="34">
        <f t="shared" si="2"/>
        <v>3.0559733987807647E-2</v>
      </c>
      <c r="F113" s="82">
        <v>19542.650000000001</v>
      </c>
      <c r="G113" s="34">
        <f t="shared" si="3"/>
        <v>2.6009003924451157E-2</v>
      </c>
    </row>
    <row r="114" spans="2:7" x14ac:dyDescent="0.25">
      <c r="B114" s="81">
        <v>45207</v>
      </c>
      <c r="C114" s="80">
        <v>8369</v>
      </c>
      <c r="D114" s="34">
        <f t="shared" si="2"/>
        <v>-1.0879264393898969E-2</v>
      </c>
      <c r="F114" s="82">
        <v>19751.05</v>
      </c>
      <c r="G114" s="34">
        <f t="shared" si="3"/>
        <v>1.0663855720692839E-2</v>
      </c>
    </row>
    <row r="115" spans="2:7" x14ac:dyDescent="0.25">
      <c r="C115" s="80"/>
    </row>
  </sheetData>
  <mergeCells count="3">
    <mergeCell ref="B8:D8"/>
    <mergeCell ref="F8:G8"/>
    <mergeCell ref="I8:J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Historical_FS</vt:lpstr>
      <vt:lpstr>Ratios</vt:lpstr>
      <vt:lpstr>Vertical</vt:lpstr>
      <vt:lpstr>Horizontal</vt:lpstr>
      <vt:lpstr>DuPont</vt:lpstr>
      <vt:lpstr>Forecasting</vt:lpstr>
      <vt:lpstr>WACC</vt:lpstr>
      <vt:lpstr>Intrinsic_Growth</vt:lpstr>
      <vt:lpstr>DCF</vt:lpstr>
      <vt:lpstr>Relative_Val.</vt:lpstr>
      <vt:lpstr>Football_Field</vt:lpstr>
      <vt:lpstr>Data Sheet</vt:lpstr>
      <vt:lpstr>JKC_Beta</vt:lpstr>
      <vt:lpstr>ShreeC_Beta</vt:lpstr>
      <vt:lpstr>Ambuja_Beta</vt:lpstr>
      <vt:lpstr>Grasim_Beta</vt:lpstr>
      <vt:lpstr>Comps Rel.</vt:lpstr>
      <vt:lpstr>Raw FS</vt:lpstr>
      <vt:lpstr>RM</vt:lpstr>
      <vt:lpstr>UltraTech_Beta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DELL</cp:lastModifiedBy>
  <cp:lastPrinted>2025-10-22T16:22:58Z</cp:lastPrinted>
  <dcterms:created xsi:type="dcterms:W3CDTF">2012-08-17T09:55:37Z</dcterms:created>
  <dcterms:modified xsi:type="dcterms:W3CDTF">2025-12-06T12:11:11Z</dcterms:modified>
</cp:coreProperties>
</file>