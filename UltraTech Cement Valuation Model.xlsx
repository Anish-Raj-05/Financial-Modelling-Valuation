
<file path=[Content_Types].xml><?xml version="1.0" encoding="utf-8"?>
<Types xmlns="http://schemas.openxmlformats.org/package/2006/content-types">
  <Default Extension="bin" ContentType="application/vnd.openxmlformats-officedocument.spreadsheetml.printerSettings"/>
  <Default Extension="jpeg" ContentType="image/jpe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1.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drawings/drawing12.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3.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C:\Users\DELL\Documents\Anish\Projects\Financial Modelling &amp; Valuation\"/>
    </mc:Choice>
  </mc:AlternateContent>
  <xr:revisionPtr revIDLastSave="0" documentId="13_ncr:1_{39A0D723-7AAD-473F-9764-A5A7881E99B3}" xr6:coauthVersionLast="36" xr6:coauthVersionMax="36" xr10:uidLastSave="{00000000-0000-0000-0000-000000000000}"/>
  <bookViews>
    <workbookView xWindow="0" yWindow="0" windowWidth="20490" windowHeight="8130" tabRatio="773" firstSheet="4" activeTab="14" xr2:uid="{00000000-000D-0000-FFFF-FFFF00000000}"/>
  </bookViews>
  <sheets>
    <sheet name="One-Page" sheetId="35" r:id="rId1"/>
    <sheet name="Historical_FS" sheetId="7" r:id="rId2"/>
    <sheet name="Ratios" sheetId="8" r:id="rId3"/>
    <sheet name="Vertical" sheetId="9" r:id="rId4"/>
    <sheet name="Horizontal" sheetId="10" r:id="rId5"/>
    <sheet name="Forecasting" sheetId="28" state="hidden" r:id="rId6"/>
    <sheet name="WACC" sheetId="12" r:id="rId7"/>
    <sheet name="Intrinsic_Growth" sheetId="24" r:id="rId8"/>
    <sheet name="DCF" sheetId="26" r:id="rId9"/>
    <sheet name="Relative_Val." sheetId="27" r:id="rId10"/>
    <sheet name="Football_Field" sheetId="30" r:id="rId11"/>
    <sheet name="Monte-Carlo" sheetId="31" r:id="rId12"/>
    <sheet name="DuPont" sheetId="11" r:id="rId13"/>
    <sheet name="Altman Z" sheetId="33" r:id="rId14"/>
    <sheet name="Summary" sheetId="34" r:id="rId15"/>
    <sheet name="Data Sheet" sheetId="6" r:id="rId16"/>
    <sheet name="JKC_Beta" sheetId="21" state="hidden" r:id="rId17"/>
    <sheet name="ShreeC_Beta" sheetId="20" state="hidden" r:id="rId18"/>
    <sheet name="Ambuja_Beta" sheetId="19" state="hidden" r:id="rId19"/>
    <sheet name="Grasim_Beta" sheetId="18" state="hidden" r:id="rId20"/>
    <sheet name="Raw FS" sheetId="25" r:id="rId21"/>
    <sheet name="Comps Rel." sheetId="29" r:id="rId22"/>
    <sheet name="RM" sheetId="22" r:id="rId23"/>
    <sheet name="UltraTech_Beta" sheetId="14" r:id="rId24"/>
  </sheets>
  <definedNames>
    <definedName name="_xlnm._FilterDatabase" localSheetId="11" hidden="1">'Monte-Carlo'!$B$11:$E$1123</definedName>
    <definedName name="_xlnm._FilterDatabase" localSheetId="23" hidden="1">UltraTech_Beta!$AA$3:$AC$3</definedName>
    <definedName name="_xlchart.v1.0" hidden="1">'Monte-Carlo'!$H$12:$H$1123</definedName>
    <definedName name="UPDATE">'Data Sheet'!$E$1</definedName>
  </definedNames>
  <calcPr calcId="191029"/>
  <extLst>
    <ext xmlns:x14="http://schemas.microsoft.com/office/spreadsheetml/2009/9/main" uri="{79F54976-1DA5-4618-B147-4CDE4B953A38}">
      <x14:workbookPr defaultImageDpi="330"/>
    </ext>
    <ext xmlns:mx="http://schemas.microsoft.com/office/mac/excel/2008/main" uri="{7523E5D3-25F3-A5E0-1632-64F254C22452}">
      <mx:ArchID Flags="2"/>
    </ext>
  </extLst>
</workbook>
</file>

<file path=xl/calcChain.xml><?xml version="1.0" encoding="utf-8"?>
<calcChain xmlns="http://schemas.openxmlformats.org/spreadsheetml/2006/main">
  <c r="E31" i="26" l="1"/>
  <c r="E32" i="26"/>
  <c r="F15" i="26" l="1"/>
  <c r="K64" i="24"/>
  <c r="S12" i="30"/>
  <c r="R12" i="30"/>
  <c r="S17" i="30"/>
  <c r="T17" i="30"/>
  <c r="U17" i="30"/>
  <c r="R17" i="30"/>
  <c r="N38" i="27"/>
  <c r="N37" i="27"/>
  <c r="O38" i="27"/>
  <c r="O37" i="27"/>
  <c r="O36" i="27"/>
  <c r="N36" i="27"/>
  <c r="J27" i="12"/>
  <c r="G9" i="22" a="1"/>
  <c r="G9" i="22" s="1"/>
  <c r="G15" i="26" l="1"/>
  <c r="H15" i="26" s="1"/>
  <c r="I15" i="26" s="1"/>
  <c r="J15" i="26" s="1"/>
  <c r="G11" i="22"/>
  <c r="J28" i="12" s="1"/>
  <c r="D90" i="11"/>
  <c r="E90" i="11"/>
  <c r="F90" i="11"/>
  <c r="G90" i="11"/>
  <c r="H90" i="11"/>
  <c r="I90" i="11"/>
  <c r="J90" i="11"/>
  <c r="K90" i="11"/>
  <c r="C90" i="11"/>
  <c r="D70" i="11"/>
  <c r="E70" i="11"/>
  <c r="F70" i="11"/>
  <c r="G70" i="11"/>
  <c r="H70" i="11"/>
  <c r="I70" i="11"/>
  <c r="J70" i="11"/>
  <c r="K70" i="11"/>
  <c r="H64" i="11"/>
  <c r="C70" i="11"/>
  <c r="N18" i="31" l="1"/>
  <c r="N16" i="31"/>
  <c r="N15" i="31"/>
  <c r="H12" i="31" s="1"/>
  <c r="N14" i="31"/>
  <c r="H53" i="24" l="1"/>
  <c r="G43" i="24"/>
  <c r="H59" i="24" l="1"/>
  <c r="G52" i="24"/>
  <c r="H44" i="24"/>
  <c r="I44" i="24"/>
  <c r="J44" i="24"/>
  <c r="K44" i="24"/>
  <c r="G44" i="24"/>
  <c r="D39" i="7"/>
  <c r="E39" i="7"/>
  <c r="F39" i="7"/>
  <c r="G39" i="7"/>
  <c r="H39" i="7"/>
  <c r="I39" i="7"/>
  <c r="J39" i="7"/>
  <c r="K39" i="7"/>
  <c r="L39" i="7"/>
  <c r="C39" i="7"/>
  <c r="D15" i="7"/>
  <c r="E15" i="7"/>
  <c r="F15" i="7"/>
  <c r="G15" i="7"/>
  <c r="H15" i="7"/>
  <c r="I15" i="7"/>
  <c r="J15" i="7"/>
  <c r="K15" i="7"/>
  <c r="L15" i="7"/>
  <c r="C15" i="7"/>
  <c r="C18" i="7"/>
  <c r="B16" i="7"/>
  <c r="H40" i="24"/>
  <c r="I40" i="24"/>
  <c r="J40" i="24"/>
  <c r="K40" i="24"/>
  <c r="G40" i="24"/>
  <c r="H29" i="24"/>
  <c r="I29" i="24"/>
  <c r="J29" i="24"/>
  <c r="K29" i="24"/>
  <c r="H30" i="24"/>
  <c r="I30" i="24"/>
  <c r="J30" i="24"/>
  <c r="K30" i="24"/>
  <c r="H31" i="24"/>
  <c r="I31" i="24"/>
  <c r="J31" i="24"/>
  <c r="K31" i="24"/>
  <c r="H32" i="24"/>
  <c r="I32" i="24"/>
  <c r="J32" i="24"/>
  <c r="K32" i="24"/>
  <c r="H33" i="24"/>
  <c r="I33" i="24"/>
  <c r="J33" i="24"/>
  <c r="K33" i="24"/>
  <c r="H34" i="24"/>
  <c r="I34" i="24"/>
  <c r="J34" i="24"/>
  <c r="K34" i="24"/>
  <c r="H35" i="24"/>
  <c r="I35" i="24"/>
  <c r="J35" i="24"/>
  <c r="K35" i="24"/>
  <c r="H36" i="24"/>
  <c r="I36" i="24"/>
  <c r="J36" i="24"/>
  <c r="K36" i="24"/>
  <c r="H37" i="24"/>
  <c r="I37" i="24"/>
  <c r="J37" i="24"/>
  <c r="K37" i="24"/>
  <c r="H38" i="24"/>
  <c r="I38" i="24"/>
  <c r="J38" i="24"/>
  <c r="K38" i="24"/>
  <c r="G30" i="24"/>
  <c r="G31" i="24"/>
  <c r="G32" i="24"/>
  <c r="G33" i="24"/>
  <c r="G34" i="24"/>
  <c r="G35" i="24"/>
  <c r="G36" i="24"/>
  <c r="G37" i="24"/>
  <c r="G38" i="24"/>
  <c r="G29" i="24"/>
  <c r="H21" i="24"/>
  <c r="I21" i="24"/>
  <c r="J21" i="24"/>
  <c r="K21" i="24"/>
  <c r="H22" i="24"/>
  <c r="I22" i="24"/>
  <c r="J22" i="24"/>
  <c r="K22" i="24"/>
  <c r="H23" i="24"/>
  <c r="I23" i="24"/>
  <c r="J23" i="24"/>
  <c r="K23" i="24"/>
  <c r="G22" i="24"/>
  <c r="G23" i="24"/>
  <c r="G21" i="24"/>
  <c r="H14" i="24"/>
  <c r="I14" i="24"/>
  <c r="J14" i="24"/>
  <c r="K14" i="24"/>
  <c r="G14" i="24"/>
  <c r="E36" i="12" l="1"/>
  <c r="G13" i="22" l="1"/>
  <c r="G23" i="35" l="1"/>
  <c r="G22" i="35"/>
  <c r="E47" i="35"/>
  <c r="E46" i="35"/>
  <c r="K43" i="35" l="1"/>
  <c r="AG6" i="14"/>
  <c r="AD1244" i="14"/>
  <c r="AD1243" i="14"/>
  <c r="AD1242" i="14"/>
  <c r="AD1241" i="14"/>
  <c r="AD1240" i="14"/>
  <c r="AD1239" i="14"/>
  <c r="AD1238" i="14"/>
  <c r="AD1237" i="14"/>
  <c r="AD1236" i="14"/>
  <c r="AD1235" i="14"/>
  <c r="AD1234" i="14"/>
  <c r="AD1233" i="14"/>
  <c r="AD1232" i="14"/>
  <c r="AD1231" i="14"/>
  <c r="AD1230" i="14"/>
  <c r="AD1229" i="14"/>
  <c r="AD1228" i="14"/>
  <c r="AD1227" i="14"/>
  <c r="AD1226" i="14"/>
  <c r="AD1225" i="14"/>
  <c r="AD1224" i="14"/>
  <c r="AD1223" i="14"/>
  <c r="AD1222" i="14"/>
  <c r="AD1221" i="14"/>
  <c r="AD1220" i="14"/>
  <c r="AD1219" i="14"/>
  <c r="AD1218" i="14"/>
  <c r="AD1217" i="14"/>
  <c r="AD1216" i="14"/>
  <c r="AD1215" i="14"/>
  <c r="AD1214" i="14"/>
  <c r="AD1213" i="14"/>
  <c r="AD1212" i="14"/>
  <c r="AD1211" i="14"/>
  <c r="AD1210" i="14"/>
  <c r="AD1209" i="14"/>
  <c r="AD1208" i="14"/>
  <c r="AD1207" i="14"/>
  <c r="AD1206" i="14"/>
  <c r="AD1205" i="14"/>
  <c r="AD1204" i="14"/>
  <c r="AD1203" i="14"/>
  <c r="AD1202" i="14"/>
  <c r="AD1201" i="14"/>
  <c r="AD1200" i="14"/>
  <c r="AD1199" i="14"/>
  <c r="AD1198" i="14"/>
  <c r="AD1197" i="14"/>
  <c r="AD1196" i="14"/>
  <c r="AD1195" i="14"/>
  <c r="AD1194" i="14"/>
  <c r="AD1193" i="14"/>
  <c r="AD1192" i="14"/>
  <c r="AD1191" i="14"/>
  <c r="AD1190" i="14"/>
  <c r="AD1189" i="14"/>
  <c r="AD1188" i="14"/>
  <c r="AD1187" i="14"/>
  <c r="AD1186" i="14"/>
  <c r="AD1185" i="14"/>
  <c r="AD1184" i="14"/>
  <c r="AD1183" i="14"/>
  <c r="AD1182" i="14"/>
  <c r="AD1181" i="14"/>
  <c r="AD1180" i="14"/>
  <c r="AD1179" i="14"/>
  <c r="AD1178" i="14"/>
  <c r="AD1177" i="14"/>
  <c r="AD1176" i="14"/>
  <c r="AD1175" i="14"/>
  <c r="AD1174" i="14"/>
  <c r="AD1173" i="14"/>
  <c r="AD1172" i="14"/>
  <c r="AD1171" i="14"/>
  <c r="AD1170" i="14"/>
  <c r="AD1169" i="14"/>
  <c r="AD1168" i="14"/>
  <c r="AD1167" i="14"/>
  <c r="AD1166" i="14"/>
  <c r="AD1165" i="14"/>
  <c r="AD1164" i="14"/>
  <c r="AD1163" i="14"/>
  <c r="AD1162" i="14"/>
  <c r="AD1161" i="14"/>
  <c r="AD1160" i="14"/>
  <c r="AD1159" i="14"/>
  <c r="AD1158" i="14"/>
  <c r="AD1157" i="14"/>
  <c r="AD1156" i="14"/>
  <c r="AD1155" i="14"/>
  <c r="AD1154" i="14"/>
  <c r="AD1153" i="14"/>
  <c r="AD1152" i="14"/>
  <c r="AD1151" i="14"/>
  <c r="AD1150" i="14"/>
  <c r="AD1149" i="14"/>
  <c r="AD1148" i="14"/>
  <c r="AD1147" i="14"/>
  <c r="AD1146" i="14"/>
  <c r="AD1145" i="14"/>
  <c r="AD1144" i="14"/>
  <c r="AD1143" i="14"/>
  <c r="AD1142" i="14"/>
  <c r="AD1141" i="14"/>
  <c r="AD1140" i="14"/>
  <c r="AD1139" i="14"/>
  <c r="AD1138" i="14"/>
  <c r="AD1137" i="14"/>
  <c r="AD1136" i="14"/>
  <c r="AD1135" i="14"/>
  <c r="AD1134" i="14"/>
  <c r="AD1133" i="14"/>
  <c r="AD1132" i="14"/>
  <c r="AD1131" i="14"/>
  <c r="AD1130" i="14"/>
  <c r="AD1129" i="14"/>
  <c r="AD1128" i="14"/>
  <c r="AD1127" i="14"/>
  <c r="AD1126" i="14"/>
  <c r="AD1125" i="14"/>
  <c r="AD1124" i="14"/>
  <c r="AD1123" i="14"/>
  <c r="AD1122" i="14"/>
  <c r="AD1121" i="14"/>
  <c r="AD1120" i="14"/>
  <c r="AD1119" i="14"/>
  <c r="AD1118" i="14"/>
  <c r="AD1117" i="14"/>
  <c r="AD1116" i="14"/>
  <c r="AD1115" i="14"/>
  <c r="AD1114" i="14"/>
  <c r="AD1113" i="14"/>
  <c r="AD1112" i="14"/>
  <c r="AD1111" i="14"/>
  <c r="AD1110" i="14"/>
  <c r="AD1109" i="14"/>
  <c r="AD1108" i="14"/>
  <c r="AD1107" i="14"/>
  <c r="AD1106" i="14"/>
  <c r="AD1105" i="14"/>
  <c r="AD1104" i="14"/>
  <c r="AD1103" i="14"/>
  <c r="AD1102" i="14"/>
  <c r="AD1101" i="14"/>
  <c r="AD1100" i="14"/>
  <c r="AD1099" i="14"/>
  <c r="AD1098" i="14"/>
  <c r="AD1097" i="14"/>
  <c r="AD1096" i="14"/>
  <c r="AD1095" i="14"/>
  <c r="AD1094" i="14"/>
  <c r="AD1093" i="14"/>
  <c r="AD1092" i="14"/>
  <c r="AD1091" i="14"/>
  <c r="AD1090" i="14"/>
  <c r="AD1089" i="14"/>
  <c r="AD1088" i="14"/>
  <c r="AD1087" i="14"/>
  <c r="AD1086" i="14"/>
  <c r="AD1085" i="14"/>
  <c r="AD1084" i="14"/>
  <c r="AD1083" i="14"/>
  <c r="AD1082" i="14"/>
  <c r="AD1081" i="14"/>
  <c r="AD1080" i="14"/>
  <c r="AD1079" i="14"/>
  <c r="AD1078" i="14"/>
  <c r="AD1077" i="14"/>
  <c r="AD1076" i="14"/>
  <c r="AD1075" i="14"/>
  <c r="AD1074" i="14"/>
  <c r="AD1073" i="14"/>
  <c r="AD1072" i="14"/>
  <c r="AD1071" i="14"/>
  <c r="AD1070" i="14"/>
  <c r="AD1069" i="14"/>
  <c r="AD1068" i="14"/>
  <c r="AD1067" i="14"/>
  <c r="AD1066" i="14"/>
  <c r="AD1065" i="14"/>
  <c r="AD1064" i="14"/>
  <c r="AD1063" i="14"/>
  <c r="AD1062" i="14"/>
  <c r="AD1061" i="14"/>
  <c r="AD1060" i="14"/>
  <c r="AD1059" i="14"/>
  <c r="AD1058" i="14"/>
  <c r="AD1057" i="14"/>
  <c r="AD1056" i="14"/>
  <c r="AD1055" i="14"/>
  <c r="AD1054" i="14"/>
  <c r="AD1053" i="14"/>
  <c r="AD1052" i="14"/>
  <c r="AD1051" i="14"/>
  <c r="AD1050" i="14"/>
  <c r="AD1049" i="14"/>
  <c r="AD1048" i="14"/>
  <c r="AD1047" i="14"/>
  <c r="AD1046" i="14"/>
  <c r="AD1045" i="14"/>
  <c r="AD1044" i="14"/>
  <c r="AD1043" i="14"/>
  <c r="AD1042" i="14"/>
  <c r="AD1041" i="14"/>
  <c r="AD1040" i="14"/>
  <c r="AD1039" i="14"/>
  <c r="AD1038" i="14"/>
  <c r="AD1037" i="14"/>
  <c r="AD1036" i="14"/>
  <c r="AD1035" i="14"/>
  <c r="AD1034" i="14"/>
  <c r="AD1033" i="14"/>
  <c r="AD1032" i="14"/>
  <c r="AD1031" i="14"/>
  <c r="AD1030" i="14"/>
  <c r="AD1029" i="14"/>
  <c r="AD1028" i="14"/>
  <c r="AD1027" i="14"/>
  <c r="AD1026" i="14"/>
  <c r="AD1025" i="14"/>
  <c r="AD1024" i="14"/>
  <c r="AD1023" i="14"/>
  <c r="AD1022" i="14"/>
  <c r="AD1021" i="14"/>
  <c r="AD1020" i="14"/>
  <c r="AD1019" i="14"/>
  <c r="AD1018" i="14"/>
  <c r="AD1017" i="14"/>
  <c r="AD1016" i="14"/>
  <c r="AD1015" i="14"/>
  <c r="AD1014" i="14"/>
  <c r="AD1013" i="14"/>
  <c r="AD1012" i="14"/>
  <c r="AD1011" i="14"/>
  <c r="AD1010" i="14"/>
  <c r="AD1009" i="14"/>
  <c r="AD1008" i="14"/>
  <c r="AD1007" i="14"/>
  <c r="AD1006" i="14"/>
  <c r="AD1005" i="14"/>
  <c r="AD1004" i="14"/>
  <c r="AD1003" i="14"/>
  <c r="AD1002" i="14"/>
  <c r="AD1001" i="14"/>
  <c r="AD1000" i="14"/>
  <c r="AD999" i="14"/>
  <c r="AD998" i="14"/>
  <c r="AD997" i="14"/>
  <c r="AD996" i="14"/>
  <c r="AD995" i="14"/>
  <c r="AD994" i="14"/>
  <c r="AD993" i="14"/>
  <c r="AD992" i="14"/>
  <c r="AD991" i="14"/>
  <c r="AD990" i="14"/>
  <c r="AD989" i="14"/>
  <c r="AD988" i="14"/>
  <c r="AD987" i="14"/>
  <c r="AD986" i="14"/>
  <c r="AD985" i="14"/>
  <c r="AD984" i="14"/>
  <c r="AD983" i="14"/>
  <c r="AD982" i="14"/>
  <c r="AD981" i="14"/>
  <c r="AD980" i="14"/>
  <c r="AD979" i="14"/>
  <c r="AD978" i="14"/>
  <c r="AD977" i="14"/>
  <c r="AD976" i="14"/>
  <c r="AD975" i="14"/>
  <c r="AD974" i="14"/>
  <c r="AD973" i="14"/>
  <c r="AD972" i="14"/>
  <c r="AD971" i="14"/>
  <c r="AD970" i="14"/>
  <c r="AD969" i="14"/>
  <c r="AD968" i="14"/>
  <c r="AD967" i="14"/>
  <c r="AD966" i="14"/>
  <c r="AD965" i="14"/>
  <c r="AD964" i="14"/>
  <c r="AD963" i="14"/>
  <c r="AD962" i="14"/>
  <c r="AD961" i="14"/>
  <c r="AD960" i="14"/>
  <c r="AD959" i="14"/>
  <c r="AD958" i="14"/>
  <c r="AD957" i="14"/>
  <c r="AD956" i="14"/>
  <c r="AD955" i="14"/>
  <c r="AD954" i="14"/>
  <c r="AD953" i="14"/>
  <c r="AD952" i="14"/>
  <c r="AD951" i="14"/>
  <c r="AD950" i="14"/>
  <c r="AD949" i="14"/>
  <c r="AD948" i="14"/>
  <c r="AD947" i="14"/>
  <c r="AD946" i="14"/>
  <c r="AD945" i="14"/>
  <c r="AD944" i="14"/>
  <c r="AD943" i="14"/>
  <c r="AD942" i="14"/>
  <c r="AD941" i="14"/>
  <c r="AD940" i="14"/>
  <c r="AD939" i="14"/>
  <c r="AD938" i="14"/>
  <c r="AD937" i="14"/>
  <c r="AD936" i="14"/>
  <c r="AD935" i="14"/>
  <c r="AD934" i="14"/>
  <c r="AD933" i="14"/>
  <c r="AD932" i="14"/>
  <c r="AD931" i="14"/>
  <c r="AD930" i="14"/>
  <c r="AD929" i="14"/>
  <c r="AD928" i="14"/>
  <c r="AD927" i="14"/>
  <c r="AD926" i="14"/>
  <c r="AD925" i="14"/>
  <c r="AD924" i="14"/>
  <c r="AD923" i="14"/>
  <c r="AD922" i="14"/>
  <c r="AD921" i="14"/>
  <c r="AD920" i="14"/>
  <c r="AD919" i="14"/>
  <c r="AD918" i="14"/>
  <c r="AD917" i="14"/>
  <c r="AD916" i="14"/>
  <c r="AD915" i="14"/>
  <c r="AD914" i="14"/>
  <c r="AD913" i="14"/>
  <c r="AD912" i="14"/>
  <c r="AD911" i="14"/>
  <c r="AD910" i="14"/>
  <c r="AD909" i="14"/>
  <c r="AD908" i="14"/>
  <c r="AD907" i="14"/>
  <c r="AD906" i="14"/>
  <c r="AD905" i="14"/>
  <c r="AD904" i="14"/>
  <c r="AD903" i="14"/>
  <c r="AD902" i="14"/>
  <c r="AD901" i="14"/>
  <c r="AD900" i="14"/>
  <c r="AD899" i="14"/>
  <c r="AD898" i="14"/>
  <c r="AD897" i="14"/>
  <c r="AD896" i="14"/>
  <c r="AD895" i="14"/>
  <c r="AD894" i="14"/>
  <c r="AD893" i="14"/>
  <c r="AD892" i="14"/>
  <c r="AD891" i="14"/>
  <c r="AD890" i="14"/>
  <c r="AD889" i="14"/>
  <c r="AD888" i="14"/>
  <c r="AD887" i="14"/>
  <c r="AD886" i="14"/>
  <c r="AD885" i="14"/>
  <c r="AD884" i="14"/>
  <c r="AD883" i="14"/>
  <c r="AD882" i="14"/>
  <c r="AD881" i="14"/>
  <c r="AD880" i="14"/>
  <c r="AD879" i="14"/>
  <c r="AD878" i="14"/>
  <c r="AD877" i="14"/>
  <c r="AD876" i="14"/>
  <c r="AD875" i="14"/>
  <c r="AD874" i="14"/>
  <c r="AD873" i="14"/>
  <c r="AD872" i="14"/>
  <c r="AD871" i="14"/>
  <c r="AD870" i="14"/>
  <c r="AD869" i="14"/>
  <c r="AD868" i="14"/>
  <c r="AD867" i="14"/>
  <c r="AD866" i="14"/>
  <c r="AD865" i="14"/>
  <c r="AD864" i="14"/>
  <c r="AD863" i="14"/>
  <c r="AD862" i="14"/>
  <c r="AD861" i="14"/>
  <c r="AD860" i="14"/>
  <c r="AD859" i="14"/>
  <c r="AD858" i="14"/>
  <c r="AD857" i="14"/>
  <c r="AD856" i="14"/>
  <c r="AD855" i="14"/>
  <c r="AD854" i="14"/>
  <c r="AD853" i="14"/>
  <c r="AD852" i="14"/>
  <c r="AD851" i="14"/>
  <c r="AD850" i="14"/>
  <c r="AD849" i="14"/>
  <c r="AD848" i="14"/>
  <c r="AD847" i="14"/>
  <c r="AD846" i="14"/>
  <c r="AD845" i="14"/>
  <c r="AD844" i="14"/>
  <c r="AD843" i="14"/>
  <c r="AD842" i="14"/>
  <c r="AD841" i="14"/>
  <c r="AD840" i="14"/>
  <c r="AD839" i="14"/>
  <c r="AD838" i="14"/>
  <c r="AD837" i="14"/>
  <c r="AD836" i="14"/>
  <c r="AD835" i="14"/>
  <c r="AD834" i="14"/>
  <c r="AD833" i="14"/>
  <c r="AD832" i="14"/>
  <c r="AD831" i="14"/>
  <c r="AD830" i="14"/>
  <c r="AD829" i="14"/>
  <c r="AD828" i="14"/>
  <c r="AD827" i="14"/>
  <c r="AD826" i="14"/>
  <c r="AD825" i="14"/>
  <c r="AD824" i="14"/>
  <c r="AD823" i="14"/>
  <c r="AD822" i="14"/>
  <c r="AD821" i="14"/>
  <c r="AD820" i="14"/>
  <c r="AD819" i="14"/>
  <c r="AD818" i="14"/>
  <c r="AD817" i="14"/>
  <c r="AD816" i="14"/>
  <c r="AD815" i="14"/>
  <c r="AD814" i="14"/>
  <c r="AD813" i="14"/>
  <c r="AD812" i="14"/>
  <c r="AD811" i="14"/>
  <c r="AD810" i="14"/>
  <c r="AD809" i="14"/>
  <c r="AD808" i="14"/>
  <c r="AD807" i="14"/>
  <c r="AD806" i="14"/>
  <c r="AD805" i="14"/>
  <c r="AD804" i="14"/>
  <c r="AD803" i="14"/>
  <c r="AD802" i="14"/>
  <c r="AD801" i="14"/>
  <c r="AD800" i="14"/>
  <c r="AD799" i="14"/>
  <c r="AD798" i="14"/>
  <c r="AD797" i="14"/>
  <c r="AD796" i="14"/>
  <c r="AD795" i="14"/>
  <c r="AD794" i="14"/>
  <c r="AD793" i="14"/>
  <c r="AD792" i="14"/>
  <c r="AD791" i="14"/>
  <c r="AD790" i="14"/>
  <c r="AD789" i="14"/>
  <c r="AD788" i="14"/>
  <c r="AD787" i="14"/>
  <c r="AD786" i="14"/>
  <c r="AD785" i="14"/>
  <c r="AD784" i="14"/>
  <c r="AD783" i="14"/>
  <c r="AD782" i="14"/>
  <c r="AD781" i="14"/>
  <c r="AD780" i="14"/>
  <c r="AD779" i="14"/>
  <c r="AD778" i="14"/>
  <c r="AD777" i="14"/>
  <c r="AD776" i="14"/>
  <c r="AD775" i="14"/>
  <c r="AD774" i="14"/>
  <c r="AD773" i="14"/>
  <c r="AD772" i="14"/>
  <c r="AD771" i="14"/>
  <c r="AD770" i="14"/>
  <c r="AD769" i="14"/>
  <c r="AD768" i="14"/>
  <c r="AD767" i="14"/>
  <c r="AD766" i="14"/>
  <c r="AD765" i="14"/>
  <c r="AD764" i="14"/>
  <c r="AD763" i="14"/>
  <c r="AD762" i="14"/>
  <c r="AD761" i="14"/>
  <c r="AD760" i="14"/>
  <c r="AD759" i="14"/>
  <c r="AD758" i="14"/>
  <c r="AD757" i="14"/>
  <c r="AD756" i="14"/>
  <c r="AD755" i="14"/>
  <c r="AD754" i="14"/>
  <c r="AD753" i="14"/>
  <c r="AD752" i="14"/>
  <c r="AD751" i="14"/>
  <c r="AD750" i="14"/>
  <c r="AD749" i="14"/>
  <c r="AD748" i="14"/>
  <c r="AD747" i="14"/>
  <c r="AD746" i="14"/>
  <c r="AD745" i="14"/>
  <c r="AD744" i="14"/>
  <c r="AD743" i="14"/>
  <c r="AD742" i="14"/>
  <c r="AD741" i="14"/>
  <c r="AD740" i="14"/>
  <c r="AD739" i="14"/>
  <c r="AD738" i="14"/>
  <c r="AD737" i="14"/>
  <c r="AD736" i="14"/>
  <c r="AD735" i="14"/>
  <c r="AD734" i="14"/>
  <c r="AD733" i="14"/>
  <c r="AD732" i="14"/>
  <c r="AD731" i="14"/>
  <c r="AD730" i="14"/>
  <c r="AD729" i="14"/>
  <c r="AD728" i="14"/>
  <c r="AD727" i="14"/>
  <c r="AD726" i="14"/>
  <c r="AD725" i="14"/>
  <c r="AD724" i="14"/>
  <c r="AD723" i="14"/>
  <c r="AD722" i="14"/>
  <c r="AD721" i="14"/>
  <c r="AD720" i="14"/>
  <c r="AD719" i="14"/>
  <c r="AD718" i="14"/>
  <c r="AD717" i="14"/>
  <c r="AD716" i="14"/>
  <c r="AD715" i="14"/>
  <c r="AD714" i="14"/>
  <c r="AD713" i="14"/>
  <c r="AD712" i="14"/>
  <c r="AD711" i="14"/>
  <c r="AD710" i="14"/>
  <c r="AD709" i="14"/>
  <c r="AD708" i="14"/>
  <c r="AD707" i="14"/>
  <c r="AD706" i="14"/>
  <c r="AD705" i="14"/>
  <c r="AD704" i="14"/>
  <c r="AD703" i="14"/>
  <c r="AD702" i="14"/>
  <c r="AD701" i="14"/>
  <c r="AD700" i="14"/>
  <c r="AD699" i="14"/>
  <c r="AD698" i="14"/>
  <c r="AD697" i="14"/>
  <c r="AD696" i="14"/>
  <c r="AD695" i="14"/>
  <c r="AD694" i="14"/>
  <c r="AD693" i="14"/>
  <c r="AD692" i="14"/>
  <c r="AD691" i="14"/>
  <c r="AD690" i="14"/>
  <c r="AD689" i="14"/>
  <c r="AD688" i="14"/>
  <c r="AD687" i="14"/>
  <c r="AD686" i="14"/>
  <c r="AD685" i="14"/>
  <c r="AD684" i="14"/>
  <c r="AD683" i="14"/>
  <c r="AD682" i="14"/>
  <c r="AD681" i="14"/>
  <c r="AD680" i="14"/>
  <c r="AD679" i="14"/>
  <c r="AD678" i="14"/>
  <c r="AD677" i="14"/>
  <c r="AD676" i="14"/>
  <c r="AD675" i="14"/>
  <c r="AD674" i="14"/>
  <c r="AD673" i="14"/>
  <c r="AD672" i="14"/>
  <c r="AD671" i="14"/>
  <c r="AD670" i="14"/>
  <c r="AD669" i="14"/>
  <c r="AD668" i="14"/>
  <c r="AD667" i="14"/>
  <c r="AD666" i="14"/>
  <c r="AD665" i="14"/>
  <c r="AD664" i="14"/>
  <c r="AD663" i="14"/>
  <c r="AD662" i="14"/>
  <c r="AD661" i="14"/>
  <c r="AD660" i="14"/>
  <c r="AD659" i="14"/>
  <c r="AD658" i="14"/>
  <c r="AD657" i="14"/>
  <c r="AD656" i="14"/>
  <c r="AD655" i="14"/>
  <c r="AD654" i="14"/>
  <c r="AD653" i="14"/>
  <c r="AD652" i="14"/>
  <c r="AD651" i="14"/>
  <c r="AD650" i="14"/>
  <c r="AD649" i="14"/>
  <c r="AD648" i="14"/>
  <c r="AD647" i="14"/>
  <c r="AD646" i="14"/>
  <c r="AD645" i="14"/>
  <c r="AD644" i="14"/>
  <c r="AD643" i="14"/>
  <c r="AD642" i="14"/>
  <c r="AD641" i="14"/>
  <c r="AD640" i="14"/>
  <c r="AD639" i="14"/>
  <c r="AD638" i="14"/>
  <c r="AD637" i="14"/>
  <c r="AD636" i="14"/>
  <c r="AD635" i="14"/>
  <c r="AD634" i="14"/>
  <c r="AD633" i="14"/>
  <c r="AD632" i="14"/>
  <c r="AD631" i="14"/>
  <c r="AD630" i="14"/>
  <c r="AD629" i="14"/>
  <c r="AD628" i="14"/>
  <c r="AD627" i="14"/>
  <c r="AD626" i="14"/>
  <c r="AD625" i="14"/>
  <c r="AD624" i="14"/>
  <c r="AD623" i="14"/>
  <c r="AD622" i="14"/>
  <c r="AD621" i="14"/>
  <c r="AD620" i="14"/>
  <c r="AD619" i="14"/>
  <c r="AD618" i="14"/>
  <c r="AD617" i="14"/>
  <c r="AD616" i="14"/>
  <c r="AD615" i="14"/>
  <c r="AD614" i="14"/>
  <c r="AD613" i="14"/>
  <c r="AD612" i="14"/>
  <c r="AD611" i="14"/>
  <c r="AD610" i="14"/>
  <c r="AD609" i="14"/>
  <c r="AD608" i="14"/>
  <c r="AD607" i="14"/>
  <c r="AD606" i="14"/>
  <c r="AD605" i="14"/>
  <c r="AD604" i="14"/>
  <c r="AD603" i="14"/>
  <c r="AD602" i="14"/>
  <c r="AD601" i="14"/>
  <c r="AD600" i="14"/>
  <c r="AD599" i="14"/>
  <c r="AD598" i="14"/>
  <c r="AD597" i="14"/>
  <c r="AD596" i="14"/>
  <c r="AD595" i="14"/>
  <c r="AD594" i="14"/>
  <c r="AD593" i="14"/>
  <c r="AD592" i="14"/>
  <c r="AD591" i="14"/>
  <c r="AD590" i="14"/>
  <c r="AD589" i="14"/>
  <c r="AD588" i="14"/>
  <c r="AD587" i="14"/>
  <c r="AD586" i="14"/>
  <c r="AD585" i="14"/>
  <c r="AD584" i="14"/>
  <c r="AD583" i="14"/>
  <c r="AD582" i="14"/>
  <c r="AD581" i="14"/>
  <c r="AD580" i="14"/>
  <c r="AD579" i="14"/>
  <c r="AD578" i="14"/>
  <c r="AD577" i="14"/>
  <c r="AD576" i="14"/>
  <c r="AD575" i="14"/>
  <c r="AD574" i="14"/>
  <c r="AD573" i="14"/>
  <c r="AD572" i="14"/>
  <c r="AD571" i="14"/>
  <c r="AD570" i="14"/>
  <c r="AD569" i="14"/>
  <c r="AD568" i="14"/>
  <c r="AD567" i="14"/>
  <c r="AD566" i="14"/>
  <c r="AD565" i="14"/>
  <c r="AD564" i="14"/>
  <c r="AD563" i="14"/>
  <c r="AD562" i="14"/>
  <c r="AD561" i="14"/>
  <c r="AD560" i="14"/>
  <c r="AD559" i="14"/>
  <c r="AD558" i="14"/>
  <c r="AD557" i="14"/>
  <c r="AD556" i="14"/>
  <c r="AD555" i="14"/>
  <c r="AD554" i="14"/>
  <c r="AD553" i="14"/>
  <c r="AD552" i="14"/>
  <c r="AD551" i="14"/>
  <c r="AD550" i="14"/>
  <c r="AD549" i="14"/>
  <c r="AD548" i="14"/>
  <c r="AD547" i="14"/>
  <c r="AD546" i="14"/>
  <c r="AD545" i="14"/>
  <c r="AD544" i="14"/>
  <c r="AD543" i="14"/>
  <c r="AD542" i="14"/>
  <c r="AD541" i="14"/>
  <c r="AD540" i="14"/>
  <c r="AD539" i="14"/>
  <c r="AD538" i="14"/>
  <c r="AD537" i="14"/>
  <c r="AD536" i="14"/>
  <c r="AD535" i="14"/>
  <c r="AD534" i="14"/>
  <c r="AD533" i="14"/>
  <c r="AD532" i="14"/>
  <c r="AD531" i="14"/>
  <c r="AD530" i="14"/>
  <c r="AD529" i="14"/>
  <c r="AD528" i="14"/>
  <c r="AD527" i="14"/>
  <c r="AD526" i="14"/>
  <c r="AD525" i="14"/>
  <c r="AD524" i="14"/>
  <c r="AD523" i="14"/>
  <c r="AD522" i="14"/>
  <c r="AD521" i="14"/>
  <c r="AD520" i="14"/>
  <c r="AD519" i="14"/>
  <c r="AD518" i="14"/>
  <c r="AD517" i="14"/>
  <c r="AD516" i="14"/>
  <c r="AD515" i="14"/>
  <c r="AD514" i="14"/>
  <c r="AD513" i="14"/>
  <c r="AD512" i="14"/>
  <c r="AD511" i="14"/>
  <c r="AD510" i="14"/>
  <c r="AD509" i="14"/>
  <c r="AD508" i="14"/>
  <c r="AD507" i="14"/>
  <c r="AD506" i="14"/>
  <c r="AD505" i="14"/>
  <c r="AD504" i="14"/>
  <c r="AD503" i="14"/>
  <c r="AD502" i="14"/>
  <c r="AD501" i="14"/>
  <c r="AD500" i="14"/>
  <c r="AD499" i="14"/>
  <c r="AD498" i="14"/>
  <c r="AD497" i="14"/>
  <c r="AD496" i="14"/>
  <c r="AD495" i="14"/>
  <c r="AD494" i="14"/>
  <c r="AD493" i="14"/>
  <c r="AD492" i="14"/>
  <c r="AD491" i="14"/>
  <c r="AD490" i="14"/>
  <c r="AD489" i="14"/>
  <c r="AD488" i="14"/>
  <c r="AD487" i="14"/>
  <c r="AD486" i="14"/>
  <c r="AD485" i="14"/>
  <c r="AD484" i="14"/>
  <c r="AD483" i="14"/>
  <c r="AD482" i="14"/>
  <c r="AD481" i="14"/>
  <c r="AD480" i="14"/>
  <c r="AD479" i="14"/>
  <c r="AD478" i="14"/>
  <c r="AD477" i="14"/>
  <c r="AD476" i="14"/>
  <c r="AD475" i="14"/>
  <c r="AD474" i="14"/>
  <c r="AD473" i="14"/>
  <c r="AD472" i="14"/>
  <c r="AD471" i="14"/>
  <c r="AD470" i="14"/>
  <c r="AD469" i="14"/>
  <c r="AD468" i="14"/>
  <c r="AD467" i="14"/>
  <c r="AD466" i="14"/>
  <c r="AD465" i="14"/>
  <c r="AD464" i="14"/>
  <c r="AD463" i="14"/>
  <c r="AD462" i="14"/>
  <c r="AD461" i="14"/>
  <c r="AD460" i="14"/>
  <c r="AD459" i="14"/>
  <c r="AD458" i="14"/>
  <c r="AD457" i="14"/>
  <c r="AD456" i="14"/>
  <c r="AD455" i="14"/>
  <c r="AD454" i="14"/>
  <c r="AD453" i="14"/>
  <c r="AD452" i="14"/>
  <c r="AD451" i="14"/>
  <c r="AD450" i="14"/>
  <c r="AD449" i="14"/>
  <c r="AD448" i="14"/>
  <c r="AD447" i="14"/>
  <c r="AD446" i="14"/>
  <c r="AD445" i="14"/>
  <c r="AD444" i="14"/>
  <c r="AD443" i="14"/>
  <c r="AD442" i="14"/>
  <c r="AD441" i="14"/>
  <c r="AD440" i="14"/>
  <c r="AD439" i="14"/>
  <c r="AD438" i="14"/>
  <c r="AD437" i="14"/>
  <c r="AD436" i="14"/>
  <c r="AD435" i="14"/>
  <c r="AD434" i="14"/>
  <c r="AD433" i="14"/>
  <c r="AD432" i="14"/>
  <c r="AD431" i="14"/>
  <c r="AD430" i="14"/>
  <c r="AD429" i="14"/>
  <c r="AD428" i="14"/>
  <c r="AD427" i="14"/>
  <c r="AD426" i="14"/>
  <c r="AD425" i="14"/>
  <c r="AD424" i="14"/>
  <c r="AD423" i="14"/>
  <c r="AD422" i="14"/>
  <c r="AD421" i="14"/>
  <c r="AD420" i="14"/>
  <c r="AD419" i="14"/>
  <c r="AD418" i="14"/>
  <c r="AD417" i="14"/>
  <c r="AD416" i="14"/>
  <c r="AD415" i="14"/>
  <c r="AD414" i="14"/>
  <c r="AD413" i="14"/>
  <c r="AD412" i="14"/>
  <c r="AD411" i="14"/>
  <c r="AD410" i="14"/>
  <c r="AD409" i="14"/>
  <c r="AD408" i="14"/>
  <c r="AD407" i="14"/>
  <c r="AD406" i="14"/>
  <c r="AD405" i="14"/>
  <c r="AD404" i="14"/>
  <c r="AD403" i="14"/>
  <c r="AD402" i="14"/>
  <c r="AD401" i="14"/>
  <c r="AD400" i="14"/>
  <c r="AD399" i="14"/>
  <c r="AD398" i="14"/>
  <c r="AD397" i="14"/>
  <c r="AD396" i="14"/>
  <c r="AD395" i="14"/>
  <c r="AD394" i="14"/>
  <c r="AD393" i="14"/>
  <c r="AD392" i="14"/>
  <c r="AD391" i="14"/>
  <c r="AD390" i="14"/>
  <c r="AD389" i="14"/>
  <c r="AD388" i="14"/>
  <c r="AD387" i="14"/>
  <c r="AD386" i="14"/>
  <c r="AD385" i="14"/>
  <c r="AD384" i="14"/>
  <c r="AD383" i="14"/>
  <c r="AD382" i="14"/>
  <c r="AD381" i="14"/>
  <c r="AD380" i="14"/>
  <c r="AD379" i="14"/>
  <c r="AD378" i="14"/>
  <c r="AD377" i="14"/>
  <c r="AD376" i="14"/>
  <c r="AD375" i="14"/>
  <c r="AD374" i="14"/>
  <c r="AD373" i="14"/>
  <c r="AD372" i="14"/>
  <c r="AD371" i="14"/>
  <c r="AD370" i="14"/>
  <c r="AD369" i="14"/>
  <c r="AD368" i="14"/>
  <c r="AD367" i="14"/>
  <c r="AD366" i="14"/>
  <c r="AD365" i="14"/>
  <c r="AD364" i="14"/>
  <c r="AD363" i="14"/>
  <c r="AD362" i="14"/>
  <c r="AD361" i="14"/>
  <c r="AD360" i="14"/>
  <c r="AD359" i="14"/>
  <c r="AD358" i="14"/>
  <c r="AD357" i="14"/>
  <c r="AD356" i="14"/>
  <c r="AD355" i="14"/>
  <c r="AD354" i="14"/>
  <c r="AD353" i="14"/>
  <c r="AD352" i="14"/>
  <c r="AD351" i="14"/>
  <c r="AD350" i="14"/>
  <c r="AD349" i="14"/>
  <c r="AD348" i="14"/>
  <c r="AD347" i="14"/>
  <c r="AD346" i="14"/>
  <c r="AD345" i="14"/>
  <c r="AD344" i="14"/>
  <c r="AD343" i="14"/>
  <c r="AD342" i="14"/>
  <c r="AD341" i="14"/>
  <c r="AD340" i="14"/>
  <c r="AD339" i="14"/>
  <c r="AD338" i="14"/>
  <c r="AD337" i="14"/>
  <c r="AD336" i="14"/>
  <c r="AD335" i="14"/>
  <c r="AD334" i="14"/>
  <c r="AD333" i="14"/>
  <c r="AD332" i="14"/>
  <c r="AD331" i="14"/>
  <c r="AD330" i="14"/>
  <c r="AD329" i="14"/>
  <c r="AD328" i="14"/>
  <c r="AD327" i="14"/>
  <c r="AD326" i="14"/>
  <c r="AD325" i="14"/>
  <c r="AD324" i="14"/>
  <c r="AD323" i="14"/>
  <c r="AD322" i="14"/>
  <c r="AD321" i="14"/>
  <c r="AD320" i="14"/>
  <c r="AD319" i="14"/>
  <c r="AD318" i="14"/>
  <c r="AD317" i="14"/>
  <c r="AD316" i="14"/>
  <c r="AD315" i="14"/>
  <c r="AD314" i="14"/>
  <c r="AD313" i="14"/>
  <c r="AD312" i="14"/>
  <c r="AD311" i="14"/>
  <c r="AD310" i="14"/>
  <c r="AD309" i="14"/>
  <c r="AD308" i="14"/>
  <c r="AD307" i="14"/>
  <c r="AD306" i="14"/>
  <c r="AD305" i="14"/>
  <c r="AD304" i="14"/>
  <c r="AD303" i="14"/>
  <c r="AD302" i="14"/>
  <c r="AD301" i="14"/>
  <c r="AD300" i="14"/>
  <c r="AD299" i="14"/>
  <c r="AD298" i="14"/>
  <c r="AD297" i="14"/>
  <c r="AD296" i="14"/>
  <c r="AD295" i="14"/>
  <c r="AD294" i="14"/>
  <c r="AD293" i="14"/>
  <c r="AD292" i="14"/>
  <c r="AD291" i="14"/>
  <c r="AD290" i="14"/>
  <c r="AD289" i="14"/>
  <c r="AD288" i="14"/>
  <c r="AD287" i="14"/>
  <c r="AD286" i="14"/>
  <c r="AD285" i="14"/>
  <c r="AD284" i="14"/>
  <c r="AD283" i="14"/>
  <c r="AD282" i="14"/>
  <c r="AD281" i="14"/>
  <c r="AD280" i="14"/>
  <c r="AD279" i="14"/>
  <c r="AD278" i="14"/>
  <c r="AD277" i="14"/>
  <c r="AD276" i="14"/>
  <c r="AD275" i="14"/>
  <c r="AD274" i="14"/>
  <c r="AD273" i="14"/>
  <c r="AD272" i="14"/>
  <c r="AD271" i="14"/>
  <c r="AD270" i="14"/>
  <c r="AD269" i="14"/>
  <c r="AD268" i="14"/>
  <c r="AD267" i="14"/>
  <c r="AD266" i="14"/>
  <c r="AD265" i="14"/>
  <c r="AD264" i="14"/>
  <c r="AD263" i="14"/>
  <c r="AD262" i="14"/>
  <c r="AD261" i="14"/>
  <c r="AD260" i="14"/>
  <c r="AD259" i="14"/>
  <c r="AD258" i="14"/>
  <c r="AD257" i="14"/>
  <c r="AD256" i="14"/>
  <c r="AD255" i="14"/>
  <c r="AD254" i="14"/>
  <c r="AD253" i="14"/>
  <c r="AD252" i="14"/>
  <c r="AD251" i="14"/>
  <c r="AD250" i="14"/>
  <c r="AD249" i="14"/>
  <c r="AD248" i="14"/>
  <c r="AD247" i="14"/>
  <c r="AD246" i="14"/>
  <c r="AD245" i="14"/>
  <c r="AD244" i="14"/>
  <c r="AD243" i="14"/>
  <c r="AD242" i="14"/>
  <c r="AD241" i="14"/>
  <c r="AD240" i="14"/>
  <c r="AD239" i="14"/>
  <c r="AD238" i="14"/>
  <c r="AD237" i="14"/>
  <c r="AD236" i="14"/>
  <c r="AD235" i="14"/>
  <c r="AD234" i="14"/>
  <c r="AD233" i="14"/>
  <c r="AD232" i="14"/>
  <c r="AD231" i="14"/>
  <c r="AD230" i="14"/>
  <c r="AD229" i="14"/>
  <c r="AD228" i="14"/>
  <c r="AD227" i="14"/>
  <c r="AD226" i="14"/>
  <c r="AD225" i="14"/>
  <c r="AD224" i="14"/>
  <c r="AD223" i="14"/>
  <c r="AD222" i="14"/>
  <c r="AD221" i="14"/>
  <c r="AD220" i="14"/>
  <c r="AD219" i="14"/>
  <c r="AD218" i="14"/>
  <c r="AD217" i="14"/>
  <c r="AD216" i="14"/>
  <c r="AD215" i="14"/>
  <c r="AD214" i="14"/>
  <c r="AD213" i="14"/>
  <c r="AD212" i="14"/>
  <c r="AD211" i="14"/>
  <c r="AD210" i="14"/>
  <c r="AD209" i="14"/>
  <c r="AD208" i="14"/>
  <c r="AD207" i="14"/>
  <c r="AD206" i="14"/>
  <c r="AD205" i="14"/>
  <c r="AD204" i="14"/>
  <c r="AD203" i="14"/>
  <c r="AD202" i="14"/>
  <c r="AD201" i="14"/>
  <c r="AD200" i="14"/>
  <c r="AD199" i="14"/>
  <c r="AD198" i="14"/>
  <c r="AD197" i="14"/>
  <c r="AD196" i="14"/>
  <c r="AD195" i="14"/>
  <c r="AD194" i="14"/>
  <c r="AD193" i="14"/>
  <c r="AD192" i="14"/>
  <c r="AD191" i="14"/>
  <c r="AD190" i="14"/>
  <c r="AD189" i="14"/>
  <c r="AD188" i="14"/>
  <c r="AD187" i="14"/>
  <c r="AD186" i="14"/>
  <c r="AD185" i="14"/>
  <c r="AD184" i="14"/>
  <c r="AD183" i="14"/>
  <c r="AD182" i="14"/>
  <c r="AD181" i="14"/>
  <c r="AD180" i="14"/>
  <c r="AD179" i="14"/>
  <c r="AD178" i="14"/>
  <c r="AD177" i="14"/>
  <c r="AD176" i="14"/>
  <c r="AD175" i="14"/>
  <c r="AD174" i="14"/>
  <c r="AD173" i="14"/>
  <c r="AD172" i="14"/>
  <c r="AD171" i="14"/>
  <c r="AD170" i="14"/>
  <c r="AD169" i="14"/>
  <c r="AD168" i="14"/>
  <c r="AD167" i="14"/>
  <c r="AD166" i="14"/>
  <c r="AD165" i="14"/>
  <c r="AD164" i="14"/>
  <c r="AD163" i="14"/>
  <c r="AD162" i="14"/>
  <c r="AD161" i="14"/>
  <c r="AD160" i="14"/>
  <c r="AD159" i="14"/>
  <c r="AD158" i="14"/>
  <c r="AD157" i="14"/>
  <c r="AD156" i="14"/>
  <c r="AD155" i="14"/>
  <c r="AD154" i="14"/>
  <c r="AD153" i="14"/>
  <c r="AD152" i="14"/>
  <c r="AD151" i="14"/>
  <c r="AD150" i="14"/>
  <c r="AD149" i="14"/>
  <c r="AD148" i="14"/>
  <c r="AD147" i="14"/>
  <c r="AD146" i="14"/>
  <c r="AD145" i="14"/>
  <c r="AD144" i="14"/>
  <c r="AD143" i="14"/>
  <c r="AD142" i="14"/>
  <c r="AD141" i="14"/>
  <c r="AD140" i="14"/>
  <c r="AD139" i="14"/>
  <c r="AD138" i="14"/>
  <c r="AD137" i="14"/>
  <c r="AD136" i="14"/>
  <c r="AD135" i="14"/>
  <c r="AD134" i="14"/>
  <c r="AD133" i="14"/>
  <c r="AD132" i="14"/>
  <c r="AD131" i="14"/>
  <c r="AD130" i="14"/>
  <c r="AD129" i="14"/>
  <c r="AD128" i="14"/>
  <c r="AD127" i="14"/>
  <c r="AD126" i="14"/>
  <c r="AD125" i="14"/>
  <c r="AD124" i="14"/>
  <c r="AD123" i="14"/>
  <c r="AD122" i="14"/>
  <c r="AD121" i="14"/>
  <c r="AD120" i="14"/>
  <c r="AD119" i="14"/>
  <c r="AD118" i="14"/>
  <c r="AD117" i="14"/>
  <c r="AD116" i="14"/>
  <c r="AD115" i="14"/>
  <c r="AD114" i="14"/>
  <c r="AD113" i="14"/>
  <c r="AD112" i="14"/>
  <c r="AD111" i="14"/>
  <c r="AD110" i="14"/>
  <c r="AD109" i="14"/>
  <c r="AD108" i="14"/>
  <c r="AD107" i="14"/>
  <c r="AD106" i="14"/>
  <c r="AD105" i="14"/>
  <c r="AD104" i="14"/>
  <c r="AD103" i="14"/>
  <c r="AD102" i="14"/>
  <c r="AD101" i="14"/>
  <c r="AD100" i="14"/>
  <c r="AD99" i="14"/>
  <c r="AD98" i="14"/>
  <c r="AD97" i="14"/>
  <c r="AD96" i="14"/>
  <c r="AD95" i="14"/>
  <c r="AD94" i="14"/>
  <c r="AD93" i="14"/>
  <c r="AD92" i="14"/>
  <c r="AD91" i="14"/>
  <c r="AD90" i="14"/>
  <c r="AD89" i="14"/>
  <c r="AD88" i="14"/>
  <c r="AD87" i="14"/>
  <c r="AD86" i="14"/>
  <c r="AD85" i="14"/>
  <c r="AD84" i="14"/>
  <c r="AD83" i="14"/>
  <c r="AD82" i="14"/>
  <c r="AD81" i="14"/>
  <c r="AD80" i="14"/>
  <c r="AD79" i="14"/>
  <c r="AD78" i="14"/>
  <c r="AD77" i="14"/>
  <c r="AD76" i="14"/>
  <c r="AD75" i="14"/>
  <c r="AD74" i="14"/>
  <c r="AD73" i="14"/>
  <c r="AD72" i="14"/>
  <c r="AD71" i="14"/>
  <c r="AD70" i="14"/>
  <c r="AD69" i="14"/>
  <c r="AD68" i="14"/>
  <c r="AD67" i="14"/>
  <c r="AD66" i="14"/>
  <c r="AD65" i="14"/>
  <c r="AD64" i="14"/>
  <c r="AD63" i="14"/>
  <c r="AD62" i="14"/>
  <c r="AD61" i="14"/>
  <c r="AD60" i="14"/>
  <c r="AD59" i="14"/>
  <c r="AD58" i="14"/>
  <c r="AD57" i="14"/>
  <c r="AD56" i="14"/>
  <c r="AD55" i="14"/>
  <c r="AD54" i="14"/>
  <c r="AD53" i="14"/>
  <c r="AD52" i="14"/>
  <c r="AD51" i="14"/>
  <c r="AD50" i="14"/>
  <c r="AD49" i="14"/>
  <c r="AD48" i="14"/>
  <c r="AD47" i="14"/>
  <c r="AD46" i="14"/>
  <c r="AD45" i="14"/>
  <c r="AD44" i="14"/>
  <c r="AD43" i="14"/>
  <c r="AD42" i="14"/>
  <c r="AD41" i="14"/>
  <c r="AD40" i="14"/>
  <c r="AD39" i="14"/>
  <c r="AD38" i="14"/>
  <c r="AD37" i="14"/>
  <c r="AD36" i="14"/>
  <c r="AD35" i="14"/>
  <c r="AD34" i="14"/>
  <c r="AD33" i="14"/>
  <c r="AD32" i="14"/>
  <c r="AD31" i="14"/>
  <c r="AD30" i="14"/>
  <c r="AD29" i="14"/>
  <c r="AD28" i="14"/>
  <c r="AD27" i="14"/>
  <c r="AD26" i="14"/>
  <c r="AD25" i="14"/>
  <c r="AD24" i="14"/>
  <c r="AD23" i="14"/>
  <c r="AD22" i="14"/>
  <c r="AD21" i="14"/>
  <c r="AD20" i="14"/>
  <c r="AD19" i="14"/>
  <c r="AD18" i="14"/>
  <c r="AD17" i="14"/>
  <c r="AD16" i="14"/>
  <c r="AD15" i="14"/>
  <c r="AD14" i="14"/>
  <c r="AD13" i="14"/>
  <c r="AD12" i="14"/>
  <c r="AD11" i="14"/>
  <c r="AD10" i="14"/>
  <c r="AD9" i="14"/>
  <c r="AD8" i="14"/>
  <c r="AD7" i="14"/>
  <c r="AD6" i="14"/>
  <c r="AD5" i="14"/>
  <c r="AD4" i="14"/>
  <c r="AD3" i="14"/>
  <c r="T4" i="29" l="1"/>
  <c r="F31" i="35" s="1"/>
  <c r="T6" i="29"/>
  <c r="F33" i="35" s="1"/>
  <c r="T8" i="29"/>
  <c r="F35" i="35" s="1"/>
  <c r="T10" i="29"/>
  <c r="F37" i="35" s="1"/>
  <c r="T12" i="29"/>
  <c r="F39" i="35" s="1"/>
  <c r="T5" i="29"/>
  <c r="F32" i="35" s="1"/>
  <c r="T7" i="29"/>
  <c r="T9" i="29"/>
  <c r="F36" i="35" s="1"/>
  <c r="T11" i="29"/>
  <c r="F38" i="35" s="1"/>
  <c r="T3" i="29"/>
  <c r="F30" i="35" s="1"/>
  <c r="F34" i="35"/>
  <c r="E31" i="35"/>
  <c r="E32" i="35"/>
  <c r="E33" i="35"/>
  <c r="E34" i="35"/>
  <c r="E35" i="35"/>
  <c r="E36" i="35"/>
  <c r="E37" i="35"/>
  <c r="E38" i="35"/>
  <c r="E39" i="35"/>
  <c r="E30" i="35"/>
  <c r="C31" i="35"/>
  <c r="C32" i="35"/>
  <c r="C33" i="35"/>
  <c r="C34" i="35"/>
  <c r="C35" i="35"/>
  <c r="C36" i="35"/>
  <c r="C37" i="35"/>
  <c r="C38" i="35"/>
  <c r="C39" i="35"/>
  <c r="C30" i="35"/>
  <c r="B31" i="35"/>
  <c r="B32" i="35"/>
  <c r="B33" i="35"/>
  <c r="B34" i="35"/>
  <c r="B35" i="35"/>
  <c r="B36" i="35"/>
  <c r="B37" i="35"/>
  <c r="B38" i="35"/>
  <c r="B39" i="35"/>
  <c r="B30" i="35"/>
  <c r="E43" i="26"/>
  <c r="K47" i="35" s="1"/>
  <c r="D76" i="33" l="1"/>
  <c r="E76" i="33"/>
  <c r="F76" i="33"/>
  <c r="G76" i="33"/>
  <c r="H76" i="33"/>
  <c r="I76" i="33"/>
  <c r="J76" i="33"/>
  <c r="K76" i="33"/>
  <c r="C76" i="33"/>
  <c r="D71" i="33"/>
  <c r="E71" i="33"/>
  <c r="F71" i="33"/>
  <c r="G71" i="33"/>
  <c r="H71" i="33"/>
  <c r="I71" i="33"/>
  <c r="J71" i="33"/>
  <c r="K71" i="33"/>
  <c r="C71" i="33"/>
  <c r="D70" i="33"/>
  <c r="E70" i="33"/>
  <c r="F70" i="33"/>
  <c r="G70" i="33"/>
  <c r="H70" i="33"/>
  <c r="I70" i="33"/>
  <c r="J70" i="33"/>
  <c r="K70" i="33"/>
  <c r="C70" i="33"/>
  <c r="K51" i="33"/>
  <c r="K81" i="33" s="1"/>
  <c r="J51" i="33"/>
  <c r="J81" i="33" s="1"/>
  <c r="I51" i="33"/>
  <c r="I81" i="33" s="1"/>
  <c r="H51" i="33"/>
  <c r="H81" i="33" s="1"/>
  <c r="G51" i="33"/>
  <c r="G81" i="33" s="1"/>
  <c r="F51" i="33"/>
  <c r="F81" i="33" s="1"/>
  <c r="E51" i="33"/>
  <c r="E81" i="33" s="1"/>
  <c r="D51" i="33"/>
  <c r="D81" i="33" s="1"/>
  <c r="C51" i="33"/>
  <c r="C81" i="33" s="1"/>
  <c r="D57" i="33" l="1"/>
  <c r="H57" i="33"/>
  <c r="F57" i="33"/>
  <c r="J57" i="33"/>
  <c r="C57" i="33"/>
  <c r="E57" i="33"/>
  <c r="G57" i="33"/>
  <c r="I57" i="33"/>
  <c r="K57" i="33"/>
  <c r="D72" i="33"/>
  <c r="J72" i="33"/>
  <c r="K31" i="31"/>
  <c r="K29" i="31"/>
  <c r="K30" i="31"/>
  <c r="K28" i="31"/>
  <c r="N25" i="31"/>
  <c r="N17" i="31"/>
  <c r="D1123" i="31"/>
  <c r="D867" i="31"/>
  <c r="D287" i="31"/>
  <c r="D675" i="31"/>
  <c r="D533" i="31"/>
  <c r="D388" i="31"/>
  <c r="D370" i="31"/>
  <c r="D568" i="31"/>
  <c r="D430" i="31"/>
  <c r="D573" i="31"/>
  <c r="D156" i="31"/>
  <c r="D629" i="31"/>
  <c r="D791" i="31"/>
  <c r="D481" i="31"/>
  <c r="D170" i="31"/>
  <c r="D678" i="31"/>
  <c r="D296" i="31"/>
  <c r="D495" i="31"/>
  <c r="D590" i="31"/>
  <c r="D795" i="31"/>
  <c r="D695" i="31"/>
  <c r="D584" i="31"/>
  <c r="D386" i="31"/>
  <c r="D282" i="31"/>
  <c r="D540" i="31"/>
  <c r="D522" i="31"/>
  <c r="D812" i="31"/>
  <c r="D1051" i="31"/>
  <c r="D777" i="31"/>
  <c r="D508" i="31"/>
  <c r="D586" i="31"/>
  <c r="D116" i="31"/>
  <c r="D357" i="31"/>
  <c r="D970" i="31"/>
  <c r="D256" i="31"/>
  <c r="D101" i="31"/>
  <c r="D853" i="31"/>
  <c r="D900" i="31"/>
  <c r="D541" i="31"/>
  <c r="D520" i="31"/>
  <c r="D978" i="31"/>
  <c r="D990" i="31"/>
  <c r="D367" i="31"/>
  <c r="D957" i="31"/>
  <c r="D28" i="31"/>
  <c r="D409" i="31"/>
  <c r="D186" i="31"/>
  <c r="D701" i="31"/>
  <c r="D753" i="31"/>
  <c r="D1052" i="31"/>
  <c r="D239" i="31"/>
  <c r="D40" i="31"/>
  <c r="D887" i="31"/>
  <c r="D518" i="31"/>
  <c r="D83" i="31"/>
  <c r="D770" i="31"/>
  <c r="D1021" i="31"/>
  <c r="D332" i="31"/>
  <c r="D1030" i="31"/>
  <c r="D229" i="31"/>
  <c r="D414" i="31"/>
  <c r="D709" i="31"/>
  <c r="D444" i="31"/>
  <c r="D204" i="31"/>
  <c r="D509" i="31"/>
  <c r="D129" i="31"/>
  <c r="D694" i="31"/>
  <c r="D622" i="31"/>
  <c r="D820" i="31"/>
  <c r="D682" i="31"/>
  <c r="D490" i="31"/>
  <c r="D591" i="31"/>
  <c r="D529" i="31"/>
  <c r="D142" i="31"/>
  <c r="D638" i="31"/>
  <c r="D920" i="31"/>
  <c r="D216" i="31"/>
  <c r="D438" i="31"/>
  <c r="D564" i="31"/>
  <c r="D1098" i="31"/>
  <c r="D94" i="31"/>
  <c r="D1074" i="31"/>
  <c r="D1011" i="31"/>
  <c r="D202" i="31"/>
  <c r="D898" i="31"/>
  <c r="D949" i="31"/>
  <c r="D180" i="31"/>
  <c r="D684" i="31"/>
  <c r="D913" i="31"/>
  <c r="D214" i="31"/>
  <c r="D308" i="31"/>
  <c r="D637" i="31"/>
  <c r="D623" i="31"/>
  <c r="D607" i="31"/>
  <c r="D483" i="31"/>
  <c r="D117" i="31"/>
  <c r="D705" i="31"/>
  <c r="D645" i="31"/>
  <c r="D499" i="31"/>
  <c r="D333" i="31"/>
  <c r="D692" i="31"/>
  <c r="D366" i="31"/>
  <c r="D860" i="31"/>
  <c r="D277" i="31"/>
  <c r="D110" i="31"/>
  <c r="D1006" i="31"/>
  <c r="D452" i="31"/>
  <c r="D1049" i="31"/>
  <c r="D950" i="31"/>
  <c r="D1013" i="31"/>
  <c r="D237" i="31"/>
  <c r="D652" i="31"/>
  <c r="D796" i="31"/>
  <c r="D929" i="31"/>
  <c r="D215" i="31"/>
  <c r="D676" i="31"/>
  <c r="D781" i="31"/>
  <c r="D442" i="31"/>
  <c r="D642" i="31"/>
  <c r="D67" i="31"/>
  <c r="D909" i="31"/>
  <c r="D772" i="31"/>
  <c r="D808" i="31"/>
  <c r="D307" i="31"/>
  <c r="D665" i="31"/>
  <c r="D494" i="31"/>
  <c r="D301" i="31"/>
  <c r="D802" i="31"/>
  <c r="D433" i="31"/>
  <c r="D293" i="31"/>
  <c r="D606" i="31"/>
  <c r="D838" i="31"/>
  <c r="D209" i="31"/>
  <c r="D794" i="31"/>
  <c r="D932" i="31"/>
  <c r="D737" i="31"/>
  <c r="D613" i="31"/>
  <c r="D505" i="31"/>
  <c r="D663" i="31"/>
  <c r="D659" i="31"/>
  <c r="D842" i="31"/>
  <c r="D146" i="31"/>
  <c r="D450" i="31"/>
  <c r="D668" i="31"/>
  <c r="D863" i="31"/>
  <c r="D732" i="31"/>
  <c r="D647" i="31"/>
  <c r="D556" i="31"/>
  <c r="D536" i="31"/>
  <c r="D387" i="31"/>
  <c r="D690" i="31"/>
  <c r="D571" i="31"/>
  <c r="D1066" i="31"/>
  <c r="D62" i="31"/>
  <c r="D403" i="31"/>
  <c r="D930" i="31"/>
  <c r="D582" i="31"/>
  <c r="D628" i="31"/>
  <c r="D338" i="31"/>
  <c r="D416" i="31"/>
  <c r="D270" i="31"/>
  <c r="D1002" i="31"/>
  <c r="D646" i="31"/>
  <c r="D539" i="31"/>
  <c r="D382" i="31"/>
  <c r="D1063" i="31"/>
  <c r="D693" i="31"/>
  <c r="D849" i="31"/>
  <c r="D514" i="31"/>
  <c r="D429" i="31"/>
  <c r="D758" i="31"/>
  <c r="D90" i="31"/>
  <c r="D120" i="31"/>
  <c r="D876" i="31"/>
  <c r="D653" i="31"/>
  <c r="D284" i="31"/>
  <c r="D704" i="31"/>
  <c r="D194" i="31"/>
  <c r="D907" i="31"/>
  <c r="D700" i="31"/>
  <c r="D1106" i="31"/>
  <c r="D460" i="31"/>
  <c r="D832" i="31"/>
  <c r="D943" i="31"/>
  <c r="D1016" i="31"/>
  <c r="D70" i="31"/>
  <c r="D218" i="31"/>
  <c r="D118" i="31"/>
  <c r="D220" i="31"/>
  <c r="D389" i="31"/>
  <c r="D527" i="31"/>
  <c r="D59" i="31"/>
  <c r="D312" i="31"/>
  <c r="D567" i="31"/>
  <c r="D324" i="31"/>
  <c r="D821" i="31"/>
  <c r="D1017" i="31"/>
  <c r="D407" i="31"/>
  <c r="D1024" i="31"/>
  <c r="D472" i="31"/>
  <c r="D39" i="31"/>
  <c r="D96" i="31"/>
  <c r="D80" i="31"/>
  <c r="D326" i="31"/>
  <c r="D964" i="31"/>
  <c r="D175" i="31"/>
  <c r="D140" i="31"/>
  <c r="D706" i="31"/>
  <c r="D480" i="31"/>
  <c r="D992" i="31"/>
  <c r="D330" i="31"/>
  <c r="D351" i="31"/>
  <c r="D719" i="31"/>
  <c r="D424" i="31"/>
  <c r="D104" i="31"/>
  <c r="D147" i="31"/>
  <c r="D828" i="31"/>
  <c r="D881" i="31"/>
  <c r="D1057" i="31"/>
  <c r="D179" i="31"/>
  <c r="D640" i="31"/>
  <c r="D283" i="31"/>
  <c r="D469" i="31"/>
  <c r="D250" i="31"/>
  <c r="D226" i="31"/>
  <c r="D552" i="31"/>
  <c r="D975" i="31"/>
  <c r="D660" i="31"/>
  <c r="D594" i="31"/>
  <c r="D418" i="31"/>
  <c r="D373" i="31"/>
  <c r="D745" i="31"/>
  <c r="D782" i="31"/>
  <c r="D1039" i="31"/>
  <c r="D840" i="31"/>
  <c r="D222" i="31"/>
  <c r="D896" i="31"/>
  <c r="D598" i="31"/>
  <c r="D534" i="31"/>
  <c r="D664" i="31"/>
  <c r="D454" i="31"/>
  <c r="D951" i="31"/>
  <c r="D304" i="31"/>
  <c r="D883" i="31"/>
  <c r="D902" i="31"/>
  <c r="D25" i="31"/>
  <c r="D318" i="31"/>
  <c r="D393" i="31"/>
  <c r="D816" i="31"/>
  <c r="D657" i="31"/>
  <c r="D609" i="31"/>
  <c r="D247" i="31"/>
  <c r="D1107" i="31"/>
  <c r="D336" i="31"/>
  <c r="D219" i="31"/>
  <c r="D626" i="31"/>
  <c r="D1122" i="31"/>
  <c r="D152" i="31"/>
  <c r="D722" i="31"/>
  <c r="D248" i="31"/>
  <c r="D1018" i="31"/>
  <c r="D982" i="31"/>
  <c r="D274" i="31"/>
  <c r="D847" i="31"/>
  <c r="D337" i="31"/>
  <c r="D1029" i="31"/>
  <c r="D364" i="31"/>
  <c r="D437" i="31"/>
  <c r="D1076" i="31"/>
  <c r="D486" i="31"/>
  <c r="D726" i="31"/>
  <c r="D603" i="31"/>
  <c r="D953" i="31"/>
  <c r="D983" i="31"/>
  <c r="D1038" i="31"/>
  <c r="D164" i="31"/>
  <c r="D825" i="31"/>
  <c r="D496" i="31"/>
  <c r="D163" i="31"/>
  <c r="D213" i="31"/>
  <c r="D955" i="31"/>
  <c r="D557" i="31"/>
  <c r="D234" i="31"/>
  <c r="D1095" i="31"/>
  <c r="D276" i="31"/>
  <c r="D741" i="31"/>
  <c r="D261" i="31"/>
  <c r="D636" i="31"/>
  <c r="D618" i="31"/>
  <c r="D689" i="31"/>
  <c r="D273" i="31"/>
  <c r="D415" i="31"/>
  <c r="D1070" i="31"/>
  <c r="D729" i="31"/>
  <c r="D1089" i="31"/>
  <c r="D60" i="31"/>
  <c r="D1060" i="31"/>
  <c r="D63" i="31"/>
  <c r="D989" i="31"/>
  <c r="D1104" i="31"/>
  <c r="D184" i="31"/>
  <c r="D15" i="31"/>
  <c r="D77" i="31"/>
  <c r="D30" i="31"/>
  <c r="D368" i="31"/>
  <c r="D107" i="31"/>
  <c r="D519" i="31"/>
  <c r="D426" i="31"/>
  <c r="D688" i="31"/>
  <c r="D100" i="31"/>
  <c r="D901" i="31"/>
  <c r="D658" i="31"/>
  <c r="D1003" i="31"/>
  <c r="D941" i="31"/>
  <c r="D323" i="31"/>
  <c r="D654" i="31"/>
  <c r="D300" i="31"/>
  <c r="D259" i="31"/>
  <c r="D954" i="31"/>
  <c r="D548" i="31"/>
  <c r="D313" i="31"/>
  <c r="D487" i="31"/>
  <c r="D431" i="31"/>
  <c r="D264" i="31"/>
  <c r="D1005" i="31"/>
  <c r="D817" i="31"/>
  <c r="D26" i="31"/>
  <c r="D864" i="31"/>
  <c r="D1026" i="31"/>
  <c r="D879" i="31"/>
  <c r="D168" i="31"/>
  <c r="D985" i="31"/>
  <c r="D36" i="31"/>
  <c r="D311" i="31"/>
  <c r="D484" i="31"/>
  <c r="D119" i="31"/>
  <c r="D470" i="31"/>
  <c r="D412" i="31"/>
  <c r="D661" i="31"/>
  <c r="D441" i="31"/>
  <c r="D421" i="31"/>
  <c r="D774" i="31"/>
  <c r="D327" i="31"/>
  <c r="D143" i="31"/>
  <c r="D428" i="31"/>
  <c r="D1059" i="31"/>
  <c r="D697" i="31"/>
  <c r="D225" i="31"/>
  <c r="D408" i="31"/>
  <c r="D1086" i="31"/>
  <c r="D799" i="31"/>
  <c r="D457" i="31"/>
  <c r="D972" i="31"/>
  <c r="D749" i="31"/>
  <c r="D583" i="31"/>
  <c r="D346" i="31"/>
  <c r="D813" i="31"/>
  <c r="D1064" i="31"/>
  <c r="D1008" i="31"/>
  <c r="D178" i="31"/>
  <c r="D784" i="31"/>
  <c r="D434" i="31"/>
  <c r="D37" i="31"/>
  <c r="D696" i="31"/>
  <c r="D155" i="31"/>
  <c r="D267" i="31"/>
  <c r="D611" i="31"/>
  <c r="D465" i="31"/>
  <c r="D755" i="31"/>
  <c r="D314" i="31"/>
  <c r="D687" i="31"/>
  <c r="D497" i="31"/>
  <c r="D928" i="31"/>
  <c r="D804" i="31"/>
  <c r="D1103" i="31"/>
  <c r="D68" i="31"/>
  <c r="D99" i="31"/>
  <c r="D542" i="31"/>
  <c r="D58" i="31"/>
  <c r="D511" i="31"/>
  <c r="D227" i="31"/>
  <c r="D292" i="31"/>
  <c r="D111" i="31"/>
  <c r="D921" i="31"/>
  <c r="D625" i="31"/>
  <c r="D656" i="31"/>
  <c r="D759" i="31"/>
  <c r="D667" i="31"/>
  <c r="D1047" i="31"/>
  <c r="D262" i="31"/>
  <c r="D572" i="31"/>
  <c r="D910" i="31"/>
  <c r="D981" i="31"/>
  <c r="D353" i="31"/>
  <c r="D448" i="31"/>
  <c r="D631" i="31"/>
  <c r="D559" i="31"/>
  <c r="D114" i="31"/>
  <c r="D91" i="31"/>
  <c r="D788" i="31"/>
  <c r="D288" i="31"/>
  <c r="D477" i="31"/>
  <c r="D998" i="31"/>
  <c r="D302" i="31"/>
  <c r="D535" i="31"/>
  <c r="D767" i="31"/>
  <c r="D151" i="31"/>
  <c r="D359" i="31"/>
  <c r="D303" i="31"/>
  <c r="D649" i="31"/>
  <c r="D376" i="31"/>
  <c r="D578" i="31"/>
  <c r="D449" i="31"/>
  <c r="D131" i="31"/>
  <c r="D714" i="31"/>
  <c r="D258" i="31"/>
  <c r="D569" i="31"/>
  <c r="D747" i="31"/>
  <c r="D633" i="31"/>
  <c r="D462" i="31"/>
  <c r="D906" i="31"/>
  <c r="D475" i="31"/>
  <c r="D358" i="31"/>
  <c r="D451" i="31"/>
  <c r="D132" i="31"/>
  <c r="D746" i="31"/>
  <c r="D344" i="31"/>
  <c r="D1102" i="31"/>
  <c r="D632" i="31"/>
  <c r="D760" i="31"/>
  <c r="D771" i="31"/>
  <c r="D159" i="31"/>
  <c r="D95" i="31"/>
  <c r="D733" i="31"/>
  <c r="D915" i="31"/>
  <c r="D723" i="31"/>
  <c r="D291" i="31"/>
  <c r="D805" i="31"/>
  <c r="D145" i="31"/>
  <c r="D717" i="31"/>
  <c r="D157" i="31"/>
  <c r="D390" i="31"/>
  <c r="D872" i="31"/>
  <c r="D903" i="31"/>
  <c r="D400" i="31"/>
  <c r="D207" i="31"/>
  <c r="D581" i="31"/>
  <c r="D210" i="31"/>
  <c r="D775" i="31"/>
  <c r="D106" i="31"/>
  <c r="D401" i="31"/>
  <c r="D744" i="31"/>
  <c r="D764" i="31"/>
  <c r="D1056" i="31"/>
  <c r="D396" i="31"/>
  <c r="D334" i="31"/>
  <c r="D814" i="31"/>
  <c r="D574" i="31"/>
  <c r="D317" i="31"/>
  <c r="D979" i="31"/>
  <c r="D702" i="31"/>
  <c r="D592" i="31"/>
  <c r="D754" i="31"/>
  <c r="D384" i="31"/>
  <c r="D620" i="31"/>
  <c r="D713" i="31"/>
  <c r="D1037" i="31"/>
  <c r="D961" i="31"/>
  <c r="D521" i="31"/>
  <c r="D798" i="31"/>
  <c r="D962" i="31"/>
  <c r="D269" i="31"/>
  <c r="D20" i="31"/>
  <c r="D473" i="31"/>
  <c r="D824" i="31"/>
  <c r="D874" i="31"/>
  <c r="D53" i="31"/>
  <c r="D75" i="31"/>
  <c r="D188" i="31"/>
  <c r="D545" i="31"/>
  <c r="D352" i="31"/>
  <c r="D835" i="31"/>
  <c r="D785" i="31"/>
  <c r="D230" i="31"/>
  <c r="D666" i="31"/>
  <c r="D439" i="31"/>
  <c r="D187" i="31"/>
  <c r="D1073" i="31"/>
  <c r="D198" i="31"/>
  <c r="D1010" i="31"/>
  <c r="D268" i="31"/>
  <c r="D809" i="31"/>
  <c r="D789" i="31"/>
  <c r="D871" i="31"/>
  <c r="D933" i="31"/>
  <c r="D443" i="31"/>
  <c r="D942" i="31"/>
  <c r="D485" i="31"/>
  <c r="D255" i="31"/>
  <c r="D1034" i="31"/>
  <c r="D298" i="31"/>
  <c r="D918" i="31"/>
  <c r="D459" i="31"/>
  <c r="D739" i="31"/>
  <c r="D285" i="31"/>
  <c r="D176" i="31"/>
  <c r="D523" i="31"/>
  <c r="D916" i="31"/>
  <c r="D348" i="31"/>
  <c r="D560" i="31"/>
  <c r="D852" i="31"/>
  <c r="D934" i="31"/>
  <c r="D869" i="31"/>
  <c r="D984" i="31"/>
  <c r="D241" i="31"/>
  <c r="D851" i="31"/>
  <c r="D238" i="31"/>
  <c r="D549" i="31"/>
  <c r="D965" i="31"/>
  <c r="D917" i="31"/>
  <c r="D189" i="31"/>
  <c r="D127" i="31"/>
  <c r="D585" i="31"/>
  <c r="D526" i="31"/>
  <c r="D680" i="31"/>
  <c r="D223" i="31"/>
  <c r="D691" i="31"/>
  <c r="D766" i="31"/>
  <c r="D912" i="31"/>
  <c r="D137" i="31"/>
  <c r="D190" i="31"/>
  <c r="D466" i="31"/>
  <c r="D299" i="31"/>
  <c r="D976" i="31"/>
  <c r="D735" i="31"/>
  <c r="D356" i="31"/>
  <c r="D123" i="31"/>
  <c r="D517" i="31"/>
  <c r="D655" i="31"/>
  <c r="D391" i="31"/>
  <c r="D419" i="31"/>
  <c r="D125" i="31"/>
  <c r="D205" i="31"/>
  <c r="D740" i="31"/>
  <c r="D309" i="31"/>
  <c r="D453" i="31"/>
  <c r="D868" i="31"/>
  <c r="D783" i="31"/>
  <c r="D997" i="31"/>
  <c r="D938" i="31"/>
  <c r="D768" i="31"/>
  <c r="D278" i="31"/>
  <c r="D76" i="31"/>
  <c r="D537" i="31"/>
  <c r="D1031" i="31"/>
  <c r="D937" i="31"/>
  <c r="D662" i="31"/>
  <c r="D361" i="31"/>
  <c r="D158" i="31"/>
  <c r="D85" i="31"/>
  <c r="D865" i="31"/>
  <c r="D862" i="31"/>
  <c r="D290" i="31"/>
  <c r="D201" i="31"/>
  <c r="D44" i="31"/>
  <c r="D773" i="31"/>
  <c r="D922" i="31"/>
  <c r="D196" i="31"/>
  <c r="D899" i="31"/>
  <c r="D128" i="31"/>
  <c r="D510" i="31"/>
  <c r="D826" i="31"/>
  <c r="D1116" i="31"/>
  <c r="D474" i="31"/>
  <c r="D1004" i="31"/>
  <c r="D948" i="31"/>
  <c r="D463" i="31"/>
  <c r="D670" i="31"/>
  <c r="D544" i="31"/>
  <c r="D507" i="31"/>
  <c r="D105" i="31"/>
  <c r="D778" i="31"/>
  <c r="D612" i="31"/>
  <c r="D968" i="31"/>
  <c r="D988" i="31"/>
  <c r="D55" i="31"/>
  <c r="D64" i="31"/>
  <c r="D550" i="31"/>
  <c r="D562" i="31"/>
  <c r="D547" i="31"/>
  <c r="D378" i="31"/>
  <c r="D967" i="31"/>
  <c r="D149" i="31"/>
  <c r="D627" i="31"/>
  <c r="D1043" i="31"/>
  <c r="D551" i="31"/>
  <c r="D515" i="31"/>
  <c r="D212" i="31"/>
  <c r="D830" i="31"/>
  <c r="D122" i="31"/>
  <c r="D566" i="31"/>
  <c r="D102" i="31"/>
  <c r="D342" i="31"/>
  <c r="D905" i="31"/>
  <c r="D1114" i="31"/>
  <c r="D986" i="31"/>
  <c r="D235" i="31"/>
  <c r="D1113" i="31"/>
  <c r="D787" i="31"/>
  <c r="D272" i="31"/>
  <c r="D65" i="31"/>
  <c r="D294" i="31"/>
  <c r="D993" i="31"/>
  <c r="D555" i="31"/>
  <c r="D1100" i="31"/>
  <c r="D440" i="31"/>
  <c r="D513" i="31"/>
  <c r="D1071" i="31"/>
  <c r="D792" i="31"/>
  <c r="D1085" i="31"/>
  <c r="D160" i="31"/>
  <c r="D673" i="31"/>
  <c r="D619" i="31"/>
  <c r="D385" i="31"/>
  <c r="D854" i="31"/>
  <c r="D192" i="31"/>
  <c r="D254" i="31"/>
  <c r="D720" i="31"/>
  <c r="D199" i="31"/>
  <c r="D124" i="31"/>
  <c r="D350" i="31"/>
  <c r="D996" i="31"/>
  <c r="D182" i="31"/>
  <c r="D243" i="31"/>
  <c r="D297" i="31"/>
  <c r="D621" i="31"/>
  <c r="D435" i="31"/>
  <c r="D502" i="31"/>
  <c r="D877" i="31"/>
  <c r="D956" i="31"/>
  <c r="D354" i="31"/>
  <c r="D1079" i="31"/>
  <c r="D1075" i="31"/>
  <c r="D1092" i="31"/>
  <c r="D52" i="31"/>
  <c r="D69" i="31"/>
  <c r="D630" i="31"/>
  <c r="D71" i="31"/>
  <c r="D112" i="31"/>
  <c r="D174" i="31"/>
  <c r="D471" i="31"/>
  <c r="D624" i="31"/>
  <c r="D836" i="31"/>
  <c r="D908" i="31"/>
  <c r="D183" i="31"/>
  <c r="D634" i="31"/>
  <c r="D405" i="31"/>
  <c r="D173" i="31"/>
  <c r="D165" i="31"/>
  <c r="D769" i="31"/>
  <c r="D977" i="31"/>
  <c r="D383" i="31"/>
  <c r="D399" i="31"/>
  <c r="D1036" i="31"/>
  <c r="D819" i="31"/>
  <c r="D92" i="31"/>
  <c r="D643" i="31"/>
  <c r="D161" i="31"/>
  <c r="D683" i="31"/>
  <c r="D635" i="31"/>
  <c r="D233" i="31"/>
  <c r="D616" i="31"/>
  <c r="D815" i="31"/>
  <c r="D829" i="31"/>
  <c r="D133" i="31"/>
  <c r="D587" i="31"/>
  <c r="D710" i="31"/>
  <c r="D41" i="31"/>
  <c r="D911" i="31"/>
  <c r="D423" i="31"/>
  <c r="D512" i="31"/>
  <c r="D728" i="31"/>
  <c r="D672" i="31"/>
  <c r="D810" i="31"/>
  <c r="D406" i="31"/>
  <c r="D86" i="31"/>
  <c r="D558" i="31"/>
  <c r="D377" i="31"/>
  <c r="D738" i="31"/>
  <c r="D315" i="31"/>
  <c r="D923" i="31"/>
  <c r="D561" i="31"/>
  <c r="D1068" i="31"/>
  <c r="D969" i="31"/>
  <c r="D669" i="31"/>
  <c r="D823" i="31"/>
  <c r="D310" i="31"/>
  <c r="D468" i="31"/>
  <c r="D891" i="31"/>
  <c r="D803" i="31"/>
  <c r="D589" i="31"/>
  <c r="D945" i="31"/>
  <c r="D491" i="31"/>
  <c r="D751" i="31"/>
  <c r="D757" i="31"/>
  <c r="D946" i="31"/>
  <c r="D596" i="31"/>
  <c r="D914" i="31"/>
  <c r="D115" i="31"/>
  <c r="D1027" i="31"/>
  <c r="D319" i="31"/>
  <c r="D850" i="31"/>
  <c r="D576" i="31"/>
  <c r="D150" i="31"/>
  <c r="D211" i="31"/>
  <c r="D427" i="31"/>
  <c r="D242" i="31"/>
  <c r="D532" i="31"/>
  <c r="D530" i="31"/>
  <c r="D806" i="31"/>
  <c r="D610" i="31"/>
  <c r="D890" i="31"/>
  <c r="D730" i="31"/>
  <c r="D97" i="31"/>
  <c r="D1053" i="31"/>
  <c r="D1090" i="31"/>
  <c r="D924" i="31"/>
  <c r="D699" i="31"/>
  <c r="D952" i="31"/>
  <c r="D685" i="31"/>
  <c r="D355" i="31"/>
  <c r="D369" i="31"/>
  <c r="D925" i="31"/>
  <c r="D73" i="31"/>
  <c r="D839" i="31"/>
  <c r="D999" i="31"/>
  <c r="D335" i="31"/>
  <c r="D171" i="31"/>
  <c r="D800" i="31"/>
  <c r="D365" i="31"/>
  <c r="D935" i="31"/>
  <c r="D482" i="31"/>
  <c r="D846" i="31"/>
  <c r="D136" i="31"/>
  <c r="D305" i="31"/>
  <c r="D880" i="31"/>
  <c r="D892" i="31"/>
  <c r="D398" i="31"/>
  <c r="D931" i="31"/>
  <c r="D1069" i="31"/>
  <c r="D200" i="31"/>
  <c r="D765" i="31"/>
  <c r="D231" i="31"/>
  <c r="D834" i="31"/>
  <c r="D600" i="31"/>
  <c r="D742" i="31"/>
  <c r="D980" i="31"/>
  <c r="D266" i="31"/>
  <c r="D446" i="31"/>
  <c r="D72" i="31"/>
  <c r="D447" i="31"/>
  <c r="D478" i="31"/>
  <c r="D546" i="31"/>
  <c r="D320" i="31"/>
  <c r="D605" i="31"/>
  <c r="D138" i="31"/>
  <c r="D1077" i="31"/>
  <c r="D82" i="31"/>
  <c r="D286" i="31"/>
  <c r="D306" i="31"/>
  <c r="D1022" i="31"/>
  <c r="D698" i="31"/>
  <c r="D790" i="31"/>
  <c r="D602" i="31"/>
  <c r="D1001" i="31"/>
  <c r="D711" i="31"/>
  <c r="D895" i="31"/>
  <c r="D29" i="31"/>
  <c r="D650" i="31"/>
  <c r="D246" i="31"/>
  <c r="D580" i="31"/>
  <c r="D888" i="31"/>
  <c r="D33" i="31"/>
  <c r="D882" i="31"/>
  <c r="D410" i="31"/>
  <c r="D177" i="31"/>
  <c r="D372" i="31"/>
  <c r="D380" i="31"/>
  <c r="D807" i="31"/>
  <c r="D467" i="31"/>
  <c r="D371" i="31"/>
  <c r="D725" i="31"/>
  <c r="D381" i="31"/>
  <c r="D295" i="31"/>
  <c r="D940" i="31"/>
  <c r="D538" i="31"/>
  <c r="D1033" i="31"/>
  <c r="D275" i="31"/>
  <c r="D793" i="31"/>
  <c r="D1108" i="31"/>
  <c r="D553" i="31"/>
  <c r="D195" i="31"/>
  <c r="D1040" i="31"/>
  <c r="D811" i="31"/>
  <c r="D648" i="31"/>
  <c r="D947" i="31"/>
  <c r="D289" i="31"/>
  <c r="D331" i="31"/>
  <c r="D345" i="31"/>
  <c r="D57" i="31"/>
  <c r="D217" i="31"/>
  <c r="D340" i="31"/>
  <c r="D801" i="31"/>
  <c r="D724" i="31"/>
  <c r="D379" i="31"/>
  <c r="D677" i="31"/>
  <c r="D445" i="31"/>
  <c r="D232" i="31"/>
  <c r="D19" i="31"/>
  <c r="D425" i="31"/>
  <c r="D103" i="31"/>
  <c r="D708" i="31"/>
  <c r="D827" i="31"/>
  <c r="D456" i="31"/>
  <c r="D718" i="31"/>
  <c r="D641" i="31"/>
  <c r="D1012" i="31"/>
  <c r="D686" i="31"/>
  <c r="D837" i="31"/>
  <c r="D1072" i="31"/>
  <c r="D575" i="31"/>
  <c r="D761" i="31"/>
  <c r="D16" i="31"/>
  <c r="D966" i="31"/>
  <c r="D1087" i="31"/>
  <c r="D743" i="31"/>
  <c r="D528" i="31"/>
  <c r="D960" i="31"/>
  <c r="D856" i="31"/>
  <c r="D797" i="31"/>
  <c r="D889" i="31"/>
  <c r="D1091" i="31"/>
  <c r="D436" i="31"/>
  <c r="D126" i="31"/>
  <c r="D455" i="31"/>
  <c r="D66" i="31"/>
  <c r="D87" i="31"/>
  <c r="D822" i="31"/>
  <c r="D1118" i="31"/>
  <c r="D121" i="31"/>
  <c r="D1058" i="31"/>
  <c r="D271" i="31"/>
  <c r="D394" i="31"/>
  <c r="D1065" i="31"/>
  <c r="D108" i="31"/>
  <c r="D197" i="31"/>
  <c r="D154" i="31"/>
  <c r="D873" i="31"/>
  <c r="D936" i="31"/>
  <c r="D780" i="31"/>
  <c r="D885" i="31"/>
  <c r="D404" i="31"/>
  <c r="D1046" i="31"/>
  <c r="D35" i="31"/>
  <c r="D362" i="31"/>
  <c r="D886" i="31"/>
  <c r="D1094" i="31"/>
  <c r="D1119" i="31"/>
  <c r="D727" i="31"/>
  <c r="D281" i="31"/>
  <c r="D577" i="31"/>
  <c r="D593" i="31"/>
  <c r="D1062" i="31"/>
  <c r="D166" i="31"/>
  <c r="D927" i="31"/>
  <c r="D1112" i="31"/>
  <c r="D554" i="31"/>
  <c r="D88" i="31"/>
  <c r="D1023" i="31"/>
  <c r="D1117" i="31"/>
  <c r="D417" i="31"/>
  <c r="D679" i="31"/>
  <c r="D994" i="31"/>
  <c r="D543" i="31"/>
  <c r="D1054" i="31"/>
  <c r="D56" i="31"/>
  <c r="D844" i="31"/>
  <c r="D1067" i="31"/>
  <c r="D563" i="31"/>
  <c r="D1025" i="31"/>
  <c r="D1120" i="31"/>
  <c r="D1080" i="31"/>
  <c r="D48" i="31"/>
  <c r="D22" i="31"/>
  <c r="D43" i="31"/>
  <c r="D329" i="31"/>
  <c r="D1048" i="31"/>
  <c r="D21" i="31"/>
  <c r="D12" i="31"/>
  <c r="D14" i="31"/>
  <c r="D93" i="31"/>
  <c r="D181" i="31"/>
  <c r="D501" i="31"/>
  <c r="D141" i="31"/>
  <c r="D479" i="31"/>
  <c r="D639" i="31"/>
  <c r="D89" i="31"/>
  <c r="D257" i="31"/>
  <c r="D1111" i="31"/>
  <c r="D855" i="31"/>
  <c r="D779" i="31"/>
  <c r="D265" i="31"/>
  <c r="D843" i="31"/>
  <c r="D81" i="31"/>
  <c r="D139" i="31"/>
  <c r="D49" i="31"/>
  <c r="D488" i="31"/>
  <c r="D349" i="31"/>
  <c r="D251" i="31"/>
  <c r="D144" i="31"/>
  <c r="D565" i="31"/>
  <c r="D34" i="31"/>
  <c r="D185" i="31"/>
  <c r="D498" i="31"/>
  <c r="D321" i="31"/>
  <c r="D402" i="31"/>
  <c r="D841" i="31"/>
  <c r="D599" i="31"/>
  <c r="D38" i="31"/>
  <c r="D588" i="31"/>
  <c r="D61" i="31"/>
  <c r="D715" i="31"/>
  <c r="D392" i="31"/>
  <c r="D1015" i="31"/>
  <c r="D221" i="31"/>
  <c r="D644" i="31"/>
  <c r="D413" i="31"/>
  <c r="D206" i="31"/>
  <c r="D50" i="31"/>
  <c r="D506" i="31"/>
  <c r="D681" i="31"/>
  <c r="D84" i="31"/>
  <c r="D963" i="31"/>
  <c r="D461" i="31"/>
  <c r="D476" i="31"/>
  <c r="D325" i="31"/>
  <c r="D897" i="31"/>
  <c r="D489" i="31"/>
  <c r="D162" i="31"/>
  <c r="D601" i="31"/>
  <c r="D24" i="31"/>
  <c r="D870" i="31"/>
  <c r="D919" i="31"/>
  <c r="D493" i="31"/>
  <c r="D1081" i="31"/>
  <c r="D263" i="31"/>
  <c r="D1088" i="31"/>
  <c r="D991" i="31"/>
  <c r="D570" i="31"/>
  <c r="D411" i="31"/>
  <c r="D208" i="31"/>
  <c r="D939" i="31"/>
  <c r="D18" i="31"/>
  <c r="D1050" i="31"/>
  <c r="D818" i="31"/>
  <c r="D615" i="31"/>
  <c r="D1099" i="31"/>
  <c r="D762" i="31"/>
  <c r="D500" i="31"/>
  <c r="D193" i="31"/>
  <c r="D707" i="31"/>
  <c r="D597" i="31"/>
  <c r="D831" i="31"/>
  <c r="D172" i="31"/>
  <c r="D904" i="31"/>
  <c r="D98" i="31"/>
  <c r="D1115" i="31"/>
  <c r="D1084" i="31"/>
  <c r="D23" i="31"/>
  <c r="D260" i="31"/>
  <c r="D608" i="31"/>
  <c r="D651" i="31"/>
  <c r="D17" i="31"/>
  <c r="D322" i="31"/>
  <c r="D47" i="31"/>
  <c r="D32" i="31"/>
  <c r="D236" i="31"/>
  <c r="D1014" i="31"/>
  <c r="D31" i="31"/>
  <c r="D1020" i="31"/>
  <c r="D135" i="31"/>
  <c r="D752" i="31"/>
  <c r="D1044" i="31"/>
  <c r="D703" i="31"/>
  <c r="D1028" i="31"/>
  <c r="D995" i="31"/>
  <c r="D944" i="31"/>
  <c r="D504" i="31"/>
  <c r="D360" i="31"/>
  <c r="D464" i="31"/>
  <c r="D894" i="31"/>
  <c r="D375" i="31"/>
  <c r="D224" i="31"/>
  <c r="D848" i="31"/>
  <c r="D363" i="31"/>
  <c r="D858" i="31"/>
  <c r="D776" i="31"/>
  <c r="D1035" i="31"/>
  <c r="D866" i="31"/>
  <c r="D845" i="31"/>
  <c r="D245" i="31"/>
  <c r="D884" i="31"/>
  <c r="D878" i="31"/>
  <c r="D347" i="31"/>
  <c r="D1121" i="31"/>
  <c r="D13" i="31"/>
  <c r="D712" i="31"/>
  <c r="D130" i="31"/>
  <c r="D973" i="31"/>
  <c r="D1083" i="31"/>
  <c r="D1109" i="31"/>
  <c r="D74" i="31"/>
  <c r="D78" i="31"/>
  <c r="D203" i="31"/>
  <c r="D109" i="31"/>
  <c r="D54" i="31"/>
  <c r="D458" i="31"/>
  <c r="D252" i="31"/>
  <c r="D1110" i="31"/>
  <c r="D422" i="31"/>
  <c r="D987" i="31"/>
  <c r="D1105" i="31"/>
  <c r="D249" i="31"/>
  <c r="D756" i="31"/>
  <c r="D1061" i="31"/>
  <c r="D1009" i="31"/>
  <c r="D716" i="31"/>
  <c r="D420" i="31"/>
  <c r="D748" i="31"/>
  <c r="D861" i="31"/>
  <c r="D786" i="31"/>
  <c r="D763" i="31"/>
  <c r="D1055" i="31"/>
  <c r="D1101" i="31"/>
  <c r="D341" i="31"/>
  <c r="D113" i="31"/>
  <c r="D1019" i="31"/>
  <c r="D134" i="31"/>
  <c r="D343" i="31"/>
  <c r="D395" i="31"/>
  <c r="D857" i="31"/>
  <c r="D1093" i="31"/>
  <c r="D1041" i="31"/>
  <c r="D51" i="31"/>
  <c r="D397" i="31"/>
  <c r="D42" i="31"/>
  <c r="D253" i="31"/>
  <c r="D674" i="31"/>
  <c r="D604" i="31"/>
  <c r="D1032" i="31"/>
  <c r="D374" i="31"/>
  <c r="D875" i="31"/>
  <c r="D731" i="31"/>
  <c r="D525" i="31"/>
  <c r="D1078" i="31"/>
  <c r="D750" i="31"/>
  <c r="D1000" i="31"/>
  <c r="D169" i="31"/>
  <c r="D859" i="31"/>
  <c r="D833" i="31"/>
  <c r="D959" i="31"/>
  <c r="D1045" i="31"/>
  <c r="D492" i="31"/>
  <c r="D595" i="31"/>
  <c r="D228" i="31"/>
  <c r="D671" i="31"/>
  <c r="D46" i="31"/>
  <c r="D153" i="31"/>
  <c r="D1097" i="31"/>
  <c r="D45" i="31"/>
  <c r="D240" i="31"/>
  <c r="D974" i="31"/>
  <c r="D516" i="31"/>
  <c r="D617" i="31"/>
  <c r="D79" i="31"/>
  <c r="D148" i="31"/>
  <c r="D1042" i="31"/>
  <c r="D531" i="31"/>
  <c r="D432" i="31"/>
  <c r="D339" i="31"/>
  <c r="D244" i="31"/>
  <c r="D1096" i="31"/>
  <c r="D1007" i="31"/>
  <c r="D734" i="31"/>
  <c r="D316" i="31"/>
  <c r="D280" i="31"/>
  <c r="D1082" i="31"/>
  <c r="D893" i="31"/>
  <c r="D721" i="31"/>
  <c r="D736" i="31"/>
  <c r="D579" i="31"/>
  <c r="D958" i="31"/>
  <c r="D191" i="31"/>
  <c r="D503" i="31"/>
  <c r="D167" i="31"/>
  <c r="D926" i="31"/>
  <c r="D614" i="31"/>
  <c r="D27" i="31"/>
  <c r="D279" i="31"/>
  <c r="D524" i="31"/>
  <c r="D971" i="31"/>
  <c r="D328" i="31"/>
  <c r="J23" i="27"/>
  <c r="R15" i="30"/>
  <c r="U15" i="30"/>
  <c r="U14" i="30"/>
  <c r="T14" i="30"/>
  <c r="S14" i="30"/>
  <c r="R14" i="30"/>
  <c r="U12" i="30"/>
  <c r="T12" i="30"/>
  <c r="U13" i="30"/>
  <c r="T13" i="30"/>
  <c r="S13" i="30"/>
  <c r="R13" i="30"/>
  <c r="G25" i="27"/>
  <c r="G24" i="27"/>
  <c r="G23" i="27"/>
  <c r="G22" i="27"/>
  <c r="G21" i="27"/>
  <c r="G20" i="27"/>
  <c r="G19" i="27"/>
  <c r="G18" i="27"/>
  <c r="G17" i="27"/>
  <c r="G16" i="27"/>
  <c r="I4" i="29"/>
  <c r="I5" i="29"/>
  <c r="I6" i="29"/>
  <c r="I7" i="29"/>
  <c r="I8" i="29"/>
  <c r="I9" i="29"/>
  <c r="I10" i="29"/>
  <c r="I11" i="29"/>
  <c r="I12" i="29"/>
  <c r="I13" i="29"/>
  <c r="I14" i="29"/>
  <c r="I15" i="29"/>
  <c r="I16" i="29"/>
  <c r="I17" i="29"/>
  <c r="I18" i="29"/>
  <c r="I19" i="29"/>
  <c r="I20" i="29"/>
  <c r="I21" i="29"/>
  <c r="I22" i="29"/>
  <c r="I23" i="29"/>
  <c r="I24" i="29"/>
  <c r="I25" i="29"/>
  <c r="I26" i="29"/>
  <c r="I27" i="29"/>
  <c r="I3" i="29"/>
  <c r="N3" i="29"/>
  <c r="D111" i="7"/>
  <c r="E111" i="7"/>
  <c r="F111" i="7"/>
  <c r="G111" i="7"/>
  <c r="H111" i="7"/>
  <c r="I111" i="7"/>
  <c r="J111" i="7"/>
  <c r="K111" i="7"/>
  <c r="L111" i="7"/>
  <c r="D112" i="7"/>
  <c r="E112" i="7"/>
  <c r="F112" i="7"/>
  <c r="G112" i="7"/>
  <c r="H112" i="7"/>
  <c r="I112" i="7"/>
  <c r="J112" i="7"/>
  <c r="K112" i="7"/>
  <c r="L112" i="7"/>
  <c r="D113" i="7"/>
  <c r="E113" i="7"/>
  <c r="F113" i="7"/>
  <c r="G113" i="7"/>
  <c r="H113" i="7"/>
  <c r="I113" i="7"/>
  <c r="J113" i="7"/>
  <c r="K113" i="7"/>
  <c r="L113" i="7"/>
  <c r="D114" i="7"/>
  <c r="E114" i="7"/>
  <c r="F114" i="7"/>
  <c r="G114" i="7"/>
  <c r="H114" i="7"/>
  <c r="I114" i="7"/>
  <c r="J114" i="7"/>
  <c r="K114" i="7"/>
  <c r="L114" i="7"/>
  <c r="D115" i="7"/>
  <c r="E115" i="7"/>
  <c r="F115" i="7"/>
  <c r="G115" i="7"/>
  <c r="H115" i="7"/>
  <c r="I115" i="7"/>
  <c r="J115" i="7"/>
  <c r="K115" i="7"/>
  <c r="L115" i="7"/>
  <c r="D116" i="7"/>
  <c r="E116" i="7"/>
  <c r="F116" i="7"/>
  <c r="G116" i="7"/>
  <c r="H116" i="7"/>
  <c r="I116" i="7"/>
  <c r="J116" i="7"/>
  <c r="K116" i="7"/>
  <c r="L116" i="7"/>
  <c r="D117" i="7"/>
  <c r="E117" i="7"/>
  <c r="F117" i="7"/>
  <c r="G117" i="7"/>
  <c r="H117" i="7"/>
  <c r="I117" i="7"/>
  <c r="J117" i="7"/>
  <c r="K117" i="7"/>
  <c r="L117" i="7"/>
  <c r="C112" i="7"/>
  <c r="C113" i="7"/>
  <c r="C114" i="7"/>
  <c r="C115" i="7"/>
  <c r="C116" i="7"/>
  <c r="C117" i="7"/>
  <c r="C111" i="7"/>
  <c r="D98" i="7"/>
  <c r="E98" i="7"/>
  <c r="F98" i="7"/>
  <c r="G98" i="7"/>
  <c r="H98" i="7"/>
  <c r="I98" i="7"/>
  <c r="J98" i="7"/>
  <c r="K98" i="7"/>
  <c r="L98" i="7"/>
  <c r="D99" i="7"/>
  <c r="E99" i="7"/>
  <c r="F99" i="7"/>
  <c r="G99" i="7"/>
  <c r="H99" i="7"/>
  <c r="I99" i="7"/>
  <c r="J99" i="7"/>
  <c r="K99" i="7"/>
  <c r="L99" i="7"/>
  <c r="D100" i="7"/>
  <c r="E100" i="7"/>
  <c r="F100" i="7"/>
  <c r="G100" i="7"/>
  <c r="H100" i="7"/>
  <c r="I100" i="7"/>
  <c r="J100" i="7"/>
  <c r="K100" i="7"/>
  <c r="L100" i="7"/>
  <c r="D101" i="7"/>
  <c r="E101" i="7"/>
  <c r="F101" i="7"/>
  <c r="G101" i="7"/>
  <c r="H101" i="7"/>
  <c r="I101" i="7"/>
  <c r="J101" i="7"/>
  <c r="K101" i="7"/>
  <c r="L101" i="7"/>
  <c r="D102" i="7"/>
  <c r="E102" i="7"/>
  <c r="F102" i="7"/>
  <c r="G102" i="7"/>
  <c r="H102" i="7"/>
  <c r="I102" i="7"/>
  <c r="J102" i="7"/>
  <c r="K102" i="7"/>
  <c r="L102" i="7"/>
  <c r="D103" i="7"/>
  <c r="E103" i="7"/>
  <c r="F103" i="7"/>
  <c r="G103" i="7"/>
  <c r="H103" i="7"/>
  <c r="I103" i="7"/>
  <c r="J103" i="7"/>
  <c r="K103" i="7"/>
  <c r="L103" i="7"/>
  <c r="D104" i="7"/>
  <c r="E104" i="7"/>
  <c r="F104" i="7"/>
  <c r="G104" i="7"/>
  <c r="H104" i="7"/>
  <c r="I104" i="7"/>
  <c r="J104" i="7"/>
  <c r="K104" i="7"/>
  <c r="L104" i="7"/>
  <c r="D105" i="7"/>
  <c r="E105" i="7"/>
  <c r="F105" i="7"/>
  <c r="G105" i="7"/>
  <c r="H105" i="7"/>
  <c r="I105" i="7"/>
  <c r="J105" i="7"/>
  <c r="K105" i="7"/>
  <c r="L105" i="7"/>
  <c r="D106" i="7"/>
  <c r="E106" i="7"/>
  <c r="F106" i="7"/>
  <c r="G106" i="7"/>
  <c r="H106" i="7"/>
  <c r="I106" i="7"/>
  <c r="J106" i="7"/>
  <c r="K106" i="7"/>
  <c r="L106" i="7"/>
  <c r="D107" i="7"/>
  <c r="E107" i="7"/>
  <c r="F107" i="7"/>
  <c r="G107" i="7"/>
  <c r="H107" i="7"/>
  <c r="I107" i="7"/>
  <c r="J107" i="7"/>
  <c r="K107" i="7"/>
  <c r="L107" i="7"/>
  <c r="D108" i="7"/>
  <c r="E108" i="7"/>
  <c r="F108" i="7"/>
  <c r="G108" i="7"/>
  <c r="H108" i="7"/>
  <c r="I108" i="7"/>
  <c r="J108" i="7"/>
  <c r="K108" i="7"/>
  <c r="L108" i="7"/>
  <c r="C99" i="7"/>
  <c r="C100" i="7"/>
  <c r="C101" i="7"/>
  <c r="C102" i="7"/>
  <c r="C103" i="7"/>
  <c r="C104" i="7"/>
  <c r="C105" i="7"/>
  <c r="C106" i="7"/>
  <c r="C107" i="7"/>
  <c r="C108" i="7"/>
  <c r="C98" i="7"/>
  <c r="C88" i="7"/>
  <c r="D88" i="7"/>
  <c r="E88" i="7"/>
  <c r="F88" i="7"/>
  <c r="G88" i="7"/>
  <c r="H88" i="7"/>
  <c r="I88" i="7"/>
  <c r="J88" i="7"/>
  <c r="K88" i="7"/>
  <c r="L88" i="7"/>
  <c r="C89" i="7"/>
  <c r="D89" i="7"/>
  <c r="E89" i="7"/>
  <c r="F89" i="7"/>
  <c r="G89" i="7"/>
  <c r="H89" i="7"/>
  <c r="I89" i="7"/>
  <c r="J89" i="7"/>
  <c r="K89" i="7"/>
  <c r="L89" i="7"/>
  <c r="C90" i="7"/>
  <c r="D90" i="7"/>
  <c r="E90" i="7"/>
  <c r="F90" i="7"/>
  <c r="G90" i="7"/>
  <c r="H90" i="7"/>
  <c r="I90" i="7"/>
  <c r="J90" i="7"/>
  <c r="K90" i="7"/>
  <c r="L90" i="7"/>
  <c r="C91" i="7"/>
  <c r="D91" i="7"/>
  <c r="E91" i="7"/>
  <c r="F91" i="7"/>
  <c r="G91" i="7"/>
  <c r="H91" i="7"/>
  <c r="I91" i="7"/>
  <c r="J91" i="7"/>
  <c r="K91" i="7"/>
  <c r="L91" i="7"/>
  <c r="C92" i="7"/>
  <c r="D92" i="7"/>
  <c r="E92" i="7"/>
  <c r="F92" i="7"/>
  <c r="G92" i="7"/>
  <c r="H92" i="7"/>
  <c r="I92" i="7"/>
  <c r="J92" i="7"/>
  <c r="K92" i="7"/>
  <c r="L92" i="7"/>
  <c r="C93" i="7"/>
  <c r="D93" i="7"/>
  <c r="E93" i="7"/>
  <c r="F93" i="7"/>
  <c r="G93" i="7"/>
  <c r="H93" i="7"/>
  <c r="I93" i="7"/>
  <c r="J93" i="7"/>
  <c r="K93" i="7"/>
  <c r="L93" i="7"/>
  <c r="C94" i="7"/>
  <c r="D94" i="7"/>
  <c r="E94" i="7"/>
  <c r="F94" i="7"/>
  <c r="G94" i="7"/>
  <c r="H94" i="7"/>
  <c r="I94" i="7"/>
  <c r="J94" i="7"/>
  <c r="K94" i="7"/>
  <c r="L94" i="7"/>
  <c r="C95" i="7"/>
  <c r="D95" i="7"/>
  <c r="E95" i="7"/>
  <c r="F95" i="7"/>
  <c r="G95" i="7"/>
  <c r="H95" i="7"/>
  <c r="I95" i="7"/>
  <c r="J95" i="7"/>
  <c r="K95" i="7"/>
  <c r="L95" i="7"/>
  <c r="D87" i="7"/>
  <c r="E87" i="7"/>
  <c r="F87" i="7"/>
  <c r="G87" i="7"/>
  <c r="H87" i="7"/>
  <c r="I87" i="7"/>
  <c r="J87" i="7"/>
  <c r="K87" i="7"/>
  <c r="L87" i="7"/>
  <c r="C87" i="7"/>
  <c r="I19" i="12"/>
  <c r="I18" i="12"/>
  <c r="I17" i="12"/>
  <c r="I16" i="12"/>
  <c r="H15" i="12"/>
  <c r="G15" i="12"/>
  <c r="C86" i="7" l="1"/>
  <c r="K63" i="33"/>
  <c r="K69" i="33" s="1"/>
  <c r="K75" i="33" s="1"/>
  <c r="G63" i="33"/>
  <c r="G69" i="33" s="1"/>
  <c r="G75" i="33" s="1"/>
  <c r="C63" i="33"/>
  <c r="C69" i="33" s="1"/>
  <c r="C75" i="33" s="1"/>
  <c r="F63" i="33"/>
  <c r="F69" i="33" s="1"/>
  <c r="F75" i="33" s="1"/>
  <c r="H63" i="33"/>
  <c r="H69" i="33" s="1"/>
  <c r="H75" i="33" s="1"/>
  <c r="I72" i="33"/>
  <c r="C72" i="33"/>
  <c r="H72" i="33"/>
  <c r="I63" i="33"/>
  <c r="I69" i="33" s="1"/>
  <c r="I75" i="33" s="1"/>
  <c r="E63" i="33"/>
  <c r="E69" i="33" s="1"/>
  <c r="E75" i="33" s="1"/>
  <c r="J63" i="33"/>
  <c r="J69" i="33" s="1"/>
  <c r="J75" i="33" s="1"/>
  <c r="D63" i="33"/>
  <c r="D69" i="33" s="1"/>
  <c r="D75" i="33" s="1"/>
  <c r="F72" i="33"/>
  <c r="H297" i="31"/>
  <c r="H14" i="31"/>
  <c r="H16" i="31"/>
  <c r="H18" i="31"/>
  <c r="H20" i="31"/>
  <c r="H22" i="31"/>
  <c r="H24" i="31"/>
  <c r="H26" i="31"/>
  <c r="H28" i="31"/>
  <c r="H30" i="31"/>
  <c r="H32" i="31"/>
  <c r="H34" i="31"/>
  <c r="H36" i="31"/>
  <c r="H38" i="31"/>
  <c r="H40" i="31"/>
  <c r="H42" i="31"/>
  <c r="H44" i="31"/>
  <c r="H46" i="31"/>
  <c r="H48" i="31"/>
  <c r="H50" i="31"/>
  <c r="H52" i="31"/>
  <c r="H54" i="31"/>
  <c r="H56" i="31"/>
  <c r="H58" i="31"/>
  <c r="H60" i="31"/>
  <c r="H62" i="31"/>
  <c r="H64" i="31"/>
  <c r="H66" i="31"/>
  <c r="H68" i="31"/>
  <c r="H70" i="31"/>
  <c r="H72" i="31"/>
  <c r="H74" i="31"/>
  <c r="H76" i="31"/>
  <c r="H78" i="31"/>
  <c r="H80" i="31"/>
  <c r="H82" i="31"/>
  <c r="H84" i="31"/>
  <c r="H86" i="31"/>
  <c r="H88" i="31"/>
  <c r="H90" i="31"/>
  <c r="H92" i="31"/>
  <c r="H94" i="31"/>
  <c r="H96" i="31"/>
  <c r="H98" i="31"/>
  <c r="H100" i="31"/>
  <c r="H102" i="31"/>
  <c r="H104" i="31"/>
  <c r="H106" i="31"/>
  <c r="H108" i="31"/>
  <c r="H110" i="31"/>
  <c r="H112" i="31"/>
  <c r="H114" i="31"/>
  <c r="H116" i="31"/>
  <c r="H118" i="31"/>
  <c r="H120" i="31"/>
  <c r="H122" i="31"/>
  <c r="H124" i="31"/>
  <c r="H126" i="31"/>
  <c r="H128" i="31"/>
  <c r="H130" i="31"/>
  <c r="H132" i="31"/>
  <c r="H134" i="31"/>
  <c r="H136" i="31"/>
  <c r="H138" i="31"/>
  <c r="H140" i="31"/>
  <c r="H142" i="31"/>
  <c r="H144" i="31"/>
  <c r="H146" i="31"/>
  <c r="H148" i="31"/>
  <c r="H150" i="31"/>
  <c r="H152" i="31"/>
  <c r="H154" i="31"/>
  <c r="H156" i="31"/>
  <c r="H158" i="31"/>
  <c r="H160" i="31"/>
  <c r="H162" i="31"/>
  <c r="H164" i="31"/>
  <c r="H166" i="31"/>
  <c r="H168" i="31"/>
  <c r="H170" i="31"/>
  <c r="H172" i="31"/>
  <c r="H174" i="31"/>
  <c r="H176" i="31"/>
  <c r="H178" i="31"/>
  <c r="H180" i="31"/>
  <c r="H182" i="31"/>
  <c r="H184" i="31"/>
  <c r="H186" i="31"/>
  <c r="H188" i="31"/>
  <c r="H190" i="31"/>
  <c r="H192" i="31"/>
  <c r="H194" i="31"/>
  <c r="H196" i="31"/>
  <c r="H198" i="31"/>
  <c r="H200" i="31"/>
  <c r="H202" i="31"/>
  <c r="H204" i="31"/>
  <c r="H206" i="31"/>
  <c r="H208" i="31"/>
  <c r="H210" i="31"/>
  <c r="H212" i="31"/>
  <c r="H214" i="31"/>
  <c r="H216" i="31"/>
  <c r="H218" i="31"/>
  <c r="H220" i="31"/>
  <c r="H222" i="31"/>
  <c r="H224" i="31"/>
  <c r="H226" i="31"/>
  <c r="H228" i="31"/>
  <c r="H230" i="31"/>
  <c r="H232" i="31"/>
  <c r="H234" i="31"/>
  <c r="H236" i="31"/>
  <c r="H238" i="31"/>
  <c r="H240" i="31"/>
  <c r="H242" i="31"/>
  <c r="H244" i="31"/>
  <c r="H246" i="31"/>
  <c r="H248" i="31"/>
  <c r="H250" i="31"/>
  <c r="H252" i="31"/>
  <c r="H254" i="31"/>
  <c r="H256" i="31"/>
  <c r="H258" i="31"/>
  <c r="H260" i="31"/>
  <c r="H262" i="31"/>
  <c r="H264" i="31"/>
  <c r="H266" i="31"/>
  <c r="H268" i="31"/>
  <c r="H270" i="31"/>
  <c r="H272" i="31"/>
  <c r="H274" i="31"/>
  <c r="H276" i="31"/>
  <c r="H278" i="31"/>
  <c r="H280" i="31"/>
  <c r="H282" i="31"/>
  <c r="H285" i="31"/>
  <c r="H289" i="31"/>
  <c r="H293" i="31"/>
  <c r="H1122" i="31"/>
  <c r="H1120" i="31"/>
  <c r="H1118" i="31"/>
  <c r="H1116" i="31"/>
  <c r="H1114" i="31"/>
  <c r="H1112" i="31"/>
  <c r="H1110" i="31"/>
  <c r="H1108" i="31"/>
  <c r="H1106" i="31"/>
  <c r="H1104" i="31"/>
  <c r="H1102" i="31"/>
  <c r="H1100" i="31"/>
  <c r="H1098" i="31"/>
  <c r="H1096" i="31"/>
  <c r="H1094" i="31"/>
  <c r="H1092" i="31"/>
  <c r="H1090" i="31"/>
  <c r="H1088" i="31"/>
  <c r="H1086" i="31"/>
  <c r="H1084" i="31"/>
  <c r="H1082" i="31"/>
  <c r="H1080" i="31"/>
  <c r="H1078" i="31"/>
  <c r="H1076" i="31"/>
  <c r="H1074" i="31"/>
  <c r="H1072" i="31"/>
  <c r="H1070" i="31"/>
  <c r="H1068" i="31"/>
  <c r="H1066" i="31"/>
  <c r="H1064" i="31"/>
  <c r="H1062" i="31"/>
  <c r="H1060" i="31"/>
  <c r="H1058" i="31"/>
  <c r="H1056" i="31"/>
  <c r="H1054" i="31"/>
  <c r="H1052" i="31"/>
  <c r="H1050" i="31"/>
  <c r="H1048" i="31"/>
  <c r="H1046" i="31"/>
  <c r="H1044" i="31"/>
  <c r="H1042" i="31"/>
  <c r="H1040" i="31"/>
  <c r="H1038" i="31"/>
  <c r="H1036" i="31"/>
  <c r="H1034" i="31"/>
  <c r="H1032" i="31"/>
  <c r="H1030" i="31"/>
  <c r="H1028" i="31"/>
  <c r="H1026" i="31"/>
  <c r="H1024" i="31"/>
  <c r="H1022" i="31"/>
  <c r="H1020" i="31"/>
  <c r="H1018" i="31"/>
  <c r="H1016" i="31"/>
  <c r="H1014" i="31"/>
  <c r="H1012" i="31"/>
  <c r="H1010" i="31"/>
  <c r="H1008" i="31"/>
  <c r="H1006" i="31"/>
  <c r="H1004" i="31"/>
  <c r="H1002" i="31"/>
  <c r="H1000" i="31"/>
  <c r="H998" i="31"/>
  <c r="H996" i="31"/>
  <c r="H994" i="31"/>
  <c r="H992" i="31"/>
  <c r="H990" i="31"/>
  <c r="H988" i="31"/>
  <c r="H986" i="31"/>
  <c r="H984" i="31"/>
  <c r="H982" i="31"/>
  <c r="H980" i="31"/>
  <c r="H978" i="31"/>
  <c r="H976" i="31"/>
  <c r="H974" i="31"/>
  <c r="H972" i="31"/>
  <c r="H970" i="31"/>
  <c r="H968" i="31"/>
  <c r="H966" i="31"/>
  <c r="H964" i="31"/>
  <c r="H962" i="31"/>
  <c r="H960" i="31"/>
  <c r="H958" i="31"/>
  <c r="H956" i="31"/>
  <c r="H1123" i="31"/>
  <c r="H1121" i="31"/>
  <c r="H1119" i="31"/>
  <c r="H1117" i="31"/>
  <c r="H1115" i="31"/>
  <c r="H1113" i="31"/>
  <c r="H1111" i="31"/>
  <c r="H1109" i="31"/>
  <c r="H1107" i="31"/>
  <c r="H1105" i="31"/>
  <c r="H1103" i="31"/>
  <c r="H1101" i="31"/>
  <c r="H1099" i="31"/>
  <c r="H1097" i="31"/>
  <c r="H1095" i="31"/>
  <c r="H1093" i="31"/>
  <c r="H1091" i="31"/>
  <c r="H1089" i="31"/>
  <c r="H1087" i="31"/>
  <c r="H1085" i="31"/>
  <c r="H1083" i="31"/>
  <c r="H1081" i="31"/>
  <c r="H1079" i="31"/>
  <c r="H1077" i="31"/>
  <c r="H1075" i="31"/>
  <c r="H1073" i="31"/>
  <c r="H1071" i="31"/>
  <c r="H1069" i="31"/>
  <c r="H1067" i="31"/>
  <c r="H1065" i="31"/>
  <c r="H1063" i="31"/>
  <c r="H1061" i="31"/>
  <c r="H1059" i="31"/>
  <c r="H1057" i="31"/>
  <c r="H1055" i="31"/>
  <c r="H1053" i="31"/>
  <c r="H1051" i="31"/>
  <c r="H1049" i="31"/>
  <c r="H1047" i="31"/>
  <c r="H1045" i="31"/>
  <c r="H1043" i="31"/>
  <c r="H1041" i="31"/>
  <c r="H1039" i="31"/>
  <c r="H1037" i="31"/>
  <c r="H1035" i="31"/>
  <c r="H1033" i="31"/>
  <c r="H1031" i="31"/>
  <c r="H1029" i="31"/>
  <c r="H1027" i="31"/>
  <c r="H1025" i="31"/>
  <c r="H1023" i="31"/>
  <c r="H1021" i="31"/>
  <c r="H1019" i="31"/>
  <c r="H1017" i="31"/>
  <c r="H1015" i="31"/>
  <c r="H1013" i="31"/>
  <c r="H1011" i="31"/>
  <c r="H1009" i="31"/>
  <c r="H1007" i="31"/>
  <c r="H1005" i="31"/>
  <c r="H1003" i="31"/>
  <c r="H1001" i="31"/>
  <c r="H999" i="31"/>
  <c r="H997" i="31"/>
  <c r="H995" i="31"/>
  <c r="H993" i="31"/>
  <c r="H991" i="31"/>
  <c r="H989" i="31"/>
  <c r="H987" i="31"/>
  <c r="H985" i="31"/>
  <c r="H983" i="31"/>
  <c r="H981" i="31"/>
  <c r="H979" i="31"/>
  <c r="H977" i="31"/>
  <c r="H975" i="31"/>
  <c r="H973" i="31"/>
  <c r="H971" i="31"/>
  <c r="H969" i="31"/>
  <c r="H967" i="31"/>
  <c r="H965" i="31"/>
  <c r="H963" i="31"/>
  <c r="H961" i="31"/>
  <c r="H959" i="31"/>
  <c r="H957" i="31"/>
  <c r="H955" i="31"/>
  <c r="H954" i="31"/>
  <c r="H952" i="31"/>
  <c r="H950" i="31"/>
  <c r="H948" i="31"/>
  <c r="H946" i="31"/>
  <c r="H944" i="31"/>
  <c r="H942" i="31"/>
  <c r="H940" i="31"/>
  <c r="H938" i="31"/>
  <c r="H936" i="31"/>
  <c r="H934" i="31"/>
  <c r="H932" i="31"/>
  <c r="H930" i="31"/>
  <c r="H928" i="31"/>
  <c r="H926" i="31"/>
  <c r="H924" i="31"/>
  <c r="H922" i="31"/>
  <c r="H920" i="31"/>
  <c r="H918" i="31"/>
  <c r="H916" i="31"/>
  <c r="H914" i="31"/>
  <c r="H912" i="31"/>
  <c r="H910" i="31"/>
  <c r="H908" i="31"/>
  <c r="H906" i="31"/>
  <c r="H904" i="31"/>
  <c r="H902" i="31"/>
  <c r="H900" i="31"/>
  <c r="H898" i="31"/>
  <c r="H896" i="31"/>
  <c r="H894" i="31"/>
  <c r="H892" i="31"/>
  <c r="H890" i="31"/>
  <c r="H888" i="31"/>
  <c r="H886" i="31"/>
  <c r="H884" i="31"/>
  <c r="H882" i="31"/>
  <c r="H880" i="31"/>
  <c r="H878" i="31"/>
  <c r="H876" i="31"/>
  <c r="H874" i="31"/>
  <c r="H872" i="31"/>
  <c r="H870" i="31"/>
  <c r="H868" i="31"/>
  <c r="H866" i="31"/>
  <c r="H864" i="31"/>
  <c r="H862" i="31"/>
  <c r="H860" i="31"/>
  <c r="H858" i="31"/>
  <c r="H856" i="31"/>
  <c r="H854" i="31"/>
  <c r="H852" i="31"/>
  <c r="H850" i="31"/>
  <c r="H848" i="31"/>
  <c r="H846" i="31"/>
  <c r="H844" i="31"/>
  <c r="H842" i="31"/>
  <c r="H840" i="31"/>
  <c r="H838" i="31"/>
  <c r="H836" i="31"/>
  <c r="H834" i="31"/>
  <c r="H832" i="31"/>
  <c r="H830" i="31"/>
  <c r="H828" i="31"/>
  <c r="H826" i="31"/>
  <c r="H824" i="31"/>
  <c r="H822" i="31"/>
  <c r="H820" i="31"/>
  <c r="H818" i="31"/>
  <c r="H816" i="31"/>
  <c r="H814" i="31"/>
  <c r="H812" i="31"/>
  <c r="H810" i="31"/>
  <c r="H808" i="31"/>
  <c r="H806" i="31"/>
  <c r="H804" i="31"/>
  <c r="H802" i="31"/>
  <c r="H800" i="31"/>
  <c r="H798" i="31"/>
  <c r="H796" i="31"/>
  <c r="H794" i="31"/>
  <c r="H792" i="31"/>
  <c r="H790" i="31"/>
  <c r="H788" i="31"/>
  <c r="H786" i="31"/>
  <c r="H784" i="31"/>
  <c r="H782" i="31"/>
  <c r="H780" i="31"/>
  <c r="H778" i="31"/>
  <c r="H776" i="31"/>
  <c r="H774" i="31"/>
  <c r="H772" i="31"/>
  <c r="H770" i="31"/>
  <c r="H768" i="31"/>
  <c r="H766" i="31"/>
  <c r="H764" i="31"/>
  <c r="H762" i="31"/>
  <c r="H760" i="31"/>
  <c r="H758" i="31"/>
  <c r="H756" i="31"/>
  <c r="H754" i="31"/>
  <c r="H752" i="31"/>
  <c r="H750" i="31"/>
  <c r="H748" i="31"/>
  <c r="H746" i="31"/>
  <c r="H744" i="31"/>
  <c r="H742" i="31"/>
  <c r="H740" i="31"/>
  <c r="H738" i="31"/>
  <c r="H736" i="31"/>
  <c r="H734" i="31"/>
  <c r="H732" i="31"/>
  <c r="H730" i="31"/>
  <c r="H728" i="31"/>
  <c r="H726" i="31"/>
  <c r="H724" i="31"/>
  <c r="H722" i="31"/>
  <c r="H720" i="31"/>
  <c r="H718" i="31"/>
  <c r="H716" i="31"/>
  <c r="H714" i="31"/>
  <c r="H712" i="31"/>
  <c r="H710" i="31"/>
  <c r="H708" i="31"/>
  <c r="H706" i="31"/>
  <c r="H704" i="31"/>
  <c r="H702" i="31"/>
  <c r="H700" i="31"/>
  <c r="H698" i="31"/>
  <c r="H696" i="31"/>
  <c r="H694" i="31"/>
  <c r="H692" i="31"/>
  <c r="H690" i="31"/>
  <c r="H688" i="31"/>
  <c r="H686" i="31"/>
  <c r="H684" i="31"/>
  <c r="H682" i="31"/>
  <c r="H680" i="31"/>
  <c r="H678" i="31"/>
  <c r="H676" i="31"/>
  <c r="H674" i="31"/>
  <c r="H672" i="31"/>
  <c r="H670" i="31"/>
  <c r="H668" i="31"/>
  <c r="H666" i="31"/>
  <c r="H664" i="31"/>
  <c r="H662" i="31"/>
  <c r="H660" i="31"/>
  <c r="H658" i="31"/>
  <c r="H656" i="31"/>
  <c r="H654" i="31"/>
  <c r="H652" i="31"/>
  <c r="H650" i="31"/>
  <c r="H648" i="31"/>
  <c r="H646" i="31"/>
  <c r="H644" i="31"/>
  <c r="H642" i="31"/>
  <c r="H640" i="31"/>
  <c r="H638" i="31"/>
  <c r="H636" i="31"/>
  <c r="H634" i="31"/>
  <c r="H632" i="31"/>
  <c r="H630" i="31"/>
  <c r="H628" i="31"/>
  <c r="H626" i="31"/>
  <c r="H624" i="31"/>
  <c r="H622" i="31"/>
  <c r="H620" i="31"/>
  <c r="H618" i="31"/>
  <c r="H616" i="31"/>
  <c r="H953" i="31"/>
  <c r="H951" i="31"/>
  <c r="H949" i="31"/>
  <c r="H947" i="31"/>
  <c r="H945" i="31"/>
  <c r="H943" i="31"/>
  <c r="H941" i="31"/>
  <c r="H939" i="31"/>
  <c r="H937" i="31"/>
  <c r="H935" i="31"/>
  <c r="H933" i="31"/>
  <c r="H931" i="31"/>
  <c r="H929" i="31"/>
  <c r="H927" i="31"/>
  <c r="H925" i="31"/>
  <c r="H923" i="31"/>
  <c r="H921" i="31"/>
  <c r="H919" i="31"/>
  <c r="H917" i="31"/>
  <c r="H915" i="31"/>
  <c r="H913" i="31"/>
  <c r="H911" i="31"/>
  <c r="H909" i="31"/>
  <c r="H907" i="31"/>
  <c r="H905" i="31"/>
  <c r="H903" i="31"/>
  <c r="H901" i="31"/>
  <c r="H899" i="31"/>
  <c r="H897" i="31"/>
  <c r="H895" i="31"/>
  <c r="H893" i="31"/>
  <c r="H891" i="31"/>
  <c r="H889" i="31"/>
  <c r="H887" i="31"/>
  <c r="H885" i="31"/>
  <c r="H883" i="31"/>
  <c r="H881" i="31"/>
  <c r="H879" i="31"/>
  <c r="H877" i="31"/>
  <c r="H875" i="31"/>
  <c r="H873" i="31"/>
  <c r="H871" i="31"/>
  <c r="H869" i="31"/>
  <c r="H867" i="31"/>
  <c r="H865" i="31"/>
  <c r="H863" i="31"/>
  <c r="H861" i="31"/>
  <c r="H859" i="31"/>
  <c r="H857" i="31"/>
  <c r="H855" i="31"/>
  <c r="H853" i="31"/>
  <c r="H851" i="31"/>
  <c r="H849" i="31"/>
  <c r="H847" i="31"/>
  <c r="H845" i="31"/>
  <c r="H843" i="31"/>
  <c r="H841" i="31"/>
  <c r="H839" i="31"/>
  <c r="H837" i="31"/>
  <c r="H835" i="31"/>
  <c r="H833" i="31"/>
  <c r="H831" i="31"/>
  <c r="H829" i="31"/>
  <c r="H827" i="31"/>
  <c r="H825" i="31"/>
  <c r="H823" i="31"/>
  <c r="H821" i="31"/>
  <c r="H819" i="31"/>
  <c r="H817" i="31"/>
  <c r="H815" i="31"/>
  <c r="H813" i="31"/>
  <c r="H811" i="31"/>
  <c r="H809" i="31"/>
  <c r="H807" i="31"/>
  <c r="H805" i="31"/>
  <c r="H803" i="31"/>
  <c r="H801" i="31"/>
  <c r="H799" i="31"/>
  <c r="H797" i="31"/>
  <c r="H795" i="31"/>
  <c r="H793" i="31"/>
  <c r="H791" i="31"/>
  <c r="H789" i="31"/>
  <c r="H787" i="31"/>
  <c r="H785" i="31"/>
  <c r="H783" i="31"/>
  <c r="H781" i="31"/>
  <c r="H779" i="31"/>
  <c r="H777" i="31"/>
  <c r="H775" i="31"/>
  <c r="H773" i="31"/>
  <c r="H771" i="31"/>
  <c r="H769" i="31"/>
  <c r="H767" i="31"/>
  <c r="H765" i="31"/>
  <c r="H763" i="31"/>
  <c r="H761" i="31"/>
  <c r="H759" i="31"/>
  <c r="H757" i="31"/>
  <c r="H755" i="31"/>
  <c r="H753" i="31"/>
  <c r="H751" i="31"/>
  <c r="H749" i="31"/>
  <c r="H747" i="31"/>
  <c r="H745" i="31"/>
  <c r="H743" i="31"/>
  <c r="H741" i="31"/>
  <c r="H739" i="31"/>
  <c r="H737" i="31"/>
  <c r="H735" i="31"/>
  <c r="H733" i="31"/>
  <c r="H731" i="31"/>
  <c r="H729" i="31"/>
  <c r="H727" i="31"/>
  <c r="H725" i="31"/>
  <c r="H723" i="31"/>
  <c r="H721" i="31"/>
  <c r="H719" i="31"/>
  <c r="H717" i="31"/>
  <c r="H715" i="31"/>
  <c r="H713" i="31"/>
  <c r="H711" i="31"/>
  <c r="H709" i="31"/>
  <c r="H707" i="31"/>
  <c r="H705" i="31"/>
  <c r="H703" i="31"/>
  <c r="H701" i="31"/>
  <c r="H699" i="31"/>
  <c r="H697" i="31"/>
  <c r="H695" i="31"/>
  <c r="H693" i="31"/>
  <c r="H691" i="31"/>
  <c r="H689" i="31"/>
  <c r="H687" i="31"/>
  <c r="H685" i="31"/>
  <c r="H683" i="31"/>
  <c r="H681" i="31"/>
  <c r="H679" i="31"/>
  <c r="H677" i="31"/>
  <c r="H675" i="31"/>
  <c r="H673" i="31"/>
  <c r="H671" i="31"/>
  <c r="H669" i="31"/>
  <c r="H667" i="31"/>
  <c r="H665" i="31"/>
  <c r="H663" i="31"/>
  <c r="H661" i="31"/>
  <c r="H659" i="31"/>
  <c r="H657" i="31"/>
  <c r="H655" i="31"/>
  <c r="H653" i="31"/>
  <c r="H651" i="31"/>
  <c r="H649" i="31"/>
  <c r="H647" i="31"/>
  <c r="H645" i="31"/>
  <c r="H643" i="31"/>
  <c r="H641" i="31"/>
  <c r="H639" i="31"/>
  <c r="H637" i="31"/>
  <c r="H635" i="31"/>
  <c r="H633" i="31"/>
  <c r="H631" i="31"/>
  <c r="H627" i="31"/>
  <c r="H623" i="31"/>
  <c r="H619" i="31"/>
  <c r="H615" i="31"/>
  <c r="H613" i="31"/>
  <c r="H611" i="31"/>
  <c r="H609" i="31"/>
  <c r="H607" i="31"/>
  <c r="H605" i="31"/>
  <c r="H603" i="31"/>
  <c r="H601" i="31"/>
  <c r="H599" i="31"/>
  <c r="H597" i="31"/>
  <c r="H595" i="31"/>
  <c r="H593" i="31"/>
  <c r="H591" i="31"/>
  <c r="H589" i="31"/>
  <c r="H587" i="31"/>
  <c r="H585" i="31"/>
  <c r="H583" i="31"/>
  <c r="H581" i="31"/>
  <c r="H579" i="31"/>
  <c r="H577" i="31"/>
  <c r="H575" i="31"/>
  <c r="H573" i="31"/>
  <c r="H571" i="31"/>
  <c r="H569" i="31"/>
  <c r="H567" i="31"/>
  <c r="H565" i="31"/>
  <c r="H563" i="31"/>
  <c r="H561" i="31"/>
  <c r="H559" i="31"/>
  <c r="H557" i="31"/>
  <c r="H555" i="31"/>
  <c r="H553" i="31"/>
  <c r="H551" i="31"/>
  <c r="H549" i="31"/>
  <c r="H547" i="31"/>
  <c r="H545" i="31"/>
  <c r="H543" i="31"/>
  <c r="H541" i="31"/>
  <c r="H539" i="31"/>
  <c r="H537" i="31"/>
  <c r="H535" i="31"/>
  <c r="H533" i="31"/>
  <c r="H531" i="31"/>
  <c r="H529" i="31"/>
  <c r="H527" i="31"/>
  <c r="H525" i="31"/>
  <c r="H523" i="31"/>
  <c r="H521" i="31"/>
  <c r="H519" i="31"/>
  <c r="H517" i="31"/>
  <c r="H515" i="31"/>
  <c r="H513" i="31"/>
  <c r="H511" i="31"/>
  <c r="H509" i="31"/>
  <c r="H507" i="31"/>
  <c r="H505" i="31"/>
  <c r="H503" i="31"/>
  <c r="H501" i="31"/>
  <c r="H499" i="31"/>
  <c r="H497" i="31"/>
  <c r="H495" i="31"/>
  <c r="H493" i="31"/>
  <c r="H491" i="31"/>
  <c r="H489" i="31"/>
  <c r="H487" i="31"/>
  <c r="H485" i="31"/>
  <c r="H483" i="31"/>
  <c r="H481" i="31"/>
  <c r="H479" i="31"/>
  <c r="H477" i="31"/>
  <c r="H475" i="31"/>
  <c r="H473" i="31"/>
  <c r="H471" i="31"/>
  <c r="H469" i="31"/>
  <c r="H467" i="31"/>
  <c r="H465" i="31"/>
  <c r="H463" i="31"/>
  <c r="H461" i="31"/>
  <c r="H459" i="31"/>
  <c r="H457" i="31"/>
  <c r="H455" i="31"/>
  <c r="H453" i="31"/>
  <c r="H451" i="31"/>
  <c r="H449" i="31"/>
  <c r="H447" i="31"/>
  <c r="H445" i="31"/>
  <c r="H443" i="31"/>
  <c r="H441" i="31"/>
  <c r="H439" i="31"/>
  <c r="H437" i="31"/>
  <c r="H435" i="31"/>
  <c r="H433" i="31"/>
  <c r="H431" i="31"/>
  <c r="H429" i="31"/>
  <c r="H427" i="31"/>
  <c r="H425" i="31"/>
  <c r="H423" i="31"/>
  <c r="H421" i="31"/>
  <c r="H419" i="31"/>
  <c r="H417" i="31"/>
  <c r="H415" i="31"/>
  <c r="H413" i="31"/>
  <c r="H411" i="31"/>
  <c r="H409" i="31"/>
  <c r="H407" i="31"/>
  <c r="H405" i="31"/>
  <c r="H403" i="31"/>
  <c r="H401" i="31"/>
  <c r="H399" i="31"/>
  <c r="H397" i="31"/>
  <c r="H395" i="31"/>
  <c r="H393" i="31"/>
  <c r="H391" i="31"/>
  <c r="H389" i="31"/>
  <c r="H387" i="31"/>
  <c r="H385" i="31"/>
  <c r="H383" i="31"/>
  <c r="H381" i="31"/>
  <c r="H379" i="31"/>
  <c r="H377" i="31"/>
  <c r="H375" i="31"/>
  <c r="H373" i="31"/>
  <c r="H371" i="31"/>
  <c r="H369" i="31"/>
  <c r="H367" i="31"/>
  <c r="H365" i="31"/>
  <c r="H363" i="31"/>
  <c r="H361" i="31"/>
  <c r="H359" i="31"/>
  <c r="H357" i="31"/>
  <c r="H355" i="31"/>
  <c r="H353" i="31"/>
  <c r="H351" i="31"/>
  <c r="H349" i="31"/>
  <c r="H347" i="31"/>
  <c r="H345" i="31"/>
  <c r="H343" i="31"/>
  <c r="H341" i="31"/>
  <c r="H339" i="31"/>
  <c r="H337" i="31"/>
  <c r="H335" i="31"/>
  <c r="H333" i="31"/>
  <c r="H331" i="31"/>
  <c r="H329" i="31"/>
  <c r="H327" i="31"/>
  <c r="H325" i="31"/>
  <c r="H323" i="31"/>
  <c r="H321" i="31"/>
  <c r="H319" i="31"/>
  <c r="H317" i="31"/>
  <c r="H315" i="31"/>
  <c r="H313" i="31"/>
  <c r="H311" i="31"/>
  <c r="H309" i="31"/>
  <c r="H307" i="31"/>
  <c r="H305" i="31"/>
  <c r="H303" i="31"/>
  <c r="H301" i="31"/>
  <c r="H629" i="31"/>
  <c r="H625" i="31"/>
  <c r="H621" i="31"/>
  <c r="H617" i="31"/>
  <c r="H614" i="31"/>
  <c r="H612" i="31"/>
  <c r="H610" i="31"/>
  <c r="H608" i="31"/>
  <c r="H606" i="31"/>
  <c r="H604" i="31"/>
  <c r="H602" i="31"/>
  <c r="H600" i="31"/>
  <c r="H598" i="31"/>
  <c r="H596" i="31"/>
  <c r="H594" i="31"/>
  <c r="H592" i="31"/>
  <c r="H590" i="31"/>
  <c r="H588" i="31"/>
  <c r="H586" i="31"/>
  <c r="H584" i="31"/>
  <c r="H582" i="31"/>
  <c r="H580" i="31"/>
  <c r="H578" i="31"/>
  <c r="H576" i="31"/>
  <c r="H574" i="31"/>
  <c r="H572" i="31"/>
  <c r="H570" i="31"/>
  <c r="H568" i="31"/>
  <c r="H566" i="31"/>
  <c r="H564" i="31"/>
  <c r="H562" i="31"/>
  <c r="H560" i="31"/>
  <c r="H558" i="31"/>
  <c r="H556" i="31"/>
  <c r="H554" i="31"/>
  <c r="H552" i="31"/>
  <c r="H550" i="31"/>
  <c r="H548" i="31"/>
  <c r="H546" i="31"/>
  <c r="H544" i="31"/>
  <c r="H542" i="31"/>
  <c r="H540" i="31"/>
  <c r="H538" i="31"/>
  <c r="H536" i="31"/>
  <c r="H534" i="31"/>
  <c r="H532" i="31"/>
  <c r="H530" i="31"/>
  <c r="H528" i="31"/>
  <c r="H526" i="31"/>
  <c r="H524" i="31"/>
  <c r="H522" i="31"/>
  <c r="H520" i="31"/>
  <c r="H518" i="31"/>
  <c r="H516" i="31"/>
  <c r="H514" i="31"/>
  <c r="H512" i="31"/>
  <c r="H510" i="31"/>
  <c r="H508" i="31"/>
  <c r="H506" i="31"/>
  <c r="H504" i="31"/>
  <c r="H502" i="31"/>
  <c r="H500" i="31"/>
  <c r="H498" i="31"/>
  <c r="H496" i="31"/>
  <c r="H494" i="31"/>
  <c r="H492" i="31"/>
  <c r="H490" i="31"/>
  <c r="H488" i="31"/>
  <c r="H486" i="31"/>
  <c r="H484" i="31"/>
  <c r="H482" i="31"/>
  <c r="H480" i="31"/>
  <c r="H478" i="31"/>
  <c r="H476" i="31"/>
  <c r="H474" i="31"/>
  <c r="H472" i="31"/>
  <c r="H470" i="31"/>
  <c r="H468" i="31"/>
  <c r="H466" i="31"/>
  <c r="H464" i="31"/>
  <c r="H462" i="31"/>
  <c r="H460" i="31"/>
  <c r="H458" i="31"/>
  <c r="H456" i="31"/>
  <c r="H454" i="31"/>
  <c r="H452" i="31"/>
  <c r="H450" i="31"/>
  <c r="H448" i="31"/>
  <c r="H446" i="31"/>
  <c r="H444" i="31"/>
  <c r="H442" i="31"/>
  <c r="H440" i="31"/>
  <c r="H438" i="31"/>
  <c r="H436" i="31"/>
  <c r="H434" i="31"/>
  <c r="H432" i="31"/>
  <c r="H430" i="31"/>
  <c r="H428" i="31"/>
  <c r="H426" i="31"/>
  <c r="H424" i="31"/>
  <c r="H422" i="31"/>
  <c r="H420" i="31"/>
  <c r="H418" i="31"/>
  <c r="H416" i="31"/>
  <c r="H414" i="31"/>
  <c r="H412" i="31"/>
  <c r="H410" i="31"/>
  <c r="H408" i="31"/>
  <c r="H406" i="31"/>
  <c r="H404" i="31"/>
  <c r="H402" i="31"/>
  <c r="H400" i="31"/>
  <c r="H398" i="31"/>
  <c r="H396" i="31"/>
  <c r="H394" i="31"/>
  <c r="H392" i="31"/>
  <c r="H390" i="31"/>
  <c r="H388" i="31"/>
  <c r="H386" i="31"/>
  <c r="H384" i="31"/>
  <c r="H382" i="31"/>
  <c r="H380" i="31"/>
  <c r="H378" i="31"/>
  <c r="H376" i="31"/>
  <c r="H374" i="31"/>
  <c r="H372" i="31"/>
  <c r="H370" i="31"/>
  <c r="H368" i="31"/>
  <c r="H366" i="31"/>
  <c r="H364" i="31"/>
  <c r="H362" i="31"/>
  <c r="H360" i="31"/>
  <c r="H358" i="31"/>
  <c r="H356" i="31"/>
  <c r="H354" i="31"/>
  <c r="H352" i="31"/>
  <c r="H350" i="31"/>
  <c r="H348" i="31"/>
  <c r="H346" i="31"/>
  <c r="H344" i="31"/>
  <c r="H342" i="31"/>
  <c r="H340" i="31"/>
  <c r="H338" i="31"/>
  <c r="H336" i="31"/>
  <c r="H334" i="31"/>
  <c r="H332" i="31"/>
  <c r="H330" i="31"/>
  <c r="H328" i="31"/>
  <c r="H326" i="31"/>
  <c r="H324" i="31"/>
  <c r="H322" i="31"/>
  <c r="H320" i="31"/>
  <c r="H318" i="31"/>
  <c r="H316" i="31"/>
  <c r="H314" i="31"/>
  <c r="H312" i="31"/>
  <c r="H310" i="31"/>
  <c r="H308" i="31"/>
  <c r="H306" i="31"/>
  <c r="H304" i="31"/>
  <c r="H302" i="31"/>
  <c r="H300" i="31"/>
  <c r="H298" i="31"/>
  <c r="H296" i="31"/>
  <c r="H294" i="31"/>
  <c r="H292" i="31"/>
  <c r="H290" i="31"/>
  <c r="H288" i="31"/>
  <c r="H286" i="31"/>
  <c r="H284" i="31"/>
  <c r="H13" i="31"/>
  <c r="H15" i="31"/>
  <c r="H17" i="31"/>
  <c r="H19" i="31"/>
  <c r="H21" i="31"/>
  <c r="H23" i="31"/>
  <c r="H25" i="31"/>
  <c r="H27" i="31"/>
  <c r="H29" i="31"/>
  <c r="H31" i="31"/>
  <c r="H33" i="31"/>
  <c r="H35" i="31"/>
  <c r="H37" i="31"/>
  <c r="H39" i="31"/>
  <c r="H41" i="31"/>
  <c r="H43" i="31"/>
  <c r="H45" i="31"/>
  <c r="H47" i="31"/>
  <c r="H49" i="31"/>
  <c r="H51" i="31"/>
  <c r="H53" i="31"/>
  <c r="H55" i="31"/>
  <c r="H57" i="31"/>
  <c r="H59" i="31"/>
  <c r="H61" i="31"/>
  <c r="H63" i="31"/>
  <c r="H65" i="31"/>
  <c r="H67" i="31"/>
  <c r="H69" i="31"/>
  <c r="H71" i="31"/>
  <c r="H73" i="31"/>
  <c r="H75" i="31"/>
  <c r="H77" i="31"/>
  <c r="H79" i="31"/>
  <c r="H81" i="31"/>
  <c r="H83" i="31"/>
  <c r="H85" i="31"/>
  <c r="H87" i="31"/>
  <c r="H89" i="31"/>
  <c r="H91" i="31"/>
  <c r="H93" i="31"/>
  <c r="H95" i="31"/>
  <c r="H97" i="31"/>
  <c r="H99" i="31"/>
  <c r="H101" i="31"/>
  <c r="H103" i="31"/>
  <c r="H105" i="31"/>
  <c r="H107" i="31"/>
  <c r="H109" i="31"/>
  <c r="H111" i="31"/>
  <c r="H113" i="31"/>
  <c r="H115" i="31"/>
  <c r="H117" i="31"/>
  <c r="H119" i="31"/>
  <c r="H121" i="31"/>
  <c r="H123" i="31"/>
  <c r="H125" i="31"/>
  <c r="H127" i="31"/>
  <c r="H129" i="31"/>
  <c r="H131" i="31"/>
  <c r="H133" i="31"/>
  <c r="H135" i="31"/>
  <c r="H137" i="31"/>
  <c r="H139" i="31"/>
  <c r="H141" i="31"/>
  <c r="H143" i="31"/>
  <c r="H145" i="31"/>
  <c r="H147" i="31"/>
  <c r="H149" i="31"/>
  <c r="H151" i="31"/>
  <c r="H153" i="31"/>
  <c r="H155" i="31"/>
  <c r="H157" i="31"/>
  <c r="H159" i="31"/>
  <c r="H161" i="31"/>
  <c r="H163" i="31"/>
  <c r="H165" i="31"/>
  <c r="H167" i="31"/>
  <c r="H169" i="31"/>
  <c r="H171" i="31"/>
  <c r="H173" i="31"/>
  <c r="H175" i="31"/>
  <c r="H177" i="31"/>
  <c r="H179" i="31"/>
  <c r="H181" i="31"/>
  <c r="H183" i="31"/>
  <c r="H185" i="31"/>
  <c r="H187" i="31"/>
  <c r="H189" i="31"/>
  <c r="H191" i="31"/>
  <c r="H193" i="31"/>
  <c r="H195" i="31"/>
  <c r="H197" i="31"/>
  <c r="H199" i="31"/>
  <c r="H201" i="31"/>
  <c r="H203" i="31"/>
  <c r="H205" i="31"/>
  <c r="H207" i="31"/>
  <c r="H209" i="31"/>
  <c r="H211" i="31"/>
  <c r="H213" i="31"/>
  <c r="H215" i="31"/>
  <c r="H217" i="31"/>
  <c r="H219" i="31"/>
  <c r="H221" i="31"/>
  <c r="H223" i="31"/>
  <c r="H225" i="31"/>
  <c r="H227" i="31"/>
  <c r="H229" i="31"/>
  <c r="H231" i="31"/>
  <c r="H233" i="31"/>
  <c r="H235" i="31"/>
  <c r="H237" i="31"/>
  <c r="H239" i="31"/>
  <c r="H241" i="31"/>
  <c r="H243" i="31"/>
  <c r="H245" i="31"/>
  <c r="H247" i="31"/>
  <c r="H249" i="31"/>
  <c r="H251" i="31"/>
  <c r="H253" i="31"/>
  <c r="H255" i="31"/>
  <c r="H257" i="31"/>
  <c r="H259" i="31"/>
  <c r="H261" i="31"/>
  <c r="H263" i="31"/>
  <c r="H265" i="31"/>
  <c r="H267" i="31"/>
  <c r="H269" i="31"/>
  <c r="H271" i="31"/>
  <c r="H273" i="31"/>
  <c r="H275" i="31"/>
  <c r="H277" i="31"/>
  <c r="H279" i="31"/>
  <c r="H281" i="31"/>
  <c r="H283" i="31"/>
  <c r="H287" i="31"/>
  <c r="H291" i="31"/>
  <c r="H295" i="31"/>
  <c r="H299" i="31"/>
  <c r="N22" i="31" l="1"/>
  <c r="N21" i="31"/>
  <c r="B10" i="33"/>
  <c r="B10" i="11"/>
  <c r="K72" i="33"/>
  <c r="E72" i="33"/>
  <c r="G72" i="33"/>
  <c r="L28" i="31"/>
  <c r="M28" i="31" s="1"/>
  <c r="N28" i="31" s="1"/>
  <c r="L29" i="31"/>
  <c r="M29" i="31" s="1"/>
  <c r="N29" i="31" s="1"/>
  <c r="L30" i="31"/>
  <c r="M30" i="31" s="1"/>
  <c r="N30" i="31" s="1"/>
  <c r="N23" i="31"/>
  <c r="N24" i="31"/>
  <c r="L31" i="31"/>
  <c r="M31" i="31" s="1"/>
  <c r="N31" i="31" s="1"/>
  <c r="O34" i="27"/>
  <c r="P34" i="27"/>
  <c r="N34" i="27"/>
  <c r="L17" i="27"/>
  <c r="L18" i="27"/>
  <c r="L19" i="27"/>
  <c r="L20" i="27"/>
  <c r="L21" i="27"/>
  <c r="L22" i="27"/>
  <c r="L23" i="27"/>
  <c r="L24" i="27"/>
  <c r="L25" i="27"/>
  <c r="L16" i="27"/>
  <c r="K17" i="27"/>
  <c r="K18" i="27"/>
  <c r="K19" i="27"/>
  <c r="K20" i="27"/>
  <c r="K21" i="27"/>
  <c r="K22" i="27"/>
  <c r="K23" i="27"/>
  <c r="K24" i="27"/>
  <c r="K25" i="27"/>
  <c r="K16" i="27"/>
  <c r="J17" i="27"/>
  <c r="J18" i="27"/>
  <c r="J19" i="27"/>
  <c r="J20" i="27"/>
  <c r="J21" i="27"/>
  <c r="J22" i="27"/>
  <c r="J24" i="27"/>
  <c r="J25" i="27"/>
  <c r="J16" i="27"/>
  <c r="P37" i="27"/>
  <c r="D17" i="27"/>
  <c r="E17" i="27"/>
  <c r="D18" i="27"/>
  <c r="E18" i="27"/>
  <c r="D19" i="27"/>
  <c r="E19" i="27"/>
  <c r="D20" i="27"/>
  <c r="E20" i="27"/>
  <c r="D21" i="27"/>
  <c r="E21" i="27"/>
  <c r="D22" i="27"/>
  <c r="E22" i="27"/>
  <c r="D23" i="27"/>
  <c r="E23" i="27"/>
  <c r="D24" i="27"/>
  <c r="E24" i="27"/>
  <c r="D25" i="27"/>
  <c r="E25" i="27"/>
  <c r="E16" i="27"/>
  <c r="O39" i="27" s="1"/>
  <c r="D16" i="27"/>
  <c r="B17" i="27"/>
  <c r="B18" i="27"/>
  <c r="B19" i="27"/>
  <c r="B20" i="27"/>
  <c r="B21" i="27"/>
  <c r="B22" i="27"/>
  <c r="B23" i="27"/>
  <c r="B24" i="27"/>
  <c r="B25" i="27"/>
  <c r="B16" i="27"/>
  <c r="O4" i="29"/>
  <c r="O5" i="29"/>
  <c r="O6" i="29"/>
  <c r="O7" i="29"/>
  <c r="O8" i="29"/>
  <c r="O9" i="29"/>
  <c r="O10" i="29"/>
  <c r="O11" i="29"/>
  <c r="O12" i="29"/>
  <c r="O13" i="29"/>
  <c r="O14" i="29"/>
  <c r="O15" i="29"/>
  <c r="O16" i="29"/>
  <c r="O17" i="29"/>
  <c r="O18" i="29"/>
  <c r="O19" i="29"/>
  <c r="O20" i="29"/>
  <c r="O21" i="29"/>
  <c r="O22" i="29"/>
  <c r="O23" i="29"/>
  <c r="O24" i="29"/>
  <c r="O25" i="29"/>
  <c r="O26" i="29"/>
  <c r="O27" i="29"/>
  <c r="O3" i="29"/>
  <c r="N4" i="29"/>
  <c r="N5" i="29"/>
  <c r="N6" i="29"/>
  <c r="N7" i="29"/>
  <c r="N8" i="29"/>
  <c r="N9" i="29"/>
  <c r="N10" i="29"/>
  <c r="N11" i="29"/>
  <c r="N12" i="29"/>
  <c r="N13" i="29"/>
  <c r="N14" i="29"/>
  <c r="N15" i="29"/>
  <c r="N16" i="29"/>
  <c r="N17" i="29"/>
  <c r="N18" i="29"/>
  <c r="N19" i="29"/>
  <c r="N20" i="29"/>
  <c r="N21" i="29"/>
  <c r="N22" i="29"/>
  <c r="N23" i="29"/>
  <c r="N24" i="29"/>
  <c r="N25" i="29"/>
  <c r="N26" i="29"/>
  <c r="N27" i="29"/>
  <c r="F4" i="29"/>
  <c r="F5" i="29"/>
  <c r="F6" i="29"/>
  <c r="F7" i="29"/>
  <c r="F8" i="29"/>
  <c r="F9" i="29"/>
  <c r="F10" i="29"/>
  <c r="F11" i="29"/>
  <c r="F12" i="29"/>
  <c r="F13" i="29"/>
  <c r="F14" i="29"/>
  <c r="F15" i="29"/>
  <c r="F16" i="29"/>
  <c r="F17" i="29"/>
  <c r="F18" i="29"/>
  <c r="F19" i="29"/>
  <c r="F20" i="29"/>
  <c r="F21" i="29"/>
  <c r="F22" i="29"/>
  <c r="F23" i="29"/>
  <c r="F24" i="29"/>
  <c r="F25" i="29"/>
  <c r="F26" i="29"/>
  <c r="F27" i="29"/>
  <c r="F3" i="29"/>
  <c r="F25" i="27" l="1"/>
  <c r="F23" i="27"/>
  <c r="F21" i="27"/>
  <c r="F17" i="27"/>
  <c r="F19" i="27"/>
  <c r="H19" i="27" s="1"/>
  <c r="N19" i="27" s="1"/>
  <c r="P39" i="27"/>
  <c r="F16" i="27"/>
  <c r="F24" i="27"/>
  <c r="F22" i="27"/>
  <c r="F20" i="27"/>
  <c r="F18" i="27"/>
  <c r="N39" i="27"/>
  <c r="E27" i="12"/>
  <c r="O19" i="27" l="1"/>
  <c r="P18" i="27"/>
  <c r="H18" i="27"/>
  <c r="P22" i="27"/>
  <c r="H22" i="27"/>
  <c r="P16" i="27"/>
  <c r="H16" i="27"/>
  <c r="P17" i="27"/>
  <c r="H17" i="27"/>
  <c r="P23" i="27"/>
  <c r="H23" i="27"/>
  <c r="P20" i="27"/>
  <c r="H20" i="27"/>
  <c r="P24" i="27"/>
  <c r="H24" i="27"/>
  <c r="P19" i="27"/>
  <c r="P21" i="27"/>
  <c r="H21" i="27"/>
  <c r="P25" i="27"/>
  <c r="H25" i="27"/>
  <c r="J52" i="24"/>
  <c r="K52" i="24"/>
  <c r="P30" i="27" l="1"/>
  <c r="P38" i="27" s="1"/>
  <c r="P29" i="27"/>
  <c r="P28" i="27"/>
  <c r="N24" i="27"/>
  <c r="O24" i="27"/>
  <c r="N20" i="27"/>
  <c r="O20" i="27"/>
  <c r="N23" i="27"/>
  <c r="O23" i="27"/>
  <c r="N17" i="27"/>
  <c r="O17" i="27"/>
  <c r="O16" i="27"/>
  <c r="N16" i="27"/>
  <c r="N22" i="27"/>
  <c r="O22" i="27"/>
  <c r="N18" i="27"/>
  <c r="O18" i="27"/>
  <c r="P31" i="27"/>
  <c r="N25" i="27"/>
  <c r="O25" i="27"/>
  <c r="N21" i="27"/>
  <c r="O21" i="27"/>
  <c r="P27" i="27"/>
  <c r="G21" i="35"/>
  <c r="P32" i="27"/>
  <c r="P41" i="27"/>
  <c r="P36" i="27"/>
  <c r="E45" i="26"/>
  <c r="K44" i="35" s="1"/>
  <c r="K45" i="35" s="1"/>
  <c r="K49" i="35" s="1"/>
  <c r="E42" i="26"/>
  <c r="K46" i="35" s="1"/>
  <c r="H19" i="26"/>
  <c r="I19" i="26" s="1"/>
  <c r="J19" i="26" s="1"/>
  <c r="O32" i="27" l="1"/>
  <c r="N29" i="27"/>
  <c r="N32" i="27"/>
  <c r="N28" i="27"/>
  <c r="N27" i="27"/>
  <c r="N31" i="27"/>
  <c r="N30" i="27"/>
  <c r="N41" i="27" s="1"/>
  <c r="N43" i="27" s="1"/>
  <c r="O31" i="27"/>
  <c r="O28" i="27"/>
  <c r="O29" i="27"/>
  <c r="O30" i="27"/>
  <c r="O41" i="27" s="1"/>
  <c r="O27" i="27"/>
  <c r="P43" i="27"/>
  <c r="U11" i="30"/>
  <c r="T11" i="30"/>
  <c r="K19" i="26"/>
  <c r="L19" i="26" s="1"/>
  <c r="M19" i="26" s="1"/>
  <c r="N19" i="26" s="1"/>
  <c r="O19" i="26" s="1"/>
  <c r="P19" i="26" s="1"/>
  <c r="O43" i="27" l="1"/>
  <c r="R11" i="30"/>
  <c r="S11" i="30"/>
  <c r="F17" i="12"/>
  <c r="F18" i="12"/>
  <c r="F19" i="12"/>
  <c r="F16" i="12"/>
  <c r="G45" i="24"/>
  <c r="H45" i="24"/>
  <c r="I45" i="24"/>
  <c r="J45" i="24"/>
  <c r="K45" i="24"/>
  <c r="G56" i="24"/>
  <c r="H56" i="24"/>
  <c r="I56" i="24"/>
  <c r="J56" i="24"/>
  <c r="K56" i="24"/>
  <c r="H52" i="24"/>
  <c r="I52" i="24"/>
  <c r="K39" i="24" l="1"/>
  <c r="K41" i="24" s="1"/>
  <c r="I39" i="24"/>
  <c r="I41" i="24" s="1"/>
  <c r="G39" i="24"/>
  <c r="G41" i="24" s="1"/>
  <c r="J39" i="24"/>
  <c r="J41" i="24" s="1"/>
  <c r="H39" i="24"/>
  <c r="H41" i="24" s="1"/>
  <c r="K24" i="24"/>
  <c r="J24" i="24"/>
  <c r="I24" i="24"/>
  <c r="H24" i="24"/>
  <c r="G24" i="24"/>
  <c r="B22" i="24"/>
  <c r="B23" i="24"/>
  <c r="B21" i="24"/>
  <c r="G16" i="24"/>
  <c r="H16" i="24"/>
  <c r="I16" i="24"/>
  <c r="J16" i="24"/>
  <c r="K16" i="24"/>
  <c r="G17" i="24"/>
  <c r="H17" i="24"/>
  <c r="I17" i="24"/>
  <c r="J17" i="24"/>
  <c r="K17" i="24"/>
  <c r="G15" i="24"/>
  <c r="H15" i="24"/>
  <c r="I15" i="24"/>
  <c r="J15" i="24"/>
  <c r="K15" i="24"/>
  <c r="G18" i="24"/>
  <c r="H18" i="24"/>
  <c r="I18" i="24"/>
  <c r="J18" i="24"/>
  <c r="K18" i="24"/>
  <c r="G11" i="24"/>
  <c r="G50" i="24" s="1"/>
  <c r="G66" i="24" s="1"/>
  <c r="H11" i="24"/>
  <c r="H50" i="24" s="1"/>
  <c r="H66" i="24" s="1"/>
  <c r="I11" i="24"/>
  <c r="I50" i="24" s="1"/>
  <c r="I66" i="24" s="1"/>
  <c r="J11" i="24"/>
  <c r="J50" i="24" s="1"/>
  <c r="J66" i="24" s="1"/>
  <c r="K11" i="24"/>
  <c r="B16" i="24"/>
  <c r="B17" i="24"/>
  <c r="B15" i="24"/>
  <c r="B14" i="24"/>
  <c r="L78" i="25"/>
  <c r="K78" i="25"/>
  <c r="J78" i="25"/>
  <c r="I78" i="25"/>
  <c r="H78" i="25"/>
  <c r="G78" i="25"/>
  <c r="F78" i="25"/>
  <c r="E78" i="25"/>
  <c r="D78" i="25"/>
  <c r="C78" i="25"/>
  <c r="L66" i="25"/>
  <c r="K66" i="25"/>
  <c r="J66" i="25"/>
  <c r="I66" i="25"/>
  <c r="H66" i="25"/>
  <c r="G66" i="25"/>
  <c r="F66" i="25"/>
  <c r="E66" i="25"/>
  <c r="D66" i="25"/>
  <c r="C66" i="25"/>
  <c r="L56" i="25"/>
  <c r="K56" i="25"/>
  <c r="J56" i="25"/>
  <c r="I56" i="25"/>
  <c r="H56" i="25"/>
  <c r="G56" i="25"/>
  <c r="F56" i="25"/>
  <c r="E56" i="25"/>
  <c r="D56" i="25"/>
  <c r="C56" i="25"/>
  <c r="E28" i="12"/>
  <c r="E29" i="12" s="1"/>
  <c r="J42" i="12" s="1"/>
  <c r="K50" i="24" l="1"/>
  <c r="K66" i="24" s="1"/>
  <c r="F11" i="26"/>
  <c r="G11" i="26" s="1"/>
  <c r="H11" i="26" s="1"/>
  <c r="I11" i="26" s="1"/>
  <c r="J11" i="26" s="1"/>
  <c r="K11" i="26" s="1"/>
  <c r="L11" i="26" s="1"/>
  <c r="M11" i="26" s="1"/>
  <c r="N11" i="26" s="1"/>
  <c r="O11" i="26" s="1"/>
  <c r="P11" i="26" s="1"/>
  <c r="I26" i="24"/>
  <c r="G26" i="24"/>
  <c r="K26" i="24"/>
  <c r="I43" i="24"/>
  <c r="C86" i="25"/>
  <c r="E86" i="25"/>
  <c r="G86" i="25"/>
  <c r="I86" i="25"/>
  <c r="K86" i="25"/>
  <c r="D86" i="25"/>
  <c r="F86" i="25"/>
  <c r="H86" i="25"/>
  <c r="J86" i="25"/>
  <c r="L86" i="25"/>
  <c r="J37" i="12"/>
  <c r="J26" i="24" l="1"/>
  <c r="K53" i="24" s="1"/>
  <c r="K59" i="24" s="1"/>
  <c r="H26" i="24"/>
  <c r="K43" i="24"/>
  <c r="J9" i="21"/>
  <c r="G113" i="21"/>
  <c r="D113" i="21"/>
  <c r="G112" i="21"/>
  <c r="D112" i="21"/>
  <c r="G111" i="21"/>
  <c r="D111" i="21"/>
  <c r="G110" i="21"/>
  <c r="D110" i="21"/>
  <c r="G109" i="21"/>
  <c r="D109" i="21"/>
  <c r="G108" i="21"/>
  <c r="D108" i="21"/>
  <c r="G107" i="21"/>
  <c r="D107" i="21"/>
  <c r="G106" i="21"/>
  <c r="D106" i="21"/>
  <c r="G105" i="21"/>
  <c r="D105" i="21"/>
  <c r="G104" i="21"/>
  <c r="D104" i="21"/>
  <c r="G103" i="21"/>
  <c r="D103" i="21"/>
  <c r="G102" i="21"/>
  <c r="D102" i="21"/>
  <c r="G101" i="21"/>
  <c r="D101" i="21"/>
  <c r="G100" i="21"/>
  <c r="D100" i="21"/>
  <c r="G99" i="21"/>
  <c r="D99" i="21"/>
  <c r="G98" i="21"/>
  <c r="D98" i="21"/>
  <c r="G97" i="21"/>
  <c r="D97" i="21"/>
  <c r="G96" i="21"/>
  <c r="D96" i="21"/>
  <c r="G95" i="21"/>
  <c r="D95" i="21"/>
  <c r="G94" i="21"/>
  <c r="D94" i="21"/>
  <c r="G93" i="21"/>
  <c r="D93" i="21"/>
  <c r="G92" i="21"/>
  <c r="D92" i="21"/>
  <c r="G91" i="21"/>
  <c r="D91" i="21"/>
  <c r="G90" i="21"/>
  <c r="D90" i="21"/>
  <c r="G89" i="21"/>
  <c r="D89" i="21"/>
  <c r="G88" i="21"/>
  <c r="D88" i="21"/>
  <c r="G87" i="21"/>
  <c r="D87" i="21"/>
  <c r="G86" i="21"/>
  <c r="D86" i="21"/>
  <c r="G85" i="21"/>
  <c r="D85" i="21"/>
  <c r="G84" i="21"/>
  <c r="D84" i="21"/>
  <c r="G83" i="21"/>
  <c r="D83" i="21"/>
  <c r="G82" i="21"/>
  <c r="D82" i="21"/>
  <c r="G81" i="21"/>
  <c r="D81" i="21"/>
  <c r="G80" i="21"/>
  <c r="D80" i="21"/>
  <c r="G79" i="21"/>
  <c r="D79" i="21"/>
  <c r="G78" i="21"/>
  <c r="D78" i="21"/>
  <c r="G77" i="21"/>
  <c r="D77" i="21"/>
  <c r="G76" i="21"/>
  <c r="D76" i="21"/>
  <c r="G75" i="21"/>
  <c r="D75" i="21"/>
  <c r="G74" i="21"/>
  <c r="D74" i="21"/>
  <c r="G73" i="21"/>
  <c r="D73" i="21"/>
  <c r="G72" i="21"/>
  <c r="D72" i="21"/>
  <c r="G71" i="21"/>
  <c r="D71" i="21"/>
  <c r="G70" i="21"/>
  <c r="D70" i="21"/>
  <c r="G69" i="21"/>
  <c r="D69" i="21"/>
  <c r="G68" i="21"/>
  <c r="D68" i="21"/>
  <c r="G67" i="21"/>
  <c r="D67" i="21"/>
  <c r="G66" i="21"/>
  <c r="D66" i="21"/>
  <c r="G65" i="21"/>
  <c r="D65" i="21"/>
  <c r="G64" i="21"/>
  <c r="D64" i="21"/>
  <c r="G63" i="21"/>
  <c r="D63" i="21"/>
  <c r="G62" i="21"/>
  <c r="D62" i="21"/>
  <c r="G61" i="21"/>
  <c r="D61" i="21"/>
  <c r="G60" i="21"/>
  <c r="D60" i="21"/>
  <c r="G59" i="21"/>
  <c r="D59" i="21"/>
  <c r="G58" i="21"/>
  <c r="D58" i="21"/>
  <c r="G57" i="21"/>
  <c r="D57" i="21"/>
  <c r="G56" i="21"/>
  <c r="D56" i="21"/>
  <c r="G55" i="21"/>
  <c r="D55" i="21"/>
  <c r="G54" i="21"/>
  <c r="D54" i="21"/>
  <c r="G53" i="21"/>
  <c r="D53" i="21"/>
  <c r="G52" i="21"/>
  <c r="D52" i="21"/>
  <c r="G51" i="21"/>
  <c r="D51" i="21"/>
  <c r="G50" i="21"/>
  <c r="D50" i="21"/>
  <c r="G49" i="21"/>
  <c r="D49" i="21"/>
  <c r="G48" i="21"/>
  <c r="D48" i="21"/>
  <c r="G47" i="21"/>
  <c r="D47" i="21"/>
  <c r="G46" i="21"/>
  <c r="D46" i="21"/>
  <c r="G45" i="21"/>
  <c r="D45" i="21"/>
  <c r="G44" i="21"/>
  <c r="D44" i="21"/>
  <c r="G43" i="21"/>
  <c r="D43" i="21"/>
  <c r="G42" i="21"/>
  <c r="D42" i="21"/>
  <c r="G41" i="21"/>
  <c r="D41" i="21"/>
  <c r="G40" i="21"/>
  <c r="D40" i="21"/>
  <c r="G39" i="21"/>
  <c r="D39" i="21"/>
  <c r="G38" i="21"/>
  <c r="D38" i="21"/>
  <c r="G37" i="21"/>
  <c r="D37" i="21"/>
  <c r="G36" i="21"/>
  <c r="D36" i="21"/>
  <c r="G35" i="21"/>
  <c r="D35" i="21"/>
  <c r="G34" i="21"/>
  <c r="D34" i="21"/>
  <c r="G33" i="21"/>
  <c r="D33" i="21"/>
  <c r="G32" i="21"/>
  <c r="D32" i="21"/>
  <c r="G31" i="21"/>
  <c r="D31" i="21"/>
  <c r="G30" i="21"/>
  <c r="D30" i="21"/>
  <c r="G29" i="21"/>
  <c r="D29" i="21"/>
  <c r="G28" i="21"/>
  <c r="D28" i="21"/>
  <c r="G27" i="21"/>
  <c r="D27" i="21"/>
  <c r="G26" i="21"/>
  <c r="D26" i="21"/>
  <c r="G25" i="21"/>
  <c r="D25" i="21"/>
  <c r="G24" i="21"/>
  <c r="D24" i="21"/>
  <c r="G23" i="21"/>
  <c r="D23" i="21"/>
  <c r="G22" i="21"/>
  <c r="D22" i="21"/>
  <c r="G21" i="21"/>
  <c r="D21" i="21"/>
  <c r="G20" i="21"/>
  <c r="D20" i="21"/>
  <c r="G19" i="21"/>
  <c r="D19" i="21"/>
  <c r="G18" i="21"/>
  <c r="D18" i="21"/>
  <c r="G17" i="21"/>
  <c r="D17" i="21"/>
  <c r="G16" i="21"/>
  <c r="D16" i="21"/>
  <c r="G15" i="21"/>
  <c r="D15" i="21"/>
  <c r="G14" i="21"/>
  <c r="D14" i="21"/>
  <c r="G13" i="21"/>
  <c r="D13" i="21"/>
  <c r="G12" i="21"/>
  <c r="D12" i="21"/>
  <c r="G11" i="21"/>
  <c r="D11" i="21"/>
  <c r="J15" i="21"/>
  <c r="B7" i="21"/>
  <c r="B7" i="18"/>
  <c r="B7" i="19"/>
  <c r="B7" i="20"/>
  <c r="J9" i="20"/>
  <c r="G113" i="20"/>
  <c r="D113" i="20"/>
  <c r="G112" i="20"/>
  <c r="D112" i="20"/>
  <c r="G111" i="20"/>
  <c r="D111" i="20"/>
  <c r="G110" i="20"/>
  <c r="D110" i="20"/>
  <c r="G109" i="20"/>
  <c r="D109" i="20"/>
  <c r="G108" i="20"/>
  <c r="D108" i="20"/>
  <c r="G107" i="20"/>
  <c r="D107" i="20"/>
  <c r="G106" i="20"/>
  <c r="D106" i="20"/>
  <c r="G105" i="20"/>
  <c r="D105" i="20"/>
  <c r="G104" i="20"/>
  <c r="D104" i="20"/>
  <c r="G103" i="20"/>
  <c r="D103" i="20"/>
  <c r="G102" i="20"/>
  <c r="D102" i="20"/>
  <c r="G101" i="20"/>
  <c r="D101" i="20"/>
  <c r="G100" i="20"/>
  <c r="D100" i="20"/>
  <c r="G99" i="20"/>
  <c r="D99" i="20"/>
  <c r="G98" i="20"/>
  <c r="D98" i="20"/>
  <c r="G97" i="20"/>
  <c r="D97" i="20"/>
  <c r="G96" i="20"/>
  <c r="D96" i="20"/>
  <c r="G95" i="20"/>
  <c r="D95" i="20"/>
  <c r="G94" i="20"/>
  <c r="D94" i="20"/>
  <c r="G93" i="20"/>
  <c r="D93" i="20"/>
  <c r="G92" i="20"/>
  <c r="D92" i="20"/>
  <c r="G91" i="20"/>
  <c r="D91" i="20"/>
  <c r="G90" i="20"/>
  <c r="D90" i="20"/>
  <c r="G89" i="20"/>
  <c r="D89" i="20"/>
  <c r="G88" i="20"/>
  <c r="D88" i="20"/>
  <c r="G87" i="20"/>
  <c r="D87" i="20"/>
  <c r="G86" i="20"/>
  <c r="D86" i="20"/>
  <c r="G85" i="20"/>
  <c r="D85" i="20"/>
  <c r="G84" i="20"/>
  <c r="D84" i="20"/>
  <c r="G83" i="20"/>
  <c r="D83" i="20"/>
  <c r="G82" i="20"/>
  <c r="D82" i="20"/>
  <c r="G81" i="20"/>
  <c r="D81" i="20"/>
  <c r="G80" i="20"/>
  <c r="D80" i="20"/>
  <c r="G79" i="20"/>
  <c r="D79" i="20"/>
  <c r="G78" i="20"/>
  <c r="D78" i="20"/>
  <c r="G77" i="20"/>
  <c r="D77" i="20"/>
  <c r="G76" i="20"/>
  <c r="D76" i="20"/>
  <c r="G75" i="20"/>
  <c r="D75" i="20"/>
  <c r="G74" i="20"/>
  <c r="D74" i="20"/>
  <c r="G73" i="20"/>
  <c r="D73" i="20"/>
  <c r="G72" i="20"/>
  <c r="D72" i="20"/>
  <c r="G71" i="20"/>
  <c r="D71" i="20"/>
  <c r="G70" i="20"/>
  <c r="D70" i="20"/>
  <c r="G69" i="20"/>
  <c r="D69" i="20"/>
  <c r="G68" i="20"/>
  <c r="D68" i="20"/>
  <c r="G67" i="20"/>
  <c r="D67" i="20"/>
  <c r="G66" i="20"/>
  <c r="D66" i="20"/>
  <c r="G65" i="20"/>
  <c r="D65" i="20"/>
  <c r="G64" i="20"/>
  <c r="D64" i="20"/>
  <c r="G63" i="20"/>
  <c r="D63" i="20"/>
  <c r="G62" i="20"/>
  <c r="D62" i="20"/>
  <c r="G61" i="20"/>
  <c r="D61" i="20"/>
  <c r="G60" i="20"/>
  <c r="D60" i="20"/>
  <c r="G59" i="20"/>
  <c r="D59" i="20"/>
  <c r="G58" i="20"/>
  <c r="D58" i="20"/>
  <c r="G57" i="20"/>
  <c r="D57" i="20"/>
  <c r="G56" i="20"/>
  <c r="D56" i="20"/>
  <c r="G55" i="20"/>
  <c r="D55" i="20"/>
  <c r="G54" i="20"/>
  <c r="D54" i="20"/>
  <c r="G53" i="20"/>
  <c r="D53" i="20"/>
  <c r="G52" i="20"/>
  <c r="D52" i="20"/>
  <c r="G51" i="20"/>
  <c r="D51" i="20"/>
  <c r="G50" i="20"/>
  <c r="D50" i="20"/>
  <c r="G49" i="20"/>
  <c r="D49" i="20"/>
  <c r="G48" i="20"/>
  <c r="D48" i="20"/>
  <c r="G47" i="20"/>
  <c r="D47" i="20"/>
  <c r="G46" i="20"/>
  <c r="D46" i="20"/>
  <c r="G45" i="20"/>
  <c r="D45" i="20"/>
  <c r="G44" i="20"/>
  <c r="D44" i="20"/>
  <c r="G43" i="20"/>
  <c r="D43" i="20"/>
  <c r="G42" i="20"/>
  <c r="D42" i="20"/>
  <c r="G41" i="20"/>
  <c r="D41" i="20"/>
  <c r="G40" i="20"/>
  <c r="D40" i="20"/>
  <c r="G39" i="20"/>
  <c r="D39" i="20"/>
  <c r="G38" i="20"/>
  <c r="D38" i="20"/>
  <c r="G37" i="20"/>
  <c r="D37" i="20"/>
  <c r="G36" i="20"/>
  <c r="D36" i="20"/>
  <c r="G35" i="20"/>
  <c r="D35" i="20"/>
  <c r="G34" i="20"/>
  <c r="D34" i="20"/>
  <c r="G33" i="20"/>
  <c r="D33" i="20"/>
  <c r="G32" i="20"/>
  <c r="D32" i="20"/>
  <c r="G31" i="20"/>
  <c r="D31" i="20"/>
  <c r="G30" i="20"/>
  <c r="D30" i="20"/>
  <c r="G29" i="20"/>
  <c r="D29" i="20"/>
  <c r="G28" i="20"/>
  <c r="D28" i="20"/>
  <c r="G27" i="20"/>
  <c r="D27" i="20"/>
  <c r="G26" i="20"/>
  <c r="D26" i="20"/>
  <c r="G25" i="20"/>
  <c r="D25" i="20"/>
  <c r="G24" i="20"/>
  <c r="D24" i="20"/>
  <c r="G23" i="20"/>
  <c r="D23" i="20"/>
  <c r="G22" i="20"/>
  <c r="D22" i="20"/>
  <c r="G21" i="20"/>
  <c r="D21" i="20"/>
  <c r="G20" i="20"/>
  <c r="D20" i="20"/>
  <c r="G19" i="20"/>
  <c r="D19" i="20"/>
  <c r="G18" i="20"/>
  <c r="D18" i="20"/>
  <c r="G17" i="20"/>
  <c r="D17" i="20"/>
  <c r="G16" i="20"/>
  <c r="D16" i="20"/>
  <c r="G15" i="20"/>
  <c r="D15" i="20"/>
  <c r="G14" i="20"/>
  <c r="D14" i="20"/>
  <c r="G13" i="20"/>
  <c r="D13" i="20"/>
  <c r="G12" i="20"/>
  <c r="D12" i="20"/>
  <c r="G11" i="20"/>
  <c r="D11" i="20"/>
  <c r="J15" i="20"/>
  <c r="J9" i="19"/>
  <c r="G113" i="19"/>
  <c r="D113" i="19"/>
  <c r="G112" i="19"/>
  <c r="D112" i="19"/>
  <c r="G111" i="19"/>
  <c r="D111" i="19"/>
  <c r="G110" i="19"/>
  <c r="D110" i="19"/>
  <c r="G109" i="19"/>
  <c r="D109" i="19"/>
  <c r="G108" i="19"/>
  <c r="D108" i="19"/>
  <c r="G107" i="19"/>
  <c r="D107" i="19"/>
  <c r="G106" i="19"/>
  <c r="D106" i="19"/>
  <c r="G105" i="19"/>
  <c r="D105" i="19"/>
  <c r="G104" i="19"/>
  <c r="D104" i="19"/>
  <c r="G103" i="19"/>
  <c r="D103" i="19"/>
  <c r="G102" i="19"/>
  <c r="D102" i="19"/>
  <c r="G101" i="19"/>
  <c r="D101" i="19"/>
  <c r="G100" i="19"/>
  <c r="D100" i="19"/>
  <c r="G99" i="19"/>
  <c r="D99" i="19"/>
  <c r="G98" i="19"/>
  <c r="D98" i="19"/>
  <c r="G97" i="19"/>
  <c r="D97" i="19"/>
  <c r="G96" i="19"/>
  <c r="D96" i="19"/>
  <c r="G95" i="19"/>
  <c r="D95" i="19"/>
  <c r="G94" i="19"/>
  <c r="D94" i="19"/>
  <c r="G93" i="19"/>
  <c r="D93" i="19"/>
  <c r="G92" i="19"/>
  <c r="D92" i="19"/>
  <c r="G91" i="19"/>
  <c r="D91" i="19"/>
  <c r="G90" i="19"/>
  <c r="D90" i="19"/>
  <c r="G89" i="19"/>
  <c r="D89" i="19"/>
  <c r="G88" i="19"/>
  <c r="D88" i="19"/>
  <c r="G87" i="19"/>
  <c r="D87" i="19"/>
  <c r="G86" i="19"/>
  <c r="D86" i="19"/>
  <c r="G85" i="19"/>
  <c r="D85" i="19"/>
  <c r="G84" i="19"/>
  <c r="D84" i="19"/>
  <c r="G83" i="19"/>
  <c r="D83" i="19"/>
  <c r="G82" i="19"/>
  <c r="D82" i="19"/>
  <c r="G81" i="19"/>
  <c r="D81" i="19"/>
  <c r="G80" i="19"/>
  <c r="D80" i="19"/>
  <c r="G79" i="19"/>
  <c r="D79" i="19"/>
  <c r="G78" i="19"/>
  <c r="D78" i="19"/>
  <c r="G77" i="19"/>
  <c r="D77" i="19"/>
  <c r="G76" i="19"/>
  <c r="D76" i="19"/>
  <c r="G75" i="19"/>
  <c r="D75" i="19"/>
  <c r="G74" i="19"/>
  <c r="D74" i="19"/>
  <c r="G73" i="19"/>
  <c r="D73" i="19"/>
  <c r="G72" i="19"/>
  <c r="D72" i="19"/>
  <c r="G71" i="19"/>
  <c r="D71" i="19"/>
  <c r="G70" i="19"/>
  <c r="D70" i="19"/>
  <c r="G69" i="19"/>
  <c r="D69" i="19"/>
  <c r="G68" i="19"/>
  <c r="D68" i="19"/>
  <c r="G67" i="19"/>
  <c r="D67" i="19"/>
  <c r="G66" i="19"/>
  <c r="D66" i="19"/>
  <c r="G65" i="19"/>
  <c r="D65" i="19"/>
  <c r="G64" i="19"/>
  <c r="D64" i="19"/>
  <c r="G63" i="19"/>
  <c r="D63" i="19"/>
  <c r="G62" i="19"/>
  <c r="D62" i="19"/>
  <c r="G61" i="19"/>
  <c r="D61" i="19"/>
  <c r="G60" i="19"/>
  <c r="D60" i="19"/>
  <c r="G59" i="19"/>
  <c r="D59" i="19"/>
  <c r="G58" i="19"/>
  <c r="D58" i="19"/>
  <c r="G57" i="19"/>
  <c r="D57" i="19"/>
  <c r="G56" i="19"/>
  <c r="D56" i="19"/>
  <c r="G55" i="19"/>
  <c r="D55" i="19"/>
  <c r="G54" i="19"/>
  <c r="D54" i="19"/>
  <c r="G53" i="19"/>
  <c r="D53" i="19"/>
  <c r="G52" i="19"/>
  <c r="D52" i="19"/>
  <c r="G51" i="19"/>
  <c r="D51" i="19"/>
  <c r="G50" i="19"/>
  <c r="D50" i="19"/>
  <c r="G49" i="19"/>
  <c r="D49" i="19"/>
  <c r="G48" i="19"/>
  <c r="D48" i="19"/>
  <c r="G47" i="19"/>
  <c r="D47" i="19"/>
  <c r="G46" i="19"/>
  <c r="D46" i="19"/>
  <c r="G45" i="19"/>
  <c r="D45" i="19"/>
  <c r="G44" i="19"/>
  <c r="D44" i="19"/>
  <c r="G43" i="19"/>
  <c r="D43" i="19"/>
  <c r="G42" i="19"/>
  <c r="D42" i="19"/>
  <c r="G41" i="19"/>
  <c r="D41" i="19"/>
  <c r="G40" i="19"/>
  <c r="D40" i="19"/>
  <c r="G39" i="19"/>
  <c r="D39" i="19"/>
  <c r="G38" i="19"/>
  <c r="D38" i="19"/>
  <c r="G37" i="19"/>
  <c r="D37" i="19"/>
  <c r="G36" i="19"/>
  <c r="D36" i="19"/>
  <c r="G35" i="19"/>
  <c r="D35" i="19"/>
  <c r="G34" i="19"/>
  <c r="D34" i="19"/>
  <c r="G33" i="19"/>
  <c r="D33" i="19"/>
  <c r="G32" i="19"/>
  <c r="D32" i="19"/>
  <c r="G31" i="19"/>
  <c r="D31" i="19"/>
  <c r="G30" i="19"/>
  <c r="D30" i="19"/>
  <c r="G29" i="19"/>
  <c r="D29" i="19"/>
  <c r="G28" i="19"/>
  <c r="D28" i="19"/>
  <c r="G27" i="19"/>
  <c r="D27" i="19"/>
  <c r="G26" i="19"/>
  <c r="D26" i="19"/>
  <c r="G25" i="19"/>
  <c r="D25" i="19"/>
  <c r="G24" i="19"/>
  <c r="D24" i="19"/>
  <c r="G23" i="19"/>
  <c r="D23" i="19"/>
  <c r="G22" i="19"/>
  <c r="D22" i="19"/>
  <c r="G21" i="19"/>
  <c r="D21" i="19"/>
  <c r="G20" i="19"/>
  <c r="D20" i="19"/>
  <c r="G19" i="19"/>
  <c r="D19" i="19"/>
  <c r="G18" i="19"/>
  <c r="D18" i="19"/>
  <c r="G17" i="19"/>
  <c r="D17" i="19"/>
  <c r="G16" i="19"/>
  <c r="D16" i="19"/>
  <c r="G15" i="19"/>
  <c r="D15" i="19"/>
  <c r="G14" i="19"/>
  <c r="D14" i="19"/>
  <c r="G13" i="19"/>
  <c r="D13" i="19"/>
  <c r="G12" i="19"/>
  <c r="D12" i="19"/>
  <c r="G11" i="19"/>
  <c r="D11" i="19"/>
  <c r="J15" i="19"/>
  <c r="J9" i="18"/>
  <c r="G113" i="18"/>
  <c r="D113" i="18"/>
  <c r="G112" i="18"/>
  <c r="D112" i="18"/>
  <c r="G111" i="18"/>
  <c r="D111" i="18"/>
  <c r="G110" i="18"/>
  <c r="D110" i="18"/>
  <c r="G109" i="18"/>
  <c r="D109" i="18"/>
  <c r="G108" i="18"/>
  <c r="D108" i="18"/>
  <c r="G107" i="18"/>
  <c r="D107" i="18"/>
  <c r="G106" i="18"/>
  <c r="D106" i="18"/>
  <c r="G105" i="18"/>
  <c r="D105" i="18"/>
  <c r="G104" i="18"/>
  <c r="D104" i="18"/>
  <c r="G103" i="18"/>
  <c r="D103" i="18"/>
  <c r="G102" i="18"/>
  <c r="D102" i="18"/>
  <c r="G101" i="18"/>
  <c r="D101" i="18"/>
  <c r="G100" i="18"/>
  <c r="D100" i="18"/>
  <c r="G99" i="18"/>
  <c r="D99" i="18"/>
  <c r="G98" i="18"/>
  <c r="D98" i="18"/>
  <c r="G97" i="18"/>
  <c r="D97" i="18"/>
  <c r="G96" i="18"/>
  <c r="D96" i="18"/>
  <c r="G95" i="18"/>
  <c r="D95" i="18"/>
  <c r="G94" i="18"/>
  <c r="D94" i="18"/>
  <c r="G93" i="18"/>
  <c r="D93" i="18"/>
  <c r="G92" i="18"/>
  <c r="D92" i="18"/>
  <c r="G91" i="18"/>
  <c r="D91" i="18"/>
  <c r="G90" i="18"/>
  <c r="D90" i="18"/>
  <c r="G89" i="18"/>
  <c r="D89" i="18"/>
  <c r="G88" i="18"/>
  <c r="D88" i="18"/>
  <c r="G87" i="18"/>
  <c r="D87" i="18"/>
  <c r="G86" i="18"/>
  <c r="D86" i="18"/>
  <c r="G85" i="18"/>
  <c r="D85" i="18"/>
  <c r="G84" i="18"/>
  <c r="D84" i="18"/>
  <c r="G83" i="18"/>
  <c r="D83" i="18"/>
  <c r="G82" i="18"/>
  <c r="D82" i="18"/>
  <c r="G81" i="18"/>
  <c r="D81" i="18"/>
  <c r="G80" i="18"/>
  <c r="D80" i="18"/>
  <c r="G79" i="18"/>
  <c r="D79" i="18"/>
  <c r="G78" i="18"/>
  <c r="D78" i="18"/>
  <c r="G77" i="18"/>
  <c r="D77" i="18"/>
  <c r="G76" i="18"/>
  <c r="D76" i="18"/>
  <c r="G75" i="18"/>
  <c r="D75" i="18"/>
  <c r="G74" i="18"/>
  <c r="D74" i="18"/>
  <c r="G73" i="18"/>
  <c r="D73" i="18"/>
  <c r="G72" i="18"/>
  <c r="D72" i="18"/>
  <c r="G71" i="18"/>
  <c r="D71" i="18"/>
  <c r="G70" i="18"/>
  <c r="D70" i="18"/>
  <c r="G69" i="18"/>
  <c r="D69" i="18"/>
  <c r="G68" i="18"/>
  <c r="D68" i="18"/>
  <c r="G67" i="18"/>
  <c r="D67" i="18"/>
  <c r="G66" i="18"/>
  <c r="D66" i="18"/>
  <c r="G65" i="18"/>
  <c r="D65" i="18"/>
  <c r="G64" i="18"/>
  <c r="D64" i="18"/>
  <c r="G63" i="18"/>
  <c r="D63" i="18"/>
  <c r="G62" i="18"/>
  <c r="D62" i="18"/>
  <c r="G61" i="18"/>
  <c r="D61" i="18"/>
  <c r="G60" i="18"/>
  <c r="D60" i="18"/>
  <c r="G59" i="18"/>
  <c r="D59" i="18"/>
  <c r="G58" i="18"/>
  <c r="D58" i="18"/>
  <c r="G57" i="18"/>
  <c r="D57" i="18"/>
  <c r="G56" i="18"/>
  <c r="D56" i="18"/>
  <c r="G55" i="18"/>
  <c r="D55" i="18"/>
  <c r="G54" i="18"/>
  <c r="D54" i="18"/>
  <c r="G53" i="18"/>
  <c r="D53" i="18"/>
  <c r="G52" i="18"/>
  <c r="D52" i="18"/>
  <c r="G51" i="18"/>
  <c r="D51" i="18"/>
  <c r="G50" i="18"/>
  <c r="D50" i="18"/>
  <c r="G49" i="18"/>
  <c r="D49" i="18"/>
  <c r="G48" i="18"/>
  <c r="D48" i="18"/>
  <c r="G47" i="18"/>
  <c r="D47" i="18"/>
  <c r="G46" i="18"/>
  <c r="D46" i="18"/>
  <c r="G45" i="18"/>
  <c r="D45" i="18"/>
  <c r="G44" i="18"/>
  <c r="D44" i="18"/>
  <c r="G43" i="18"/>
  <c r="D43" i="18"/>
  <c r="G42" i="18"/>
  <c r="D42" i="18"/>
  <c r="G41" i="18"/>
  <c r="D41" i="18"/>
  <c r="G40" i="18"/>
  <c r="D40" i="18"/>
  <c r="G39" i="18"/>
  <c r="D39" i="18"/>
  <c r="G38" i="18"/>
  <c r="D38" i="18"/>
  <c r="G37" i="18"/>
  <c r="D37" i="18"/>
  <c r="G36" i="18"/>
  <c r="D36" i="18"/>
  <c r="G35" i="18"/>
  <c r="D35" i="18"/>
  <c r="G34" i="18"/>
  <c r="D34" i="18"/>
  <c r="G33" i="18"/>
  <c r="D33" i="18"/>
  <c r="G32" i="18"/>
  <c r="D32" i="18"/>
  <c r="G31" i="18"/>
  <c r="D31" i="18"/>
  <c r="G30" i="18"/>
  <c r="D30" i="18"/>
  <c r="G29" i="18"/>
  <c r="D29" i="18"/>
  <c r="G28" i="18"/>
  <c r="D28" i="18"/>
  <c r="G27" i="18"/>
  <c r="D27" i="18"/>
  <c r="G26" i="18"/>
  <c r="D26" i="18"/>
  <c r="G25" i="18"/>
  <c r="D25" i="18"/>
  <c r="G24" i="18"/>
  <c r="D24" i="18"/>
  <c r="G23" i="18"/>
  <c r="D23" i="18"/>
  <c r="G22" i="18"/>
  <c r="D22" i="18"/>
  <c r="G21" i="18"/>
  <c r="D21" i="18"/>
  <c r="G20" i="18"/>
  <c r="D20" i="18"/>
  <c r="G19" i="18"/>
  <c r="D19" i="18"/>
  <c r="G18" i="18"/>
  <c r="D18" i="18"/>
  <c r="G17" i="18"/>
  <c r="D17" i="18"/>
  <c r="G16" i="18"/>
  <c r="D16" i="18"/>
  <c r="G15" i="18"/>
  <c r="D15" i="18"/>
  <c r="G14" i="18"/>
  <c r="D14" i="18"/>
  <c r="G13" i="18"/>
  <c r="D13" i="18"/>
  <c r="G12" i="18"/>
  <c r="D12" i="18"/>
  <c r="G11" i="18"/>
  <c r="D11" i="18"/>
  <c r="J15" i="18"/>
  <c r="H16" i="12"/>
  <c r="G19" i="12"/>
  <c r="J19" i="12" s="1"/>
  <c r="G18" i="12"/>
  <c r="J18" i="12" s="1"/>
  <c r="G17" i="12"/>
  <c r="J17" i="12" s="1"/>
  <c r="G16" i="12"/>
  <c r="J16" i="12" s="1"/>
  <c r="D97" i="7"/>
  <c r="E97" i="7"/>
  <c r="F97" i="7"/>
  <c r="G97" i="7"/>
  <c r="H97" i="7"/>
  <c r="I97" i="7"/>
  <c r="J97" i="7"/>
  <c r="K97" i="7"/>
  <c r="L97" i="7"/>
  <c r="C97" i="7"/>
  <c r="J10" i="14"/>
  <c r="J43" i="24" l="1"/>
  <c r="J53" i="24"/>
  <c r="J59" i="24" s="1"/>
  <c r="H43" i="24"/>
  <c r="I53" i="24"/>
  <c r="I59" i="24" s="1"/>
  <c r="D86" i="7" l="1"/>
  <c r="E86" i="7"/>
  <c r="F86" i="7"/>
  <c r="G86" i="7"/>
  <c r="H86" i="7"/>
  <c r="I86" i="7"/>
  <c r="J86" i="7"/>
  <c r="K86" i="7"/>
  <c r="L86" i="7"/>
  <c r="C110" i="7"/>
  <c r="D110" i="7"/>
  <c r="E110" i="7"/>
  <c r="F110" i="7"/>
  <c r="G110" i="7"/>
  <c r="H110" i="7"/>
  <c r="I110" i="7"/>
  <c r="J110" i="7"/>
  <c r="K110" i="7"/>
  <c r="L110" i="7"/>
  <c r="C119" i="7"/>
  <c r="D119" i="7"/>
  <c r="E119" i="7"/>
  <c r="F119" i="7"/>
  <c r="G119" i="7"/>
  <c r="H119" i="7"/>
  <c r="I119" i="7"/>
  <c r="J119" i="7"/>
  <c r="K119" i="7"/>
  <c r="L119" i="7"/>
  <c r="C37" i="12" l="1"/>
  <c r="C36" i="12"/>
  <c r="H18" i="12"/>
  <c r="H17" i="12"/>
  <c r="H19" i="12"/>
  <c r="H22" i="12" l="1"/>
  <c r="C38" i="12"/>
  <c r="D36" i="12" s="1"/>
  <c r="G22" i="12"/>
  <c r="G21" i="12"/>
  <c r="H21" i="12"/>
  <c r="J43" i="12" s="1"/>
  <c r="F22" i="12"/>
  <c r="F21" i="12"/>
  <c r="D37" i="12" l="1"/>
  <c r="D38" i="12" s="1"/>
  <c r="E38" i="12" s="1"/>
  <c r="E37" i="12" s="1"/>
  <c r="E40" i="12" s="1"/>
  <c r="D40" i="12" l="1"/>
  <c r="J36" i="12"/>
  <c r="J46" i="12"/>
  <c r="J16" i="14"/>
  <c r="I15" i="12" s="1"/>
  <c r="G12" i="14"/>
  <c r="D12" i="14"/>
  <c r="G114" i="14"/>
  <c r="G113" i="14"/>
  <c r="G112" i="14"/>
  <c r="G111" i="14"/>
  <c r="G110" i="14"/>
  <c r="G109" i="14"/>
  <c r="G108" i="14"/>
  <c r="G107" i="14"/>
  <c r="G106" i="14"/>
  <c r="G105" i="14"/>
  <c r="G104" i="14"/>
  <c r="G103" i="14"/>
  <c r="G102" i="14"/>
  <c r="G101" i="14"/>
  <c r="G100" i="14"/>
  <c r="G99" i="14"/>
  <c r="G98" i="14"/>
  <c r="G97" i="14"/>
  <c r="G96" i="14"/>
  <c r="G95" i="14"/>
  <c r="G94" i="14"/>
  <c r="G93" i="14"/>
  <c r="G92" i="14"/>
  <c r="G91" i="14"/>
  <c r="G90" i="14"/>
  <c r="G89" i="14"/>
  <c r="G88" i="14"/>
  <c r="G87" i="14"/>
  <c r="G86" i="14"/>
  <c r="G85" i="14"/>
  <c r="G84" i="14"/>
  <c r="G83" i="14"/>
  <c r="G82" i="14"/>
  <c r="G81" i="14"/>
  <c r="G80" i="14"/>
  <c r="G79" i="14"/>
  <c r="G78" i="14"/>
  <c r="G77" i="14"/>
  <c r="G76" i="14"/>
  <c r="G75" i="14"/>
  <c r="G74" i="14"/>
  <c r="G73" i="14"/>
  <c r="G72" i="14"/>
  <c r="G71" i="14"/>
  <c r="G70" i="14"/>
  <c r="G69" i="14"/>
  <c r="G68" i="14"/>
  <c r="G67" i="14"/>
  <c r="G66" i="14"/>
  <c r="G65" i="14"/>
  <c r="G64" i="14"/>
  <c r="G63" i="14"/>
  <c r="G62" i="14"/>
  <c r="G61" i="14"/>
  <c r="G60" i="14"/>
  <c r="G59" i="14"/>
  <c r="G58" i="14"/>
  <c r="G57" i="14"/>
  <c r="G56" i="14"/>
  <c r="G55" i="14"/>
  <c r="G54" i="14"/>
  <c r="G53" i="14"/>
  <c r="G52" i="14"/>
  <c r="G51" i="14"/>
  <c r="G50" i="14"/>
  <c r="G49" i="14"/>
  <c r="G48" i="14"/>
  <c r="G47" i="14"/>
  <c r="G46" i="14"/>
  <c r="G45" i="14"/>
  <c r="G44" i="14"/>
  <c r="G43" i="14"/>
  <c r="G42" i="14"/>
  <c r="G41" i="14"/>
  <c r="G40" i="14"/>
  <c r="G39" i="14"/>
  <c r="G38" i="14"/>
  <c r="G37" i="14"/>
  <c r="G36" i="14"/>
  <c r="G35" i="14"/>
  <c r="G34" i="14"/>
  <c r="G33" i="14"/>
  <c r="G32" i="14"/>
  <c r="G31" i="14"/>
  <c r="G30" i="14"/>
  <c r="G29" i="14"/>
  <c r="G28" i="14"/>
  <c r="G27" i="14"/>
  <c r="G26" i="14"/>
  <c r="G25" i="14"/>
  <c r="G24" i="14"/>
  <c r="G23" i="14"/>
  <c r="G22" i="14"/>
  <c r="G21" i="14"/>
  <c r="G20" i="14"/>
  <c r="G19" i="14"/>
  <c r="G18" i="14"/>
  <c r="G17" i="14"/>
  <c r="G16" i="14"/>
  <c r="G15" i="14"/>
  <c r="G14" i="14"/>
  <c r="G13" i="14"/>
  <c r="D13"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D46" i="14"/>
  <c r="D47" i="14"/>
  <c r="D48" i="14"/>
  <c r="D49" i="14"/>
  <c r="D50" i="14"/>
  <c r="D51" i="14"/>
  <c r="D52" i="14"/>
  <c r="D53" i="14"/>
  <c r="D54" i="14"/>
  <c r="D55" i="14"/>
  <c r="D56" i="14"/>
  <c r="D57" i="14"/>
  <c r="D58" i="14"/>
  <c r="D59" i="14"/>
  <c r="D60" i="14"/>
  <c r="D61" i="14"/>
  <c r="D62" i="14"/>
  <c r="D63" i="14"/>
  <c r="D64" i="14"/>
  <c r="D65" i="14"/>
  <c r="D66" i="14"/>
  <c r="D67" i="14"/>
  <c r="D68" i="14"/>
  <c r="D69" i="14"/>
  <c r="D70" i="14"/>
  <c r="D71" i="14"/>
  <c r="D72" i="14"/>
  <c r="D73" i="14"/>
  <c r="D74" i="14"/>
  <c r="D75" i="14"/>
  <c r="D76" i="14"/>
  <c r="D77" i="14"/>
  <c r="D78" i="14"/>
  <c r="D79" i="14"/>
  <c r="D80" i="14"/>
  <c r="D81" i="14"/>
  <c r="D82" i="14"/>
  <c r="D83" i="14"/>
  <c r="D84" i="14"/>
  <c r="D85" i="14"/>
  <c r="D86" i="14"/>
  <c r="D87" i="14"/>
  <c r="D88" i="14"/>
  <c r="D89" i="14"/>
  <c r="D90" i="14"/>
  <c r="D91" i="14"/>
  <c r="D92" i="14"/>
  <c r="D93" i="14"/>
  <c r="D94" i="14"/>
  <c r="D95" i="14"/>
  <c r="D96" i="14"/>
  <c r="D97" i="14"/>
  <c r="D98" i="14"/>
  <c r="D99" i="14"/>
  <c r="D100" i="14"/>
  <c r="D101" i="14"/>
  <c r="D102" i="14"/>
  <c r="D103" i="14"/>
  <c r="D104" i="14"/>
  <c r="D105" i="14"/>
  <c r="D106" i="14"/>
  <c r="D107" i="14"/>
  <c r="D108" i="14"/>
  <c r="D109" i="14"/>
  <c r="D110" i="14"/>
  <c r="D111" i="14"/>
  <c r="D112" i="14"/>
  <c r="D113" i="14"/>
  <c r="D114" i="14"/>
  <c r="B8" i="14"/>
  <c r="J15" i="12" l="1"/>
  <c r="I22" i="12"/>
  <c r="I21" i="12"/>
  <c r="B80" i="10"/>
  <c r="J22" i="12" l="1"/>
  <c r="J35" i="12" s="1"/>
  <c r="J38" i="12" s="1"/>
  <c r="J29" i="12" s="1"/>
  <c r="J30" i="12" s="1"/>
  <c r="J45" i="12" s="1"/>
  <c r="J48" i="12" s="1"/>
  <c r="J21" i="12"/>
  <c r="B9" i="10"/>
  <c r="B85" i="11"/>
  <c r="B81" i="11"/>
  <c r="B75" i="11"/>
  <c r="B60" i="11"/>
  <c r="B84" i="11" s="1"/>
  <c r="B65" i="11"/>
  <c r="B64" i="11"/>
  <c r="B51" i="7"/>
  <c r="B46" i="7"/>
  <c r="B40" i="7"/>
  <c r="B37" i="7"/>
  <c r="B34" i="7"/>
  <c r="B31" i="7"/>
  <c r="B28" i="7"/>
  <c r="B25" i="7"/>
  <c r="B22" i="7"/>
  <c r="B19" i="7"/>
  <c r="B13" i="7"/>
  <c r="C51" i="11"/>
  <c r="C65" i="11" s="1"/>
  <c r="D51" i="11"/>
  <c r="D65" i="11" s="1"/>
  <c r="E51" i="11"/>
  <c r="E65" i="11" s="1"/>
  <c r="F51" i="11"/>
  <c r="F65" i="11" s="1"/>
  <c r="G51" i="11"/>
  <c r="G65" i="11" s="1"/>
  <c r="H51" i="11"/>
  <c r="H65" i="11" s="1"/>
  <c r="I51" i="11"/>
  <c r="I65" i="11" s="1"/>
  <c r="J51" i="11"/>
  <c r="K51" i="11"/>
  <c r="K65" i="11" s="1"/>
  <c r="B50" i="11"/>
  <c r="B56" i="11" s="1"/>
  <c r="E26" i="26" l="1"/>
  <c r="D34" i="34"/>
  <c r="H20" i="26"/>
  <c r="N20" i="26"/>
  <c r="I20" i="26"/>
  <c r="B74" i="11"/>
  <c r="B80" i="11"/>
  <c r="J65" i="11"/>
  <c r="K49" i="11"/>
  <c r="J49" i="11"/>
  <c r="I49" i="11"/>
  <c r="H49" i="11"/>
  <c r="G49" i="11"/>
  <c r="F49" i="11"/>
  <c r="E49" i="11"/>
  <c r="D49" i="11"/>
  <c r="C49" i="11"/>
  <c r="B82" i="10"/>
  <c r="B83" i="10" s="1"/>
  <c r="B84" i="10"/>
  <c r="B85" i="10" s="1"/>
  <c r="B86" i="10"/>
  <c r="B87" i="10" s="1"/>
  <c r="B81" i="10"/>
  <c r="B75" i="10"/>
  <c r="B76" i="10" s="1"/>
  <c r="B72" i="10"/>
  <c r="B73" i="10" s="1"/>
  <c r="B68" i="10"/>
  <c r="B69" i="10" s="1"/>
  <c r="B70" i="10"/>
  <c r="B71" i="10" s="1"/>
  <c r="B66" i="10"/>
  <c r="B67" i="10" s="1"/>
  <c r="B64" i="10"/>
  <c r="B65" i="10" s="1"/>
  <c r="B62" i="10"/>
  <c r="B63" i="10" s="1"/>
  <c r="B60" i="10"/>
  <c r="B61" i="10" s="1"/>
  <c r="B58" i="10"/>
  <c r="B59" i="10" s="1"/>
  <c r="B56" i="10"/>
  <c r="B57" i="10" s="1"/>
  <c r="B55" i="10"/>
  <c r="B49" i="10"/>
  <c r="B46" i="10"/>
  <c r="B47" i="10" s="1"/>
  <c r="B50" i="10"/>
  <c r="B52" i="10"/>
  <c r="B53" i="10" s="1"/>
  <c r="B44" i="10"/>
  <c r="B45" i="10" s="1"/>
  <c r="B39" i="10"/>
  <c r="B40" i="10" s="1"/>
  <c r="B36" i="10"/>
  <c r="B37" i="10" s="1"/>
  <c r="B33" i="10"/>
  <c r="B34" i="10" s="1"/>
  <c r="B31" i="10"/>
  <c r="B32" i="10" s="1"/>
  <c r="B29" i="10"/>
  <c r="B30" i="10" s="1"/>
  <c r="B27" i="10"/>
  <c r="B28" i="10" s="1"/>
  <c r="B25" i="10"/>
  <c r="B26" i="10" s="1"/>
  <c r="B23" i="10"/>
  <c r="B24" i="10" s="1"/>
  <c r="B21" i="10"/>
  <c r="B22" i="10" s="1"/>
  <c r="B19" i="10"/>
  <c r="B20" i="10" s="1"/>
  <c r="B13" i="10"/>
  <c r="B14" i="10" s="1"/>
  <c r="B17" i="10"/>
  <c r="B18" i="10" s="1"/>
  <c r="B15" i="10"/>
  <c r="L10" i="10"/>
  <c r="K10" i="10"/>
  <c r="J10" i="10"/>
  <c r="I10" i="10"/>
  <c r="H10" i="10"/>
  <c r="G10" i="10"/>
  <c r="F10" i="10"/>
  <c r="E10" i="10"/>
  <c r="D10" i="10"/>
  <c r="C10" i="10"/>
  <c r="P20" i="26" l="1"/>
  <c r="L20" i="26"/>
  <c r="K20" i="26"/>
  <c r="J20" i="26"/>
  <c r="O20" i="26"/>
  <c r="M20" i="26"/>
  <c r="G20" i="26"/>
  <c r="D55" i="11"/>
  <c r="D79" i="11" s="1"/>
  <c r="D73" i="11"/>
  <c r="E55" i="11"/>
  <c r="E79" i="11" s="1"/>
  <c r="E73" i="11"/>
  <c r="F55" i="11"/>
  <c r="F79" i="11" s="1"/>
  <c r="F73" i="11"/>
  <c r="J55" i="11"/>
  <c r="J79" i="11" s="1"/>
  <c r="J73" i="11"/>
  <c r="H55" i="11"/>
  <c r="H79" i="11" s="1"/>
  <c r="H73" i="11"/>
  <c r="I55" i="11"/>
  <c r="I79" i="11" s="1"/>
  <c r="I73" i="11"/>
  <c r="C55" i="11"/>
  <c r="C79" i="11" s="1"/>
  <c r="C73" i="11"/>
  <c r="G55" i="11"/>
  <c r="G79" i="11" s="1"/>
  <c r="G73" i="11"/>
  <c r="K55" i="11"/>
  <c r="K79" i="11" s="1"/>
  <c r="K73" i="11"/>
  <c r="B51" i="10"/>
  <c r="B16" i="10"/>
  <c r="B43" i="9"/>
  <c r="B44" i="9"/>
  <c r="B42" i="9"/>
  <c r="B41" i="9"/>
  <c r="B39" i="9"/>
  <c r="B35" i="9"/>
  <c r="B33" i="9"/>
  <c r="B34" i="9"/>
  <c r="B32" i="9"/>
  <c r="B31" i="9"/>
  <c r="B30" i="9"/>
  <c r="B29" i="9"/>
  <c r="B28" i="9"/>
  <c r="B27" i="9"/>
  <c r="B25" i="9"/>
  <c r="B22" i="9"/>
  <c r="B21" i="9"/>
  <c r="B20" i="9"/>
  <c r="B19" i="9"/>
  <c r="B18" i="9"/>
  <c r="B17" i="9"/>
  <c r="B16" i="9"/>
  <c r="B15" i="9"/>
  <c r="B14" i="9"/>
  <c r="B12" i="9"/>
  <c r="B9" i="9"/>
  <c r="L10" i="9"/>
  <c r="K10" i="9"/>
  <c r="J10" i="9"/>
  <c r="I10" i="9"/>
  <c r="H10" i="9"/>
  <c r="G10" i="9"/>
  <c r="F10" i="9"/>
  <c r="E10" i="9"/>
  <c r="D10" i="9"/>
  <c r="C10" i="9"/>
  <c r="B9" i="8" l="1"/>
  <c r="L10" i="8"/>
  <c r="K10" i="8"/>
  <c r="J10" i="8"/>
  <c r="I10" i="8"/>
  <c r="H10" i="8"/>
  <c r="G10" i="8"/>
  <c r="F10" i="8"/>
  <c r="E10" i="8"/>
  <c r="D10" i="8"/>
  <c r="C10" i="8"/>
  <c r="D80" i="10"/>
  <c r="E80" i="10"/>
  <c r="F80" i="10"/>
  <c r="G80" i="10"/>
  <c r="H80" i="10"/>
  <c r="I80" i="10"/>
  <c r="J80" i="10"/>
  <c r="K80" i="10"/>
  <c r="L80" i="10"/>
  <c r="D82" i="10"/>
  <c r="E82" i="10"/>
  <c r="F82" i="10"/>
  <c r="G82" i="10"/>
  <c r="H82" i="10"/>
  <c r="I82" i="10"/>
  <c r="J82" i="10"/>
  <c r="K82" i="10"/>
  <c r="L82" i="10"/>
  <c r="D84" i="10"/>
  <c r="E84" i="10"/>
  <c r="F84" i="10"/>
  <c r="G84" i="10"/>
  <c r="H84" i="10"/>
  <c r="I84" i="10"/>
  <c r="J84" i="10"/>
  <c r="K84" i="10"/>
  <c r="L84" i="10"/>
  <c r="C82" i="10"/>
  <c r="C83" i="10" s="1"/>
  <c r="C84" i="10"/>
  <c r="C85" i="10" s="1"/>
  <c r="C80" i="10"/>
  <c r="C81" i="10" s="1"/>
  <c r="C77" i="7"/>
  <c r="B9" i="7"/>
  <c r="L85" i="10" l="1"/>
  <c r="H85" i="10"/>
  <c r="I85" i="10"/>
  <c r="E85" i="10"/>
  <c r="J83" i="10"/>
  <c r="F83" i="10"/>
  <c r="K81" i="10"/>
  <c r="G81" i="10"/>
  <c r="I83" i="10"/>
  <c r="E83" i="10"/>
  <c r="J81" i="10"/>
  <c r="F81" i="10"/>
  <c r="J85" i="10"/>
  <c r="F85" i="10"/>
  <c r="K83" i="10"/>
  <c r="G83" i="10"/>
  <c r="L81" i="10"/>
  <c r="H81" i="10"/>
  <c r="D81" i="10"/>
  <c r="C70" i="10"/>
  <c r="C71" i="10" s="1"/>
  <c r="D85" i="10"/>
  <c r="K85" i="10"/>
  <c r="G85" i="10"/>
  <c r="L83" i="10"/>
  <c r="H83" i="10"/>
  <c r="D83" i="10"/>
  <c r="I81" i="10"/>
  <c r="E81" i="10"/>
  <c r="K86" i="10"/>
  <c r="G86" i="10"/>
  <c r="C86" i="10"/>
  <c r="C87" i="10" s="1"/>
  <c r="I86" i="10"/>
  <c r="E86" i="10"/>
  <c r="J86" i="10"/>
  <c r="L86" i="10"/>
  <c r="H86" i="10"/>
  <c r="D86" i="10"/>
  <c r="F86" i="10"/>
  <c r="D71" i="7"/>
  <c r="D62" i="10" s="1"/>
  <c r="E71" i="7"/>
  <c r="E62" i="10" s="1"/>
  <c r="F71" i="7"/>
  <c r="F62" i="10" s="1"/>
  <c r="G71" i="7"/>
  <c r="G62" i="10" s="1"/>
  <c r="H71" i="7"/>
  <c r="H62" i="10" s="1"/>
  <c r="I71" i="7"/>
  <c r="I62" i="10" s="1"/>
  <c r="J71" i="7"/>
  <c r="J62" i="10" s="1"/>
  <c r="K71" i="7"/>
  <c r="K62" i="10" s="1"/>
  <c r="L71" i="7"/>
  <c r="L62" i="10" s="1"/>
  <c r="C71" i="7"/>
  <c r="C62" i="10" s="1"/>
  <c r="C63" i="10" s="1"/>
  <c r="D75" i="7"/>
  <c r="D66" i="10" s="1"/>
  <c r="E75" i="7"/>
  <c r="E66" i="10" s="1"/>
  <c r="F75" i="7"/>
  <c r="F66" i="10" s="1"/>
  <c r="G75" i="7"/>
  <c r="G66" i="10" s="1"/>
  <c r="H75" i="7"/>
  <c r="H66" i="10" s="1"/>
  <c r="I75" i="7"/>
  <c r="I66" i="10" s="1"/>
  <c r="J75" i="7"/>
  <c r="J66" i="10" s="1"/>
  <c r="K75" i="7"/>
  <c r="K66" i="10" s="1"/>
  <c r="L75" i="7"/>
  <c r="L66" i="10" s="1"/>
  <c r="D76" i="7"/>
  <c r="D68" i="10" s="1"/>
  <c r="E76" i="7"/>
  <c r="E68" i="10" s="1"/>
  <c r="F76" i="7"/>
  <c r="F68" i="10" s="1"/>
  <c r="G76" i="7"/>
  <c r="G68" i="10" s="1"/>
  <c r="H76" i="7"/>
  <c r="H68" i="10" s="1"/>
  <c r="I76" i="7"/>
  <c r="I68" i="10" s="1"/>
  <c r="J76" i="7"/>
  <c r="J68" i="10" s="1"/>
  <c r="K76" i="7"/>
  <c r="K68" i="10" s="1"/>
  <c r="L76" i="7"/>
  <c r="L68" i="10" s="1"/>
  <c r="D77" i="7"/>
  <c r="E77" i="7"/>
  <c r="F77" i="7"/>
  <c r="G77" i="7"/>
  <c r="H77" i="7"/>
  <c r="I77" i="7"/>
  <c r="J77" i="7"/>
  <c r="K77" i="7"/>
  <c r="L77" i="7"/>
  <c r="C76" i="7"/>
  <c r="C68" i="10" s="1"/>
  <c r="C69" i="10" s="1"/>
  <c r="C75" i="7"/>
  <c r="C66" i="10" s="1"/>
  <c r="C67" i="10" s="1"/>
  <c r="D68" i="7"/>
  <c r="D56" i="10" s="1"/>
  <c r="E68" i="7"/>
  <c r="E56" i="10" s="1"/>
  <c r="F68" i="7"/>
  <c r="F56" i="10" s="1"/>
  <c r="G68" i="7"/>
  <c r="G56" i="10" s="1"/>
  <c r="H68" i="7"/>
  <c r="H56" i="10" s="1"/>
  <c r="I68" i="7"/>
  <c r="I56" i="10" s="1"/>
  <c r="J68" i="7"/>
  <c r="J56" i="10" s="1"/>
  <c r="K68" i="7"/>
  <c r="K56" i="10" s="1"/>
  <c r="L68" i="7"/>
  <c r="L56" i="10" s="1"/>
  <c r="D69" i="7"/>
  <c r="D58" i="10" s="1"/>
  <c r="E69" i="7"/>
  <c r="E58" i="10" s="1"/>
  <c r="F69" i="7"/>
  <c r="F58" i="10" s="1"/>
  <c r="G69" i="7"/>
  <c r="G58" i="10" s="1"/>
  <c r="H69" i="7"/>
  <c r="H58" i="10" s="1"/>
  <c r="I69" i="7"/>
  <c r="I58" i="10" s="1"/>
  <c r="J69" i="7"/>
  <c r="J58" i="10" s="1"/>
  <c r="K69" i="7"/>
  <c r="K58" i="10" s="1"/>
  <c r="L69" i="7"/>
  <c r="L58" i="10" s="1"/>
  <c r="D70" i="7"/>
  <c r="D60" i="10" s="1"/>
  <c r="E70" i="7"/>
  <c r="E60" i="10" s="1"/>
  <c r="F70" i="7"/>
  <c r="F60" i="10" s="1"/>
  <c r="G70" i="7"/>
  <c r="G60" i="10" s="1"/>
  <c r="H70" i="7"/>
  <c r="H60" i="10" s="1"/>
  <c r="I70" i="7"/>
  <c r="I60" i="10" s="1"/>
  <c r="J70" i="7"/>
  <c r="J60" i="10" s="1"/>
  <c r="K70" i="7"/>
  <c r="K60" i="10" s="1"/>
  <c r="L70" i="7"/>
  <c r="L60" i="10" s="1"/>
  <c r="C69" i="7"/>
  <c r="C58" i="10" s="1"/>
  <c r="C59" i="10" s="1"/>
  <c r="C70" i="7"/>
  <c r="C60" i="10" s="1"/>
  <c r="C61" i="10" s="1"/>
  <c r="C68" i="7"/>
  <c r="C56" i="10" s="1"/>
  <c r="C57" i="10" s="1"/>
  <c r="D61" i="7"/>
  <c r="E61" i="7"/>
  <c r="F61" i="7"/>
  <c r="G61" i="7"/>
  <c r="H61" i="7"/>
  <c r="I61" i="7"/>
  <c r="J61" i="7"/>
  <c r="K61" i="7"/>
  <c r="L61" i="7"/>
  <c r="D62" i="7"/>
  <c r="E62" i="7"/>
  <c r="F62" i="7"/>
  <c r="G62" i="7"/>
  <c r="H62" i="7"/>
  <c r="I62" i="7"/>
  <c r="J62" i="7"/>
  <c r="K62" i="7"/>
  <c r="L62" i="7"/>
  <c r="D63" i="7"/>
  <c r="E63" i="7"/>
  <c r="F63" i="7"/>
  <c r="G63" i="7"/>
  <c r="H63" i="7"/>
  <c r="I63" i="7"/>
  <c r="J63" i="7"/>
  <c r="K63" i="7"/>
  <c r="L63" i="7"/>
  <c r="D64" i="7"/>
  <c r="E64" i="7"/>
  <c r="F64" i="7"/>
  <c r="G64" i="7"/>
  <c r="H64" i="7"/>
  <c r="I64" i="7"/>
  <c r="J64" i="7"/>
  <c r="K64" i="7"/>
  <c r="L64" i="7"/>
  <c r="C62" i="7"/>
  <c r="C63" i="7"/>
  <c r="C64" i="7"/>
  <c r="C20" i="8" s="1"/>
  <c r="C61" i="7"/>
  <c r="L48" i="7"/>
  <c r="L54" i="7" s="1"/>
  <c r="K48" i="7"/>
  <c r="K54" i="7" s="1"/>
  <c r="J48" i="7"/>
  <c r="J54" i="7" s="1"/>
  <c r="I48" i="7"/>
  <c r="I54" i="7" s="1"/>
  <c r="H48" i="7"/>
  <c r="H54" i="7" s="1"/>
  <c r="G48" i="7"/>
  <c r="G54" i="7" s="1"/>
  <c r="F48" i="7"/>
  <c r="F54" i="7" s="1"/>
  <c r="E48" i="7"/>
  <c r="E54" i="7" s="1"/>
  <c r="D48" i="7"/>
  <c r="D54" i="7" s="1"/>
  <c r="C48" i="7"/>
  <c r="C54" i="7" s="1"/>
  <c r="C55" i="7" s="1"/>
  <c r="L42" i="7"/>
  <c r="L31" i="10" s="1"/>
  <c r="K42" i="7"/>
  <c r="K31" i="10" s="1"/>
  <c r="J42" i="7"/>
  <c r="J31" i="10" s="1"/>
  <c r="I42" i="7"/>
  <c r="I31" i="10" s="1"/>
  <c r="H42" i="7"/>
  <c r="H31" i="10" s="1"/>
  <c r="G42" i="7"/>
  <c r="G31" i="10" s="1"/>
  <c r="F42" i="7"/>
  <c r="F31" i="10" s="1"/>
  <c r="E42" i="7"/>
  <c r="E31" i="10" s="1"/>
  <c r="D42" i="7"/>
  <c r="D31" i="10" s="1"/>
  <c r="C42" i="7"/>
  <c r="D30" i="7"/>
  <c r="D23" i="10" s="1"/>
  <c r="E30" i="7"/>
  <c r="E23" i="10" s="1"/>
  <c r="F30" i="7"/>
  <c r="F23" i="10" s="1"/>
  <c r="G30" i="7"/>
  <c r="G23" i="10" s="1"/>
  <c r="H30" i="7"/>
  <c r="H23" i="10" s="1"/>
  <c r="I30" i="7"/>
  <c r="I23" i="10" s="1"/>
  <c r="J30" i="7"/>
  <c r="J23" i="10" s="1"/>
  <c r="K30" i="7"/>
  <c r="K23" i="10" s="1"/>
  <c r="L30" i="7"/>
  <c r="L23" i="10" s="1"/>
  <c r="C30" i="7"/>
  <c r="C23" i="10" s="1"/>
  <c r="C24" i="10" s="1"/>
  <c r="L36" i="7"/>
  <c r="L27" i="10" s="1"/>
  <c r="K36" i="7"/>
  <c r="K27" i="10" s="1"/>
  <c r="J36" i="7"/>
  <c r="J27" i="10" s="1"/>
  <c r="I36" i="7"/>
  <c r="I27" i="10" s="1"/>
  <c r="H36" i="7"/>
  <c r="H27" i="10" s="1"/>
  <c r="G36" i="7"/>
  <c r="G27" i="10" s="1"/>
  <c r="F36" i="7"/>
  <c r="F27" i="10" s="1"/>
  <c r="E36" i="7"/>
  <c r="E27" i="10" s="1"/>
  <c r="D36" i="7"/>
  <c r="D27" i="10" s="1"/>
  <c r="C36" i="7"/>
  <c r="C27" i="10" s="1"/>
  <c r="C28" i="10" s="1"/>
  <c r="H55" i="7" l="1"/>
  <c r="C17" i="35" s="1"/>
  <c r="J55" i="7"/>
  <c r="E17" i="35" s="1"/>
  <c r="L55" i="7"/>
  <c r="G17" i="35" s="1"/>
  <c r="D39" i="10"/>
  <c r="D55" i="7"/>
  <c r="F39" i="10"/>
  <c r="F55" i="7"/>
  <c r="E39" i="10"/>
  <c r="E40" i="10" s="1"/>
  <c r="E55" i="7"/>
  <c r="G39" i="10"/>
  <c r="G40" i="10" s="1"/>
  <c r="G55" i="7"/>
  <c r="I55" i="7"/>
  <c r="D17" i="35" s="1"/>
  <c r="K55" i="7"/>
  <c r="F17" i="35" s="1"/>
  <c r="H39" i="10"/>
  <c r="H40" i="10" s="1"/>
  <c r="C16" i="35"/>
  <c r="J39" i="10"/>
  <c r="E16" i="35"/>
  <c r="L39" i="10"/>
  <c r="L40" i="10" s="1"/>
  <c r="G16" i="35"/>
  <c r="I39" i="10"/>
  <c r="D16" i="35"/>
  <c r="K39" i="10"/>
  <c r="K40" i="10" s="1"/>
  <c r="F16" i="35"/>
  <c r="L69" i="10"/>
  <c r="H69" i="10"/>
  <c r="I67" i="10"/>
  <c r="E67" i="10"/>
  <c r="K63" i="10"/>
  <c r="G63" i="10"/>
  <c r="F87" i="10"/>
  <c r="L61" i="10"/>
  <c r="H61" i="10"/>
  <c r="I59" i="10"/>
  <c r="E59" i="10"/>
  <c r="J57" i="10"/>
  <c r="F57" i="10"/>
  <c r="J69" i="10"/>
  <c r="F69" i="10"/>
  <c r="K67" i="10"/>
  <c r="G67" i="10"/>
  <c r="L22" i="8"/>
  <c r="H22" i="8"/>
  <c r="D22" i="8"/>
  <c r="J61" i="10"/>
  <c r="F61" i="10"/>
  <c r="K59" i="10"/>
  <c r="G59" i="10"/>
  <c r="L57" i="10"/>
  <c r="H57" i="10"/>
  <c r="D57" i="10"/>
  <c r="D69" i="10"/>
  <c r="J87" i="10"/>
  <c r="D63" i="10"/>
  <c r="I61" i="10"/>
  <c r="E61" i="10"/>
  <c r="J59" i="10"/>
  <c r="F59" i="10"/>
  <c r="K57" i="10"/>
  <c r="G57" i="10"/>
  <c r="K69" i="10"/>
  <c r="G69" i="10"/>
  <c r="L67" i="10"/>
  <c r="H67" i="10"/>
  <c r="J63" i="10"/>
  <c r="F63" i="10"/>
  <c r="D87" i="10"/>
  <c r="E87" i="10"/>
  <c r="K70" i="10"/>
  <c r="K20" i="8"/>
  <c r="G70" i="10"/>
  <c r="G20" i="8"/>
  <c r="G87" i="10"/>
  <c r="C22" i="8"/>
  <c r="G22" i="8"/>
  <c r="D67" i="10"/>
  <c r="K87" i="10"/>
  <c r="J22" i="8"/>
  <c r="F22" i="8"/>
  <c r="D61" i="10"/>
  <c r="I20" i="8"/>
  <c r="I70" i="10"/>
  <c r="E20" i="8"/>
  <c r="E70" i="10"/>
  <c r="I63" i="10"/>
  <c r="E63" i="10"/>
  <c r="H87" i="10"/>
  <c r="I87" i="10"/>
  <c r="K22" i="8"/>
  <c r="J20" i="8"/>
  <c r="J70" i="10"/>
  <c r="F20" i="8"/>
  <c r="F70" i="10"/>
  <c r="I22" i="8"/>
  <c r="E22" i="8"/>
  <c r="K61" i="10"/>
  <c r="G61" i="10"/>
  <c r="L59" i="10"/>
  <c r="H59" i="10"/>
  <c r="D59" i="10"/>
  <c r="I57" i="10"/>
  <c r="E57" i="10"/>
  <c r="L20" i="8"/>
  <c r="L70" i="10"/>
  <c r="H20" i="8"/>
  <c r="H70" i="10"/>
  <c r="D20" i="8"/>
  <c r="D70" i="10"/>
  <c r="D71" i="10" s="1"/>
  <c r="I69" i="10"/>
  <c r="E69" i="10"/>
  <c r="J67" i="10"/>
  <c r="F67" i="10"/>
  <c r="L63" i="10"/>
  <c r="H63" i="10"/>
  <c r="L87" i="10"/>
  <c r="J24" i="10"/>
  <c r="F24" i="10"/>
  <c r="F32" i="10"/>
  <c r="J32" i="10"/>
  <c r="K24" i="10"/>
  <c r="G24" i="10"/>
  <c r="G28" i="10"/>
  <c r="K28" i="10"/>
  <c r="G32" i="10"/>
  <c r="K32" i="10"/>
  <c r="I40" i="10"/>
  <c r="C31" i="10"/>
  <c r="C32" i="10" s="1"/>
  <c r="C44" i="10"/>
  <c r="H52" i="10"/>
  <c r="I44" i="8"/>
  <c r="I50" i="10"/>
  <c r="I38" i="9"/>
  <c r="I39" i="9" s="1"/>
  <c r="E44" i="8"/>
  <c r="E50" i="10"/>
  <c r="E38" i="9"/>
  <c r="E39" i="9" s="1"/>
  <c r="F46" i="10"/>
  <c r="G44" i="10"/>
  <c r="D28" i="10"/>
  <c r="L28" i="10"/>
  <c r="H32" i="10"/>
  <c r="C52" i="10"/>
  <c r="C53" i="10" s="1"/>
  <c r="G52" i="10"/>
  <c r="H44" i="8"/>
  <c r="H50" i="10"/>
  <c r="H38" i="9"/>
  <c r="H39" i="9" s="1"/>
  <c r="D44" i="8"/>
  <c r="D50" i="10"/>
  <c r="D38" i="9"/>
  <c r="D39" i="9" s="1"/>
  <c r="I46" i="10"/>
  <c r="J44" i="10"/>
  <c r="F44" i="10"/>
  <c r="I24" i="10"/>
  <c r="E24" i="10"/>
  <c r="E32" i="10"/>
  <c r="I32" i="10"/>
  <c r="C39" i="10"/>
  <c r="C40" i="10" s="1"/>
  <c r="C44" i="8"/>
  <c r="C50" i="10"/>
  <c r="C38" i="9"/>
  <c r="C39" i="9" s="1"/>
  <c r="J52" i="10"/>
  <c r="F52" i="10"/>
  <c r="K44" i="8"/>
  <c r="K50" i="10"/>
  <c r="K38" i="9"/>
  <c r="K39" i="9" s="1"/>
  <c r="G44" i="8"/>
  <c r="G50" i="10"/>
  <c r="G38" i="9"/>
  <c r="G39" i="9" s="1"/>
  <c r="L46" i="10"/>
  <c r="H46" i="10"/>
  <c r="D46" i="10"/>
  <c r="I44" i="10"/>
  <c r="E44" i="10"/>
  <c r="L52" i="10"/>
  <c r="D52" i="10"/>
  <c r="J46" i="10"/>
  <c r="K44" i="10"/>
  <c r="H28" i="10"/>
  <c r="L32" i="10"/>
  <c r="J40" i="10"/>
  <c r="K52" i="10"/>
  <c r="L44" i="8"/>
  <c r="L50" i="10"/>
  <c r="L38" i="9"/>
  <c r="L39" i="9" s="1"/>
  <c r="E46" i="10"/>
  <c r="E28" i="10"/>
  <c r="I28" i="10"/>
  <c r="F28" i="10"/>
  <c r="J28" i="10"/>
  <c r="L24" i="10"/>
  <c r="H24" i="10"/>
  <c r="D24" i="10"/>
  <c r="C46" i="10"/>
  <c r="C47" i="10" s="1"/>
  <c r="I52" i="10"/>
  <c r="E52" i="10"/>
  <c r="J44" i="8"/>
  <c r="J50" i="10"/>
  <c r="J38" i="9"/>
  <c r="J39" i="9" s="1"/>
  <c r="F44" i="8"/>
  <c r="F50" i="10"/>
  <c r="F38" i="9"/>
  <c r="F39" i="9" s="1"/>
  <c r="K46" i="10"/>
  <c r="G46" i="10"/>
  <c r="L44" i="10"/>
  <c r="H44" i="10"/>
  <c r="D44" i="10"/>
  <c r="C78" i="7"/>
  <c r="C72" i="7"/>
  <c r="C64" i="10" s="1"/>
  <c r="C65" i="10" s="1"/>
  <c r="L78" i="7"/>
  <c r="K52" i="33" s="1"/>
  <c r="H78" i="7"/>
  <c r="G52" i="33" s="1"/>
  <c r="D78" i="7"/>
  <c r="C52" i="33" s="1"/>
  <c r="J78" i="7"/>
  <c r="I52" i="33" s="1"/>
  <c r="F78" i="7"/>
  <c r="E52" i="33" s="1"/>
  <c r="L65" i="7"/>
  <c r="H65" i="7"/>
  <c r="D65" i="7"/>
  <c r="J65" i="7"/>
  <c r="F65" i="7"/>
  <c r="J72" i="7"/>
  <c r="J64" i="10" s="1"/>
  <c r="F72" i="7"/>
  <c r="F64" i="10" s="1"/>
  <c r="K78" i="7"/>
  <c r="J52" i="33" s="1"/>
  <c r="G78" i="7"/>
  <c r="F52" i="33" s="1"/>
  <c r="I78" i="7"/>
  <c r="H52" i="33" s="1"/>
  <c r="E78" i="7"/>
  <c r="D52" i="33" s="1"/>
  <c r="I65" i="7"/>
  <c r="E65" i="7"/>
  <c r="C65" i="7"/>
  <c r="K65" i="7"/>
  <c r="G65" i="7"/>
  <c r="K72" i="7"/>
  <c r="K64" i="10" s="1"/>
  <c r="G72" i="7"/>
  <c r="G64" i="10" s="1"/>
  <c r="I72" i="7"/>
  <c r="I64" i="10" s="1"/>
  <c r="E72" i="7"/>
  <c r="E64" i="10" s="1"/>
  <c r="L72" i="7"/>
  <c r="L64" i="10" s="1"/>
  <c r="L65" i="10" s="1"/>
  <c r="H72" i="7"/>
  <c r="H64" i="10" s="1"/>
  <c r="H65" i="10" s="1"/>
  <c r="D72" i="7"/>
  <c r="D64" i="10" s="1"/>
  <c r="D65" i="10" s="1"/>
  <c r="F40" i="10" l="1"/>
  <c r="E41" i="9"/>
  <c r="K65" i="10"/>
  <c r="E65" i="10"/>
  <c r="J71" i="10"/>
  <c r="G71" i="10"/>
  <c r="L71" i="10"/>
  <c r="I65" i="10"/>
  <c r="G19" i="8"/>
  <c r="G18" i="8"/>
  <c r="G72" i="10"/>
  <c r="H18" i="8"/>
  <c r="H19" i="8"/>
  <c r="H72" i="10"/>
  <c r="E71" i="10"/>
  <c r="K19" i="8"/>
  <c r="K72" i="10"/>
  <c r="K18" i="8"/>
  <c r="F19" i="8"/>
  <c r="F72" i="10"/>
  <c r="F18" i="8"/>
  <c r="L18" i="8"/>
  <c r="L72" i="10"/>
  <c r="L19" i="8"/>
  <c r="E72" i="10"/>
  <c r="E18" i="8"/>
  <c r="E19" i="8"/>
  <c r="F65" i="10"/>
  <c r="J19" i="8"/>
  <c r="J72" i="10"/>
  <c r="J18" i="8"/>
  <c r="H71" i="10"/>
  <c r="I71" i="10"/>
  <c r="G65" i="10"/>
  <c r="I72" i="10"/>
  <c r="I18" i="8"/>
  <c r="I19" i="8"/>
  <c r="J65" i="10"/>
  <c r="D18" i="8"/>
  <c r="D19" i="8"/>
  <c r="D72" i="10"/>
  <c r="C18" i="8"/>
  <c r="C72" i="10"/>
  <c r="C73" i="10" s="1"/>
  <c r="C19" i="8"/>
  <c r="F71" i="10"/>
  <c r="K71" i="10"/>
  <c r="I44" i="9"/>
  <c r="K42" i="9"/>
  <c r="E44" i="9"/>
  <c r="K44" i="9"/>
  <c r="D32" i="10"/>
  <c r="D41" i="9"/>
  <c r="F43" i="9"/>
  <c r="J43" i="9"/>
  <c r="C42" i="9"/>
  <c r="D44" i="9"/>
  <c r="D42" i="9"/>
  <c r="F42" i="9"/>
  <c r="J44" i="9"/>
  <c r="C44" i="9"/>
  <c r="C43" i="9"/>
  <c r="G42" i="9"/>
  <c r="K41" i="9"/>
  <c r="I41" i="9"/>
  <c r="H42" i="9"/>
  <c r="G43" i="9"/>
  <c r="E42" i="9"/>
  <c r="H41" i="9"/>
  <c r="I43" i="9"/>
  <c r="C41" i="9"/>
  <c r="I42" i="9"/>
  <c r="L47" i="10"/>
  <c r="I53" i="10"/>
  <c r="D53" i="10"/>
  <c r="G47" i="10"/>
  <c r="K53" i="10"/>
  <c r="K47" i="10"/>
  <c r="J53" i="10"/>
  <c r="I47" i="10"/>
  <c r="H53" i="10"/>
  <c r="G54" i="10"/>
  <c r="G51" i="10"/>
  <c r="K54" i="10"/>
  <c r="K51" i="10"/>
  <c r="C54" i="10"/>
  <c r="C55" i="10" s="1"/>
  <c r="C51" i="10"/>
  <c r="F45" i="10"/>
  <c r="F48" i="10"/>
  <c r="I54" i="10"/>
  <c r="I51" i="10"/>
  <c r="E53" i="10"/>
  <c r="L43" i="9"/>
  <c r="J42" i="9"/>
  <c r="L44" i="9"/>
  <c r="E48" i="10"/>
  <c r="E45" i="10"/>
  <c r="D47" i="10"/>
  <c r="J41" i="9"/>
  <c r="G44" i="9"/>
  <c r="F47" i="10"/>
  <c r="C48" i="10"/>
  <c r="C49" i="10" s="1"/>
  <c r="C45" i="10"/>
  <c r="K45" i="10"/>
  <c r="K48" i="10"/>
  <c r="L41" i="9"/>
  <c r="F54" i="10"/>
  <c r="F51" i="10"/>
  <c r="J54" i="10"/>
  <c r="J51" i="10"/>
  <c r="D40" i="10"/>
  <c r="L51" i="10"/>
  <c r="L54" i="10"/>
  <c r="J47" i="10"/>
  <c r="L53" i="10"/>
  <c r="K43" i="9"/>
  <c r="F44" i="9"/>
  <c r="J48" i="10"/>
  <c r="J45" i="10"/>
  <c r="D43" i="9"/>
  <c r="H43" i="9"/>
  <c r="G53" i="10"/>
  <c r="G41" i="9"/>
  <c r="E43" i="9"/>
  <c r="H44" i="9"/>
  <c r="L42" i="9"/>
  <c r="E54" i="10"/>
  <c r="E51" i="10"/>
  <c r="H45" i="10"/>
  <c r="H48" i="10"/>
  <c r="D45" i="10"/>
  <c r="D48" i="10"/>
  <c r="L45" i="10"/>
  <c r="L48" i="10"/>
  <c r="E47" i="10"/>
  <c r="I48" i="10"/>
  <c r="I45" i="10"/>
  <c r="H47" i="10"/>
  <c r="F53" i="10"/>
  <c r="F41" i="9"/>
  <c r="D51" i="10"/>
  <c r="D54" i="10"/>
  <c r="H51" i="10"/>
  <c r="H54" i="10"/>
  <c r="G45" i="10"/>
  <c r="G48" i="10"/>
  <c r="C80" i="7"/>
  <c r="G80" i="7"/>
  <c r="F53" i="33" s="1"/>
  <c r="F59" i="33" s="1"/>
  <c r="F65" i="33" s="1"/>
  <c r="F77" i="33" s="1"/>
  <c r="F78" i="33" s="1"/>
  <c r="H80" i="7"/>
  <c r="G53" i="33" s="1"/>
  <c r="G59" i="33" s="1"/>
  <c r="G65" i="33" s="1"/>
  <c r="G77" i="33" s="1"/>
  <c r="G78" i="33" s="1"/>
  <c r="F80" i="7"/>
  <c r="E53" i="33" s="1"/>
  <c r="E59" i="33" s="1"/>
  <c r="E65" i="33" s="1"/>
  <c r="E77" i="33" s="1"/>
  <c r="E78" i="33" s="1"/>
  <c r="L80" i="7"/>
  <c r="K53" i="33" s="1"/>
  <c r="K59" i="33" s="1"/>
  <c r="K65" i="33" s="1"/>
  <c r="K77" i="33" s="1"/>
  <c r="K78" i="33" s="1"/>
  <c r="K80" i="7"/>
  <c r="J53" i="33" s="1"/>
  <c r="J59" i="33" s="1"/>
  <c r="J65" i="33" s="1"/>
  <c r="J77" i="33" s="1"/>
  <c r="J78" i="33" s="1"/>
  <c r="D80" i="7"/>
  <c r="C53" i="33" s="1"/>
  <c r="C59" i="33" s="1"/>
  <c r="C65" i="33" s="1"/>
  <c r="C77" i="33" s="1"/>
  <c r="C78" i="33" s="1"/>
  <c r="J80" i="7"/>
  <c r="I53" i="33" s="1"/>
  <c r="I59" i="33" s="1"/>
  <c r="I65" i="33" s="1"/>
  <c r="I77" i="33" s="1"/>
  <c r="I78" i="33" s="1"/>
  <c r="E80" i="7"/>
  <c r="D53" i="33" s="1"/>
  <c r="D59" i="33" s="1"/>
  <c r="D65" i="33" s="1"/>
  <c r="D77" i="33" s="1"/>
  <c r="D78" i="33" s="1"/>
  <c r="I80" i="7"/>
  <c r="H53" i="33" s="1"/>
  <c r="H59" i="33" s="1"/>
  <c r="H65" i="33" s="1"/>
  <c r="H77" i="33" s="1"/>
  <c r="H78" i="33" s="1"/>
  <c r="D24" i="7"/>
  <c r="D19" i="10" s="1"/>
  <c r="E24" i="7"/>
  <c r="E19" i="10" s="1"/>
  <c r="F24" i="7"/>
  <c r="F19" i="10" s="1"/>
  <c r="G24" i="7"/>
  <c r="G19" i="10" s="1"/>
  <c r="H24" i="7"/>
  <c r="H19" i="10" s="1"/>
  <c r="I24" i="7"/>
  <c r="I19" i="10" s="1"/>
  <c r="J24" i="7"/>
  <c r="J19" i="10" s="1"/>
  <c r="K24" i="7"/>
  <c r="K19" i="10" s="1"/>
  <c r="L24" i="7"/>
  <c r="L19" i="10" s="1"/>
  <c r="C24" i="7"/>
  <c r="C19" i="10" s="1"/>
  <c r="C20" i="10" s="1"/>
  <c r="D18" i="7"/>
  <c r="E18" i="7"/>
  <c r="F18" i="7"/>
  <c r="G18" i="7"/>
  <c r="H18" i="7"/>
  <c r="I18" i="7"/>
  <c r="J18" i="7"/>
  <c r="K18" i="7"/>
  <c r="L18" i="7"/>
  <c r="D12" i="7"/>
  <c r="E12" i="7"/>
  <c r="F12" i="7"/>
  <c r="G12" i="7"/>
  <c r="H12" i="7"/>
  <c r="I12" i="7"/>
  <c r="J12" i="7"/>
  <c r="K12" i="7"/>
  <c r="L12" i="7"/>
  <c r="C12" i="7"/>
  <c r="K10" i="7"/>
  <c r="F6" i="35" s="1"/>
  <c r="F19" i="35" s="1"/>
  <c r="L10" i="7"/>
  <c r="G6" i="35" s="1"/>
  <c r="G19" i="35" s="1"/>
  <c r="D10" i="7"/>
  <c r="E10" i="7"/>
  <c r="F10" i="7"/>
  <c r="G10" i="7"/>
  <c r="H10" i="7"/>
  <c r="C6" i="35" s="1"/>
  <c r="C19" i="35" s="1"/>
  <c r="I10" i="7"/>
  <c r="D6" i="35" s="1"/>
  <c r="D19" i="35" s="1"/>
  <c r="J10" i="7"/>
  <c r="E6" i="35" s="1"/>
  <c r="E19" i="35" s="1"/>
  <c r="C10" i="7"/>
  <c r="C21" i="7" l="1"/>
  <c r="C16" i="7"/>
  <c r="F8" i="35"/>
  <c r="K21" i="7"/>
  <c r="K16" i="7"/>
  <c r="D8" i="35"/>
  <c r="I21" i="7"/>
  <c r="I16" i="7"/>
  <c r="G21" i="7"/>
  <c r="G16" i="7"/>
  <c r="E21" i="7"/>
  <c r="E16" i="7"/>
  <c r="G8" i="35"/>
  <c r="L21" i="7"/>
  <c r="L16" i="7"/>
  <c r="E8" i="35"/>
  <c r="J21" i="7"/>
  <c r="J16" i="7"/>
  <c r="C8" i="35"/>
  <c r="H21" i="7"/>
  <c r="H16" i="7"/>
  <c r="F21" i="7"/>
  <c r="F16" i="7"/>
  <c r="D21" i="7"/>
  <c r="D16" i="7"/>
  <c r="I54" i="33"/>
  <c r="J54" i="33"/>
  <c r="D54" i="33"/>
  <c r="C54" i="33"/>
  <c r="G54" i="33"/>
  <c r="F54" i="33"/>
  <c r="K54" i="33"/>
  <c r="E54" i="33"/>
  <c r="H54" i="33"/>
  <c r="I61" i="11"/>
  <c r="I64" i="11" s="1"/>
  <c r="I66" i="11" s="1"/>
  <c r="G61" i="11"/>
  <c r="G85" i="11" s="1"/>
  <c r="D61" i="11"/>
  <c r="D75" i="11" s="1"/>
  <c r="K61" i="11"/>
  <c r="K64" i="11" s="1"/>
  <c r="K66" i="11" s="1"/>
  <c r="I75" i="11"/>
  <c r="E61" i="11"/>
  <c r="C61" i="11"/>
  <c r="G64" i="11"/>
  <c r="G66" i="11" s="1"/>
  <c r="H61" i="11"/>
  <c r="J61" i="11"/>
  <c r="F61" i="11"/>
  <c r="K57" i="11"/>
  <c r="G57" i="11"/>
  <c r="C57" i="11"/>
  <c r="D57" i="11"/>
  <c r="J57" i="11"/>
  <c r="F57" i="11"/>
  <c r="H57" i="11"/>
  <c r="I57" i="11"/>
  <c r="E57" i="11"/>
  <c r="F73" i="10"/>
  <c r="I73" i="10"/>
  <c r="L73" i="10"/>
  <c r="L34" i="8"/>
  <c r="L35" i="8"/>
  <c r="L31" i="8"/>
  <c r="L37" i="8" s="1"/>
  <c r="H34" i="8"/>
  <c r="H35" i="8"/>
  <c r="H31" i="8"/>
  <c r="H37" i="8" s="1"/>
  <c r="D34" i="8"/>
  <c r="D35" i="8"/>
  <c r="D31" i="8"/>
  <c r="D37" i="8" s="1"/>
  <c r="J15" i="10"/>
  <c r="J32" i="8"/>
  <c r="J38" i="8" s="1"/>
  <c r="J33" i="8"/>
  <c r="J39" i="8" s="1"/>
  <c r="F15" i="10"/>
  <c r="F32" i="8"/>
  <c r="F38" i="8" s="1"/>
  <c r="F33" i="8"/>
  <c r="F39" i="8" s="1"/>
  <c r="D82" i="7"/>
  <c r="D23" i="8"/>
  <c r="D75" i="10"/>
  <c r="H35" i="9"/>
  <c r="H23" i="8"/>
  <c r="H75" i="10"/>
  <c r="K35" i="8"/>
  <c r="K31" i="8"/>
  <c r="K37" i="8" s="1"/>
  <c r="K34" i="8"/>
  <c r="G35" i="8"/>
  <c r="G31" i="8"/>
  <c r="G37" i="8" s="1"/>
  <c r="G34" i="8"/>
  <c r="C33" i="8"/>
  <c r="C39" i="8" s="1"/>
  <c r="C32" i="8"/>
  <c r="C38" i="8" s="1"/>
  <c r="I15" i="10"/>
  <c r="I33" i="8"/>
  <c r="I39" i="8" s="1"/>
  <c r="I32" i="8"/>
  <c r="I38" i="8" s="1"/>
  <c r="E15" i="10"/>
  <c r="E33" i="8"/>
  <c r="E39" i="8" s="1"/>
  <c r="E32" i="8"/>
  <c r="E38" i="8" s="1"/>
  <c r="I75" i="10"/>
  <c r="I23" i="8"/>
  <c r="K31" i="9"/>
  <c r="K75" i="10"/>
  <c r="K23" i="8"/>
  <c r="G31" i="9"/>
  <c r="G23" i="8"/>
  <c r="G75" i="10"/>
  <c r="G73" i="10"/>
  <c r="J35" i="8"/>
  <c r="J31" i="8"/>
  <c r="J37" i="8" s="1"/>
  <c r="J34" i="8"/>
  <c r="F35" i="8"/>
  <c r="F31" i="8"/>
  <c r="F37" i="8" s="1"/>
  <c r="F34" i="8"/>
  <c r="L15" i="10"/>
  <c r="L33" i="8"/>
  <c r="L39" i="8" s="1"/>
  <c r="L32" i="8"/>
  <c r="L38" i="8" s="1"/>
  <c r="H15" i="10"/>
  <c r="I16" i="10" s="1"/>
  <c r="H33" i="8"/>
  <c r="H39" i="8" s="1"/>
  <c r="H32" i="8"/>
  <c r="H38" i="8" s="1"/>
  <c r="D15" i="10"/>
  <c r="D33" i="8"/>
  <c r="D39" i="8" s="1"/>
  <c r="D32" i="8"/>
  <c r="D38" i="8" s="1"/>
  <c r="E35" i="9"/>
  <c r="E75" i="10"/>
  <c r="E23" i="8"/>
  <c r="L23" i="8"/>
  <c r="L75" i="10"/>
  <c r="C35" i="9"/>
  <c r="C23" i="8"/>
  <c r="C75" i="10"/>
  <c r="C76" i="10" s="1"/>
  <c r="J73" i="10"/>
  <c r="H73" i="10"/>
  <c r="C34" i="8"/>
  <c r="C35" i="8"/>
  <c r="C31" i="8"/>
  <c r="C37" i="8" s="1"/>
  <c r="I34" i="8"/>
  <c r="I31" i="8"/>
  <c r="I37" i="8" s="1"/>
  <c r="I35" i="8"/>
  <c r="E34" i="8"/>
  <c r="E35" i="8"/>
  <c r="E31" i="8"/>
  <c r="E37" i="8" s="1"/>
  <c r="K15" i="10"/>
  <c r="K32" i="8"/>
  <c r="K38" i="8" s="1"/>
  <c r="K33" i="8"/>
  <c r="K39" i="8" s="1"/>
  <c r="G15" i="10"/>
  <c r="H16" i="10" s="1"/>
  <c r="G32" i="8"/>
  <c r="G38" i="8" s="1"/>
  <c r="G33" i="8"/>
  <c r="G39" i="8" s="1"/>
  <c r="J35" i="9"/>
  <c r="J75" i="10"/>
  <c r="J23" i="8"/>
  <c r="F82" i="7"/>
  <c r="F75" i="10"/>
  <c r="F76" i="10" s="1"/>
  <c r="F23" i="8"/>
  <c r="D73" i="10"/>
  <c r="E73" i="10"/>
  <c r="K73" i="10"/>
  <c r="F35" i="9"/>
  <c r="C82" i="7"/>
  <c r="D55" i="10"/>
  <c r="J31" i="9"/>
  <c r="J55" i="10"/>
  <c r="L20" i="10"/>
  <c r="H20" i="10"/>
  <c r="H55" i="10"/>
  <c r="K55" i="10"/>
  <c r="I20" i="10"/>
  <c r="E20" i="10"/>
  <c r="J49" i="10"/>
  <c r="J20" i="10"/>
  <c r="F20" i="10"/>
  <c r="G49" i="10"/>
  <c r="E55" i="10"/>
  <c r="H82" i="7"/>
  <c r="K49" i="10"/>
  <c r="C13" i="10"/>
  <c r="C14" i="10" s="1"/>
  <c r="C12" i="9"/>
  <c r="I43" i="8"/>
  <c r="I25" i="9"/>
  <c r="I34" i="9"/>
  <c r="I33" i="9"/>
  <c r="I27" i="9"/>
  <c r="I29" i="9"/>
  <c r="I28" i="9"/>
  <c r="I30" i="9"/>
  <c r="I32" i="9"/>
  <c r="K43" i="8"/>
  <c r="K25" i="9"/>
  <c r="K34" i="9"/>
  <c r="K28" i="9"/>
  <c r="K30" i="9"/>
  <c r="K32" i="9"/>
  <c r="K27" i="9"/>
  <c r="K29" i="9"/>
  <c r="K33" i="9"/>
  <c r="I35" i="9"/>
  <c r="L55" i="10"/>
  <c r="L42" i="8"/>
  <c r="L13" i="10"/>
  <c r="L12" i="9"/>
  <c r="H13" i="10"/>
  <c r="H12" i="9"/>
  <c r="D13" i="10"/>
  <c r="D12" i="9"/>
  <c r="D20" i="10"/>
  <c r="D43" i="8"/>
  <c r="D25" i="9"/>
  <c r="D28" i="9"/>
  <c r="D29" i="9"/>
  <c r="D27" i="9"/>
  <c r="D33" i="9"/>
  <c r="D30" i="9"/>
  <c r="D34" i="9"/>
  <c r="D32" i="9"/>
  <c r="L25" i="9"/>
  <c r="L32" i="9"/>
  <c r="L30" i="9"/>
  <c r="L33" i="9"/>
  <c r="L29" i="9"/>
  <c r="L27" i="9"/>
  <c r="L34" i="9"/>
  <c r="L28" i="9"/>
  <c r="C43" i="8"/>
  <c r="C25" i="9"/>
  <c r="C34" i="9"/>
  <c r="C28" i="9"/>
  <c r="C30" i="9"/>
  <c r="C27" i="9"/>
  <c r="C33" i="9"/>
  <c r="C29" i="9"/>
  <c r="C32" i="9"/>
  <c r="L35" i="9"/>
  <c r="D31" i="9"/>
  <c r="I55" i="10"/>
  <c r="G55" i="10"/>
  <c r="J13" i="10"/>
  <c r="J12" i="9"/>
  <c r="F13" i="10"/>
  <c r="F12" i="9"/>
  <c r="E25" i="9"/>
  <c r="E27" i="9"/>
  <c r="E30" i="9"/>
  <c r="E32" i="9"/>
  <c r="E33" i="9"/>
  <c r="E29" i="9"/>
  <c r="E28" i="9"/>
  <c r="E34" i="9"/>
  <c r="H25" i="9"/>
  <c r="H29" i="9"/>
  <c r="H32" i="9"/>
  <c r="H34" i="9"/>
  <c r="H33" i="9"/>
  <c r="H27" i="9"/>
  <c r="H30" i="9"/>
  <c r="H28" i="9"/>
  <c r="I49" i="10"/>
  <c r="H49" i="10"/>
  <c r="I13" i="10"/>
  <c r="I12" i="9"/>
  <c r="E13" i="10"/>
  <c r="E12" i="9"/>
  <c r="J43" i="8"/>
  <c r="J25" i="9"/>
  <c r="J32" i="9"/>
  <c r="J34" i="9"/>
  <c r="J33" i="9"/>
  <c r="J29" i="9"/>
  <c r="J27" i="9"/>
  <c r="J28" i="9"/>
  <c r="J30" i="9"/>
  <c r="G43" i="8"/>
  <c r="G25" i="9"/>
  <c r="G33" i="9"/>
  <c r="G32" i="9"/>
  <c r="G30" i="9"/>
  <c r="G29" i="9"/>
  <c r="G28" i="9"/>
  <c r="G27" i="9"/>
  <c r="G34" i="9"/>
  <c r="E49" i="10"/>
  <c r="D49" i="10"/>
  <c r="I31" i="9"/>
  <c r="K13" i="10"/>
  <c r="K12" i="9"/>
  <c r="G13" i="10"/>
  <c r="G12" i="9"/>
  <c r="C15" i="10"/>
  <c r="C19" i="7"/>
  <c r="C14" i="9" s="1"/>
  <c r="K20" i="10"/>
  <c r="G20" i="10"/>
  <c r="G82" i="7"/>
  <c r="H43" i="8"/>
  <c r="F43" i="8"/>
  <c r="F25" i="9"/>
  <c r="F28" i="9"/>
  <c r="F30" i="9"/>
  <c r="F27" i="9"/>
  <c r="F29" i="9"/>
  <c r="F32" i="9"/>
  <c r="F34" i="9"/>
  <c r="F33" i="9"/>
  <c r="L49" i="10"/>
  <c r="D35" i="9"/>
  <c r="H31" i="9"/>
  <c r="E31" i="9"/>
  <c r="C31" i="9"/>
  <c r="F55" i="10"/>
  <c r="F31" i="9"/>
  <c r="K35" i="9"/>
  <c r="G35" i="9"/>
  <c r="F49" i="10"/>
  <c r="L31" i="9"/>
  <c r="K82" i="7"/>
  <c r="L82" i="7"/>
  <c r="L43" i="8"/>
  <c r="C13" i="7"/>
  <c r="C42" i="8"/>
  <c r="I42" i="8"/>
  <c r="E42" i="8"/>
  <c r="J42" i="8"/>
  <c r="H42" i="8"/>
  <c r="D42" i="8"/>
  <c r="F42" i="8"/>
  <c r="K42" i="8"/>
  <c r="G42" i="8"/>
  <c r="I82" i="7"/>
  <c r="J82" i="7"/>
  <c r="E82" i="7"/>
  <c r="E43" i="8"/>
  <c r="L19" i="7"/>
  <c r="L14" i="9" s="1"/>
  <c r="I13" i="7"/>
  <c r="D9" i="35" s="1"/>
  <c r="E13" i="7"/>
  <c r="G19" i="7"/>
  <c r="G14" i="9" s="1"/>
  <c r="K19" i="7"/>
  <c r="K14" i="9" s="1"/>
  <c r="E25" i="7"/>
  <c r="E16" i="9" s="1"/>
  <c r="H19" i="7"/>
  <c r="H14" i="9" s="1"/>
  <c r="D19" i="7"/>
  <c r="D14" i="9" s="1"/>
  <c r="J19" i="7"/>
  <c r="J14" i="9" s="1"/>
  <c r="F19" i="7"/>
  <c r="F14" i="9" s="1"/>
  <c r="K25" i="7"/>
  <c r="K16" i="9" s="1"/>
  <c r="G25" i="7"/>
  <c r="G16" i="9" s="1"/>
  <c r="D13" i="7"/>
  <c r="I19" i="7"/>
  <c r="I14" i="9" s="1"/>
  <c r="E19" i="7"/>
  <c r="E14" i="9" s="1"/>
  <c r="C25" i="7"/>
  <c r="C16" i="9" s="1"/>
  <c r="I25" i="7"/>
  <c r="I16" i="9" s="1"/>
  <c r="F25" i="7"/>
  <c r="F16" i="9" s="1"/>
  <c r="L25" i="7"/>
  <c r="L16" i="9" s="1"/>
  <c r="H25" i="7"/>
  <c r="H16" i="9" s="1"/>
  <c r="D25" i="7"/>
  <c r="D16" i="9" s="1"/>
  <c r="J31" i="7"/>
  <c r="J18" i="9" s="1"/>
  <c r="J37" i="7"/>
  <c r="J20" i="9" s="1"/>
  <c r="L13" i="7"/>
  <c r="G9" i="35" s="1"/>
  <c r="J25" i="7"/>
  <c r="J16" i="9" s="1"/>
  <c r="C37" i="7"/>
  <c r="C20" i="9" s="1"/>
  <c r="C31" i="7"/>
  <c r="C18" i="9" s="1"/>
  <c r="I37" i="7"/>
  <c r="I20" i="9" s="1"/>
  <c r="I31" i="7"/>
  <c r="I18" i="9" s="1"/>
  <c r="E37" i="7"/>
  <c r="E20" i="9" s="1"/>
  <c r="E31" i="7"/>
  <c r="E18" i="9" s="1"/>
  <c r="K13" i="7"/>
  <c r="F9" i="35" s="1"/>
  <c r="G13" i="7"/>
  <c r="K37" i="7"/>
  <c r="K20" i="9" s="1"/>
  <c r="K31" i="7"/>
  <c r="K18" i="9" s="1"/>
  <c r="G31" i="7"/>
  <c r="G18" i="9" s="1"/>
  <c r="G37" i="7"/>
  <c r="G20" i="9" s="1"/>
  <c r="F31" i="7"/>
  <c r="F18" i="9" s="1"/>
  <c r="F37" i="7"/>
  <c r="F20" i="9" s="1"/>
  <c r="H13" i="7"/>
  <c r="C9" i="35" s="1"/>
  <c r="L37" i="7"/>
  <c r="L20" i="9" s="1"/>
  <c r="L31" i="7"/>
  <c r="L18" i="9" s="1"/>
  <c r="H31" i="7"/>
  <c r="H18" i="9" s="1"/>
  <c r="H37" i="7"/>
  <c r="H20" i="9" s="1"/>
  <c r="D37" i="7"/>
  <c r="D20" i="9" s="1"/>
  <c r="D31" i="7"/>
  <c r="D18" i="9" s="1"/>
  <c r="J13" i="7"/>
  <c r="E9" i="35" s="1"/>
  <c r="F13" i="7"/>
  <c r="B6" i="6"/>
  <c r="E1" i="6"/>
  <c r="D64" i="11" l="1"/>
  <c r="D66" i="11" s="1"/>
  <c r="I85" i="11"/>
  <c r="D85" i="11"/>
  <c r="K75" i="11"/>
  <c r="K85" i="11"/>
  <c r="G75" i="11"/>
  <c r="L76" i="10"/>
  <c r="J16" i="10"/>
  <c r="J64" i="11"/>
  <c r="J66" i="11" s="1"/>
  <c r="J85" i="11"/>
  <c r="J75" i="11"/>
  <c r="E75" i="11"/>
  <c r="E85" i="11"/>
  <c r="E64" i="11"/>
  <c r="E66" i="11" s="1"/>
  <c r="F75" i="11"/>
  <c r="F64" i="11"/>
  <c r="F66" i="11" s="1"/>
  <c r="F85" i="11"/>
  <c r="K16" i="10"/>
  <c r="H85" i="11"/>
  <c r="H66" i="11"/>
  <c r="H75" i="11"/>
  <c r="C64" i="11"/>
  <c r="C66" i="11" s="1"/>
  <c r="C85" i="11"/>
  <c r="C75" i="11"/>
  <c r="D81" i="11"/>
  <c r="D60" i="11"/>
  <c r="G60" i="11"/>
  <c r="G81" i="11"/>
  <c r="I60" i="11"/>
  <c r="I81" i="11"/>
  <c r="F81" i="11"/>
  <c r="F60" i="11"/>
  <c r="H81" i="11"/>
  <c r="H60" i="11"/>
  <c r="K81" i="11"/>
  <c r="K60" i="11"/>
  <c r="E81" i="11"/>
  <c r="E60" i="11"/>
  <c r="J81" i="11"/>
  <c r="J60" i="11"/>
  <c r="C60" i="11"/>
  <c r="C81" i="11"/>
  <c r="E76" i="10"/>
  <c r="G16" i="10"/>
  <c r="F16" i="10"/>
  <c r="E16" i="10"/>
  <c r="L16" i="10"/>
  <c r="G76" i="10"/>
  <c r="K76" i="10"/>
  <c r="C40" i="8"/>
  <c r="I76" i="10"/>
  <c r="J76" i="10"/>
  <c r="E40" i="8"/>
  <c r="I40" i="8"/>
  <c r="J40" i="8"/>
  <c r="G40" i="8"/>
  <c r="D76" i="10"/>
  <c r="H40" i="8"/>
  <c r="K40" i="8"/>
  <c r="L40" i="8"/>
  <c r="F40" i="8"/>
  <c r="H76" i="10"/>
  <c r="D40" i="8"/>
  <c r="K14" i="10"/>
  <c r="D14" i="10"/>
  <c r="G14" i="10"/>
  <c r="J14" i="10"/>
  <c r="H22" i="7"/>
  <c r="H17" i="10"/>
  <c r="F27" i="7"/>
  <c r="F17" i="10"/>
  <c r="G27" i="7"/>
  <c r="G17" i="10"/>
  <c r="E27" i="7"/>
  <c r="E17" i="10"/>
  <c r="E14" i="10"/>
  <c r="L22" i="7"/>
  <c r="L17" i="10"/>
  <c r="J27" i="7"/>
  <c r="J17" i="10"/>
  <c r="H14" i="10"/>
  <c r="D22" i="7"/>
  <c r="D12" i="8" s="1"/>
  <c r="D17" i="10"/>
  <c r="C27" i="7"/>
  <c r="C17" i="10"/>
  <c r="C18" i="10" s="1"/>
  <c r="K22" i="7"/>
  <c r="K17" i="10"/>
  <c r="D16" i="10"/>
  <c r="C16" i="10"/>
  <c r="L14" i="10"/>
  <c r="I27" i="7"/>
  <c r="I17" i="10"/>
  <c r="I14" i="10"/>
  <c r="F14" i="10"/>
  <c r="J22" i="7"/>
  <c r="E22" i="7"/>
  <c r="E12" i="8" s="1"/>
  <c r="C22" i="7"/>
  <c r="C12" i="8" s="1"/>
  <c r="K27" i="7"/>
  <c r="L27" i="7"/>
  <c r="H27" i="7"/>
  <c r="G22" i="7"/>
  <c r="G12" i="8" s="1"/>
  <c r="D27" i="7"/>
  <c r="I22" i="7"/>
  <c r="F22" i="7"/>
  <c r="F12" i="8" s="1"/>
  <c r="I12" i="8" l="1"/>
  <c r="D10" i="35"/>
  <c r="K12" i="8"/>
  <c r="F10" i="35"/>
  <c r="H12" i="8"/>
  <c r="C10" i="35"/>
  <c r="J12" i="8"/>
  <c r="E10" i="35"/>
  <c r="L12" i="8"/>
  <c r="G10" i="35"/>
  <c r="J84" i="11"/>
  <c r="J86" i="11" s="1"/>
  <c r="J62" i="11"/>
  <c r="K62" i="11"/>
  <c r="K84" i="11"/>
  <c r="K86" i="11" s="1"/>
  <c r="F84" i="11"/>
  <c r="F86" i="11" s="1"/>
  <c r="F62" i="11"/>
  <c r="G62" i="11"/>
  <c r="G84" i="11"/>
  <c r="G86" i="11" s="1"/>
  <c r="E84" i="11"/>
  <c r="E86" i="11" s="1"/>
  <c r="E62" i="11"/>
  <c r="H62" i="11"/>
  <c r="H84" i="11"/>
  <c r="H86" i="11" s="1"/>
  <c r="D84" i="11"/>
  <c r="D86" i="11" s="1"/>
  <c r="D62" i="11"/>
  <c r="C62" i="11"/>
  <c r="C84" i="11"/>
  <c r="C86" i="11" s="1"/>
  <c r="I84" i="11"/>
  <c r="I86" i="11" s="1"/>
  <c r="I62" i="11"/>
  <c r="G28" i="7"/>
  <c r="G13" i="8" s="1"/>
  <c r="C28" i="7"/>
  <c r="C13" i="8" s="1"/>
  <c r="E28" i="7"/>
  <c r="E13" i="8" s="1"/>
  <c r="F28" i="7"/>
  <c r="F13" i="8" s="1"/>
  <c r="K18" i="10"/>
  <c r="D18" i="10"/>
  <c r="I18" i="10"/>
  <c r="K15" i="9"/>
  <c r="D15" i="9"/>
  <c r="L18" i="10"/>
  <c r="E33" i="7"/>
  <c r="E21" i="10"/>
  <c r="F33" i="7"/>
  <c r="F21" i="10"/>
  <c r="E15" i="9"/>
  <c r="J15" i="9"/>
  <c r="J33" i="7"/>
  <c r="I64" i="33" s="1"/>
  <c r="I66" i="33" s="1"/>
  <c r="J21" i="10"/>
  <c r="F18" i="10"/>
  <c r="D33" i="7"/>
  <c r="C64" i="33" s="1"/>
  <c r="C66" i="33" s="1"/>
  <c r="D21" i="10"/>
  <c r="G15" i="9"/>
  <c r="L15" i="9"/>
  <c r="G18" i="10"/>
  <c r="H18" i="10"/>
  <c r="L33" i="7"/>
  <c r="L21" i="10"/>
  <c r="I33" i="7"/>
  <c r="H64" i="33" s="1"/>
  <c r="H66" i="33" s="1"/>
  <c r="I21" i="10"/>
  <c r="E18" i="10"/>
  <c r="F15" i="9"/>
  <c r="K33" i="7"/>
  <c r="K21" i="10"/>
  <c r="I15" i="9"/>
  <c r="C15" i="9"/>
  <c r="J28" i="7"/>
  <c r="I28" i="7"/>
  <c r="H21" i="10"/>
  <c r="C33" i="7"/>
  <c r="C29" i="10" s="1"/>
  <c r="C30" i="10" s="1"/>
  <c r="C21" i="10"/>
  <c r="C22" i="10" s="1"/>
  <c r="J18" i="10"/>
  <c r="G33" i="7"/>
  <c r="F64" i="33" s="1"/>
  <c r="F66" i="33" s="1"/>
  <c r="G21" i="10"/>
  <c r="H15" i="9"/>
  <c r="H33" i="7"/>
  <c r="L28" i="7"/>
  <c r="H28" i="7"/>
  <c r="D28" i="7"/>
  <c r="D13" i="8" s="1"/>
  <c r="K28" i="7"/>
  <c r="L13" i="8" l="1"/>
  <c r="G11" i="35"/>
  <c r="J13" i="8"/>
  <c r="E11" i="35"/>
  <c r="K13" i="8"/>
  <c r="F11" i="35"/>
  <c r="H13" i="8"/>
  <c r="C11" i="35"/>
  <c r="I13" i="8"/>
  <c r="D11" i="35"/>
  <c r="J64" i="33"/>
  <c r="J66" i="33" s="1"/>
  <c r="K64" i="33"/>
  <c r="K66" i="33" s="1"/>
  <c r="G64" i="33"/>
  <c r="G66" i="33" s="1"/>
  <c r="E64" i="33"/>
  <c r="E66" i="33" s="1"/>
  <c r="E45" i="7"/>
  <c r="D50" i="11" s="1"/>
  <c r="D56" i="11" s="1"/>
  <c r="D64" i="33"/>
  <c r="D66" i="33" s="1"/>
  <c r="G45" i="7"/>
  <c r="F50" i="11" s="1"/>
  <c r="F52" i="11" s="1"/>
  <c r="J55" i="24"/>
  <c r="J57" i="24" s="1"/>
  <c r="J61" i="24" s="1"/>
  <c r="J46" i="24"/>
  <c r="J48" i="24" s="1"/>
  <c r="I45" i="7"/>
  <c r="H50" i="11" s="1"/>
  <c r="H52" i="11" s="1"/>
  <c r="K55" i="24"/>
  <c r="K57" i="24" s="1"/>
  <c r="F13" i="26" s="1"/>
  <c r="K46" i="24"/>
  <c r="K48" i="24" s="1"/>
  <c r="G55" i="24"/>
  <c r="G57" i="24" s="1"/>
  <c r="G46" i="24"/>
  <c r="G48" i="24" s="1"/>
  <c r="J43" i="7"/>
  <c r="F40" i="7"/>
  <c r="F21" i="9" s="1"/>
  <c r="G17" i="9"/>
  <c r="C45" i="7"/>
  <c r="C28" i="8" s="1"/>
  <c r="C40" i="7"/>
  <c r="C15" i="8" s="1"/>
  <c r="C43" i="7"/>
  <c r="D52" i="11"/>
  <c r="E29" i="10"/>
  <c r="E40" i="7"/>
  <c r="E15" i="8" s="1"/>
  <c r="E43" i="7"/>
  <c r="D25" i="10"/>
  <c r="D45" i="7"/>
  <c r="C50" i="11" s="1"/>
  <c r="H25" i="10"/>
  <c r="H29" i="10"/>
  <c r="K25" i="10"/>
  <c r="K29" i="10"/>
  <c r="L25" i="10"/>
  <c r="L26" i="10" s="1"/>
  <c r="L43" i="7"/>
  <c r="E17" i="9"/>
  <c r="C17" i="9"/>
  <c r="D24" i="8"/>
  <c r="D34" i="7"/>
  <c r="D19" i="9" s="1"/>
  <c r="D26" i="8"/>
  <c r="L24" i="8"/>
  <c r="F17" i="9"/>
  <c r="L26" i="8"/>
  <c r="G26" i="35" s="1"/>
  <c r="L34" i="7"/>
  <c r="G12" i="35" s="1"/>
  <c r="K24" i="8"/>
  <c r="K34" i="7"/>
  <c r="F12" i="35" s="1"/>
  <c r="K26" i="8"/>
  <c r="F26" i="35" s="1"/>
  <c r="J22" i="10"/>
  <c r="F22" i="10"/>
  <c r="D22" i="10"/>
  <c r="J25" i="10"/>
  <c r="J34" i="7"/>
  <c r="J24" i="8"/>
  <c r="J26" i="8"/>
  <c r="E26" i="35" s="1"/>
  <c r="D17" i="9"/>
  <c r="L17" i="9"/>
  <c r="G25" i="10"/>
  <c r="G34" i="7"/>
  <c r="G14" i="8" s="1"/>
  <c r="G26" i="8"/>
  <c r="G24" i="8"/>
  <c r="I29" i="10"/>
  <c r="J17" i="9"/>
  <c r="I22" i="10"/>
  <c r="L22" i="10"/>
  <c r="E22" i="10"/>
  <c r="H17" i="9"/>
  <c r="E28" i="8"/>
  <c r="E33" i="10"/>
  <c r="G22" i="10"/>
  <c r="C25" i="10"/>
  <c r="C26" i="10" s="1"/>
  <c r="C24" i="8"/>
  <c r="C34" i="7"/>
  <c r="C14" i="8" s="1"/>
  <c r="C26" i="8"/>
  <c r="I17" i="9"/>
  <c r="K22" i="10"/>
  <c r="F25" i="10"/>
  <c r="F26" i="8"/>
  <c r="F24" i="8"/>
  <c r="F34" i="7"/>
  <c r="F14" i="8" s="1"/>
  <c r="K17" i="9"/>
  <c r="H22" i="10"/>
  <c r="I25" i="10"/>
  <c r="I24" i="8"/>
  <c r="I34" i="7"/>
  <c r="I26" i="8"/>
  <c r="D26" i="35" s="1"/>
  <c r="J29" i="10"/>
  <c r="E25" i="10"/>
  <c r="E34" i="7"/>
  <c r="E14" i="8" s="1"/>
  <c r="E26" i="8"/>
  <c r="E24" i="8"/>
  <c r="E50" i="7"/>
  <c r="H26" i="8"/>
  <c r="C26" i="35" s="1"/>
  <c r="H24" i="8"/>
  <c r="H34" i="7"/>
  <c r="C12" i="35" s="1"/>
  <c r="E46" i="7"/>
  <c r="E16" i="8" s="1"/>
  <c r="I50" i="7" l="1"/>
  <c r="K69" i="24"/>
  <c r="J69" i="24"/>
  <c r="I14" i="8"/>
  <c r="D12" i="35"/>
  <c r="J14" i="8"/>
  <c r="E12" i="35"/>
  <c r="H56" i="11"/>
  <c r="H80" i="11" s="1"/>
  <c r="H82" i="11" s="1"/>
  <c r="H88" i="11" s="1"/>
  <c r="C21" i="9"/>
  <c r="F15" i="8"/>
  <c r="J68" i="24"/>
  <c r="G46" i="7"/>
  <c r="G16" i="8" s="1"/>
  <c r="I33" i="10"/>
  <c r="D29" i="10"/>
  <c r="D30" i="10" s="1"/>
  <c r="G28" i="8"/>
  <c r="F43" i="7"/>
  <c r="F56" i="11"/>
  <c r="F80" i="11" s="1"/>
  <c r="F82" i="11" s="1"/>
  <c r="F88" i="11" s="1"/>
  <c r="G43" i="7"/>
  <c r="G40" i="7"/>
  <c r="G15" i="8" s="1"/>
  <c r="K61" i="24"/>
  <c r="I46" i="7"/>
  <c r="J40" i="7"/>
  <c r="J15" i="8" s="1"/>
  <c r="I28" i="8"/>
  <c r="D25" i="35" s="1"/>
  <c r="I43" i="7"/>
  <c r="G50" i="7"/>
  <c r="G33" i="10"/>
  <c r="I40" i="7"/>
  <c r="I15" i="8" s="1"/>
  <c r="J45" i="7"/>
  <c r="J33" i="10" s="1"/>
  <c r="F29" i="10"/>
  <c r="F30" i="10" s="1"/>
  <c r="G29" i="10"/>
  <c r="H30" i="10" s="1"/>
  <c r="F45" i="7"/>
  <c r="F28" i="8" s="1"/>
  <c r="I55" i="24"/>
  <c r="I57" i="24" s="1"/>
  <c r="I61" i="24" s="1"/>
  <c r="I68" i="24" s="1"/>
  <c r="I46" i="24"/>
  <c r="I48" i="24" s="1"/>
  <c r="H55" i="24"/>
  <c r="H57" i="24" s="1"/>
  <c r="H46" i="24"/>
  <c r="H48" i="24" s="1"/>
  <c r="E56" i="7"/>
  <c r="E57" i="7" s="1"/>
  <c r="D43" i="7"/>
  <c r="H40" i="7"/>
  <c r="H15" i="8" s="1"/>
  <c r="H43" i="7"/>
  <c r="C33" i="10"/>
  <c r="C34" i="10" s="1"/>
  <c r="C50" i="7"/>
  <c r="C51" i="7" s="1"/>
  <c r="C46" i="7"/>
  <c r="C16" i="8" s="1"/>
  <c r="E26" i="10"/>
  <c r="E21" i="9"/>
  <c r="H26" i="10"/>
  <c r="I26" i="10"/>
  <c r="K45" i="7"/>
  <c r="J50" i="11" s="1"/>
  <c r="J56" i="11" s="1"/>
  <c r="K40" i="7"/>
  <c r="K15" i="8" s="1"/>
  <c r="K26" i="10"/>
  <c r="K43" i="7"/>
  <c r="L40" i="7"/>
  <c r="L15" i="8" s="1"/>
  <c r="D40" i="7"/>
  <c r="D15" i="8" s="1"/>
  <c r="I30" i="10"/>
  <c r="L29" i="10"/>
  <c r="L30" i="10" s="1"/>
  <c r="L45" i="7"/>
  <c r="K50" i="11" s="1"/>
  <c r="K56" i="11" s="1"/>
  <c r="H45" i="7"/>
  <c r="G50" i="11" s="1"/>
  <c r="C56" i="11"/>
  <c r="C52" i="11"/>
  <c r="D80" i="11"/>
  <c r="D82" i="11" s="1"/>
  <c r="D88" i="11" s="1"/>
  <c r="D58" i="11"/>
  <c r="D68" i="11" s="1"/>
  <c r="D74" i="11"/>
  <c r="D76" i="11" s="1"/>
  <c r="D14" i="8"/>
  <c r="K19" i="9"/>
  <c r="K14" i="8"/>
  <c r="H19" i="9"/>
  <c r="H14" i="8"/>
  <c r="L19" i="9"/>
  <c r="L14" i="8"/>
  <c r="J19" i="9"/>
  <c r="J30" i="10"/>
  <c r="I19" i="9"/>
  <c r="C19" i="9"/>
  <c r="K30" i="10"/>
  <c r="G19" i="9"/>
  <c r="J26" i="10"/>
  <c r="E22" i="9"/>
  <c r="E36" i="10"/>
  <c r="E19" i="9"/>
  <c r="I56" i="7"/>
  <c r="I57" i="7" s="1"/>
  <c r="D26" i="10"/>
  <c r="D46" i="7"/>
  <c r="D16" i="8" s="1"/>
  <c r="D33" i="10"/>
  <c r="F19" i="9"/>
  <c r="F26" i="10"/>
  <c r="G26" i="10"/>
  <c r="D50" i="7"/>
  <c r="D28" i="8"/>
  <c r="H61" i="24" l="1"/>
  <c r="D51" i="7"/>
  <c r="J28" i="8"/>
  <c r="E25" i="35" s="1"/>
  <c r="J21" i="9"/>
  <c r="I50" i="11"/>
  <c r="I52" i="11" s="1"/>
  <c r="G56" i="7"/>
  <c r="G57" i="7" s="1"/>
  <c r="F58" i="33" s="1"/>
  <c r="F60" i="33" s="1"/>
  <c r="F82" i="33" s="1"/>
  <c r="F83" i="33" s="1"/>
  <c r="D14" i="35"/>
  <c r="G36" i="10"/>
  <c r="I36" i="10"/>
  <c r="E51" i="7"/>
  <c r="H69" i="24"/>
  <c r="I69" i="24"/>
  <c r="I71" i="24" s="1"/>
  <c r="J71" i="24"/>
  <c r="I16" i="8"/>
  <c r="D13" i="35"/>
  <c r="H58" i="11"/>
  <c r="H68" i="11" s="1"/>
  <c r="H74" i="11"/>
  <c r="H76" i="11" s="1"/>
  <c r="F74" i="11"/>
  <c r="F76" i="11" s="1"/>
  <c r="F33" i="10"/>
  <c r="F34" i="10" s="1"/>
  <c r="I27" i="8"/>
  <c r="I29" i="8" s="1"/>
  <c r="H58" i="33"/>
  <c r="H60" i="33" s="1"/>
  <c r="H82" i="33" s="1"/>
  <c r="H83" i="33" s="1"/>
  <c r="E30" i="10"/>
  <c r="G22" i="9"/>
  <c r="J46" i="7"/>
  <c r="E27" i="8"/>
  <c r="E29" i="8" s="1"/>
  <c r="D58" i="33"/>
  <c r="D60" i="33" s="1"/>
  <c r="D82" i="33" s="1"/>
  <c r="D83" i="33" s="1"/>
  <c r="G27" i="8"/>
  <c r="G29" i="8" s="1"/>
  <c r="I22" i="9"/>
  <c r="I21" i="9"/>
  <c r="H33" i="10"/>
  <c r="I34" i="10" s="1"/>
  <c r="G30" i="10"/>
  <c r="J34" i="10"/>
  <c r="F58" i="11"/>
  <c r="F68" i="11" s="1"/>
  <c r="K68" i="24"/>
  <c r="K71" i="24" s="1"/>
  <c r="J50" i="7"/>
  <c r="J51" i="7" s="1"/>
  <c r="C22" i="9"/>
  <c r="G21" i="9"/>
  <c r="E50" i="11"/>
  <c r="F46" i="7"/>
  <c r="F50" i="7"/>
  <c r="F51" i="7" s="1"/>
  <c r="C36" i="10"/>
  <c r="C37" i="10" s="1"/>
  <c r="D34" i="10"/>
  <c r="L46" i="7"/>
  <c r="H21" i="9"/>
  <c r="L28" i="8"/>
  <c r="G25" i="35" s="1"/>
  <c r="H50" i="7"/>
  <c r="H51" i="7" s="1"/>
  <c r="D21" i="9"/>
  <c r="C56" i="7"/>
  <c r="C57" i="7" s="1"/>
  <c r="C27" i="8" s="1"/>
  <c r="C29" i="8" s="1"/>
  <c r="K33" i="10"/>
  <c r="K34" i="10" s="1"/>
  <c r="L50" i="7"/>
  <c r="K52" i="11"/>
  <c r="K21" i="9"/>
  <c r="L21" i="9"/>
  <c r="K50" i="7"/>
  <c r="L33" i="10"/>
  <c r="J52" i="11"/>
  <c r="K28" i="8"/>
  <c r="F25" i="35" s="1"/>
  <c r="K46" i="7"/>
  <c r="H28" i="8"/>
  <c r="C25" i="35" s="1"/>
  <c r="H46" i="7"/>
  <c r="K74" i="11"/>
  <c r="K76" i="11" s="1"/>
  <c r="K58" i="11"/>
  <c r="K68" i="11" s="1"/>
  <c r="K80" i="11"/>
  <c r="K82" i="11" s="1"/>
  <c r="K88" i="11" s="1"/>
  <c r="G52" i="11"/>
  <c r="G56" i="11"/>
  <c r="J74" i="11"/>
  <c r="J76" i="11" s="1"/>
  <c r="J58" i="11"/>
  <c r="J68" i="11" s="1"/>
  <c r="J80" i="11"/>
  <c r="J82" i="11" s="1"/>
  <c r="J88" i="11" s="1"/>
  <c r="I56" i="11"/>
  <c r="C74" i="11"/>
  <c r="C76" i="11" s="1"/>
  <c r="C58" i="11"/>
  <c r="C68" i="11" s="1"/>
  <c r="C80" i="11"/>
  <c r="C82" i="11" s="1"/>
  <c r="C88" i="11" s="1"/>
  <c r="J22" i="9"/>
  <c r="D35" i="10"/>
  <c r="D52" i="7"/>
  <c r="D36" i="10"/>
  <c r="E34" i="10"/>
  <c r="D22" i="9"/>
  <c r="D56" i="7"/>
  <c r="D57" i="7" s="1"/>
  <c r="E52" i="7"/>
  <c r="K63" i="24" l="1"/>
  <c r="H68" i="24"/>
  <c r="H71" i="24" s="1"/>
  <c r="J52" i="7"/>
  <c r="J36" i="10"/>
  <c r="J37" i="10" s="1"/>
  <c r="F56" i="7"/>
  <c r="F57" i="7" s="1"/>
  <c r="F27" i="8" s="1"/>
  <c r="F29" i="8" s="1"/>
  <c r="I51" i="7"/>
  <c r="D15" i="35" s="1"/>
  <c r="G51" i="7"/>
  <c r="F14" i="35"/>
  <c r="K51" i="7"/>
  <c r="G14" i="35"/>
  <c r="L51" i="7"/>
  <c r="G15" i="35" s="1"/>
  <c r="F36" i="10"/>
  <c r="G37" i="10" s="1"/>
  <c r="H16" i="8"/>
  <c r="C13" i="35"/>
  <c r="K16" i="8"/>
  <c r="F13" i="35"/>
  <c r="L16" i="8"/>
  <c r="G13" i="35"/>
  <c r="H52" i="7"/>
  <c r="C14" i="35"/>
  <c r="E15" i="35"/>
  <c r="E14" i="35"/>
  <c r="J16" i="8"/>
  <c r="E13" i="35"/>
  <c r="H34" i="10"/>
  <c r="G34" i="10"/>
  <c r="E58" i="33"/>
  <c r="E60" i="33" s="1"/>
  <c r="E82" i="33" s="1"/>
  <c r="E83" i="33" s="1"/>
  <c r="D27" i="8"/>
  <c r="D29" i="8" s="1"/>
  <c r="C58" i="33"/>
  <c r="C60" i="33" s="1"/>
  <c r="C82" i="33" s="1"/>
  <c r="C83" i="33" s="1"/>
  <c r="G52" i="7"/>
  <c r="F52" i="7"/>
  <c r="J56" i="7"/>
  <c r="J57" i="7" s="1"/>
  <c r="F15" i="35"/>
  <c r="F16" i="8"/>
  <c r="F22" i="9"/>
  <c r="D37" i="10"/>
  <c r="E56" i="11"/>
  <c r="E52" i="11"/>
  <c r="L36" i="10"/>
  <c r="I52" i="7"/>
  <c r="C15" i="35"/>
  <c r="L22" i="9"/>
  <c r="H56" i="7"/>
  <c r="H57" i="7" s="1"/>
  <c r="H36" i="10"/>
  <c r="I37" i="10" s="1"/>
  <c r="L56" i="7"/>
  <c r="L57" i="7" s="1"/>
  <c r="L52" i="7"/>
  <c r="K52" i="7"/>
  <c r="L34" i="10"/>
  <c r="K56" i="7"/>
  <c r="K57" i="7" s="1"/>
  <c r="K36" i="10"/>
  <c r="K22" i="9"/>
  <c r="H22" i="9"/>
  <c r="I80" i="11"/>
  <c r="I82" i="11" s="1"/>
  <c r="I88" i="11" s="1"/>
  <c r="I74" i="11"/>
  <c r="I76" i="11" s="1"/>
  <c r="I58" i="11"/>
  <c r="I68" i="11" s="1"/>
  <c r="G58" i="11"/>
  <c r="G68" i="11" s="1"/>
  <c r="G80" i="11"/>
  <c r="G82" i="11" s="1"/>
  <c r="G88" i="11" s="1"/>
  <c r="G74" i="11"/>
  <c r="G76" i="11" s="1"/>
  <c r="D38" i="10"/>
  <c r="E37" i="10"/>
  <c r="K74" i="24" l="1"/>
  <c r="E24" i="26" s="1"/>
  <c r="G14" i="26" s="1"/>
  <c r="H14" i="26" s="1"/>
  <c r="I14" i="26" s="1"/>
  <c r="J14" i="26" s="1"/>
  <c r="K73" i="24"/>
  <c r="F17" i="26"/>
  <c r="K37" i="10"/>
  <c r="F37" i="10"/>
  <c r="L27" i="8"/>
  <c r="L29" i="8" s="1"/>
  <c r="K58" i="33"/>
  <c r="K60" i="33" s="1"/>
  <c r="K82" i="33" s="1"/>
  <c r="K83" i="33" s="1"/>
  <c r="H27" i="8"/>
  <c r="H29" i="8" s="1"/>
  <c r="G58" i="33"/>
  <c r="G60" i="33" s="1"/>
  <c r="G82" i="33" s="1"/>
  <c r="G83" i="33" s="1"/>
  <c r="K27" i="8"/>
  <c r="K29" i="8" s="1"/>
  <c r="J58" i="33"/>
  <c r="J60" i="33" s="1"/>
  <c r="J82" i="33" s="1"/>
  <c r="J83" i="33" s="1"/>
  <c r="J27" i="8"/>
  <c r="J29" i="8" s="1"/>
  <c r="I58" i="33"/>
  <c r="I60" i="33" s="1"/>
  <c r="I82" i="33" s="1"/>
  <c r="I83" i="33" s="1"/>
  <c r="H37" i="10"/>
  <c r="L37" i="10"/>
  <c r="E80" i="11"/>
  <c r="E82" i="11" s="1"/>
  <c r="E88" i="11" s="1"/>
  <c r="E58" i="11"/>
  <c r="E68" i="11" s="1"/>
  <c r="E74" i="11"/>
  <c r="E76" i="11" s="1"/>
  <c r="G13" i="26" l="1"/>
  <c r="H13" i="26" l="1"/>
  <c r="I13" i="26" l="1"/>
  <c r="J13" i="26" s="1"/>
  <c r="K13" i="26" s="1"/>
  <c r="L13" i="26" l="1"/>
  <c r="M13" i="26" l="1"/>
  <c r="N13" i="26" l="1"/>
  <c r="O13" i="26" l="1"/>
  <c r="P13" i="26" l="1"/>
  <c r="P17" i="26" s="1"/>
  <c r="E30" i="26" l="1"/>
  <c r="E34" i="26" s="1"/>
  <c r="P22" i="26"/>
  <c r="E39" i="26" l="1"/>
  <c r="G33" i="26"/>
  <c r="M17" i="26"/>
  <c r="M22" i="26" s="1"/>
  <c r="K17" i="26"/>
  <c r="K22" i="26" s="1"/>
  <c r="N17" i="26"/>
  <c r="N22" i="26" s="1"/>
  <c r="O17" i="26"/>
  <c r="O22" i="26" s="1"/>
  <c r="L17" i="26"/>
  <c r="L22" i="26" s="1"/>
  <c r="J17" i="26"/>
  <c r="J22" i="26" s="1"/>
  <c r="G17" i="26" l="1"/>
  <c r="G22" i="26" s="1"/>
  <c r="H17" i="26"/>
  <c r="H22" i="26" s="1"/>
  <c r="I17" i="26"/>
  <c r="I22" i="26" s="1"/>
  <c r="E38" i="26" l="1"/>
  <c r="E40" i="26" s="1"/>
  <c r="D32" i="34" l="1"/>
  <c r="E44" i="26"/>
  <c r="E47" i="26" s="1"/>
  <c r="G25" i="26" l="1"/>
  <c r="D33" i="34"/>
  <c r="E50" i="26"/>
  <c r="D35" i="34" s="1"/>
</calcChain>
</file>

<file path=xl/sharedStrings.xml><?xml version="1.0" encoding="utf-8"?>
<sst xmlns="http://schemas.openxmlformats.org/spreadsheetml/2006/main" count="2129" uniqueCount="1748">
  <si>
    <t>COMPANY NAME</t>
  </si>
  <si>
    <t>Sales</t>
  </si>
  <si>
    <t>Expenses</t>
  </si>
  <si>
    <t>Operating Profit</t>
  </si>
  <si>
    <t>Other Income</t>
  </si>
  <si>
    <t>Depreciation</t>
  </si>
  <si>
    <t>Interest</t>
  </si>
  <si>
    <t>Profit before tax</t>
  </si>
  <si>
    <t>Tax</t>
  </si>
  <si>
    <t>Net profit</t>
  </si>
  <si>
    <t>Equity Share Capital</t>
  </si>
  <si>
    <t>Reserves</t>
  </si>
  <si>
    <t>Total</t>
  </si>
  <si>
    <t>Net Block</t>
  </si>
  <si>
    <t>Capital Work in Progress</t>
  </si>
  <si>
    <t>Investments</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</si>
  <si>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</si>
  <si>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</si>
  <si>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</si>
  <si>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</si>
  <si>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</si>
  <si>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</si>
  <si>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</si>
  <si>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</si>
  <si>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</si>
  <si>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</si>
  <si>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</si>
  <si>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</si>
  <si>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</si>
  <si>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Inventory</t>
  </si>
  <si>
    <t>LATEST VERSION</t>
  </si>
  <si>
    <t>CURRENT VERSION</t>
  </si>
  <si>
    <t>ULTRATECH CEMENT LTD</t>
  </si>
  <si>
    <t>META</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</si>
  <si>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</si>
  <si>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</si>
  <si>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</si>
  <si>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</si>
  <si>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</si>
  <si>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</si>
  <si>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</si>
  <si>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</si>
  <si>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</si>
  <si>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</si>
  <si>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</si>
  <si>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</si>
  <si>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</si>
  <si>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</si>
  <si>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</si>
  <si>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</si>
  <si>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</si>
  <si>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</si>
  <si>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</si>
  <si>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</si>
  <si>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Years</t>
  </si>
  <si>
    <t>Income Statement</t>
  </si>
  <si>
    <t>#</t>
  </si>
  <si>
    <t>COGS</t>
  </si>
  <si>
    <t>Gross Profit</t>
  </si>
  <si>
    <t>Selling &amp; Other Exp.</t>
  </si>
  <si>
    <t>EBITDA</t>
  </si>
  <si>
    <t>EBT</t>
  </si>
  <si>
    <t>Effective Tax Rate</t>
  </si>
  <si>
    <t>Net Profit</t>
  </si>
  <si>
    <t>Earnings Per Share</t>
  </si>
  <si>
    <t>Dividend Per Share</t>
  </si>
  <si>
    <t>Dividend Payout Ratio</t>
  </si>
  <si>
    <t>Retained Earnings</t>
  </si>
  <si>
    <t>Balance Sheet</t>
  </si>
  <si>
    <t>Total Equity &amp; Liabilities</t>
  </si>
  <si>
    <t>Equity &amp; Liabilities</t>
  </si>
  <si>
    <t>Non Current Assets</t>
  </si>
  <si>
    <t>Total Non Current Assets</t>
  </si>
  <si>
    <t>Current Assets</t>
  </si>
  <si>
    <t>Total Current Assets</t>
  </si>
  <si>
    <t>Total Assets</t>
  </si>
  <si>
    <t>Check</t>
  </si>
  <si>
    <t>Cash Flow Statement</t>
  </si>
  <si>
    <t>EBITDA Margin</t>
  </si>
  <si>
    <t>EBIT Margin</t>
  </si>
  <si>
    <t>EBT Margin</t>
  </si>
  <si>
    <t>Net Profit Margin</t>
  </si>
  <si>
    <t>Return on Capital Employed</t>
  </si>
  <si>
    <t>Retained Earnings %</t>
  </si>
  <si>
    <t>Return on Equity %</t>
  </si>
  <si>
    <t>Self Sustained Growth Rate</t>
  </si>
  <si>
    <t>Interest Coverage Ratio</t>
  </si>
  <si>
    <t>Creditor Turnover Ratio</t>
  </si>
  <si>
    <t>Debtor Turnover Ratio</t>
  </si>
  <si>
    <t>Inventory Turnover Ratio</t>
  </si>
  <si>
    <t>Fixed Asset Turnover Ratio</t>
  </si>
  <si>
    <t>Capital Turnover Ratio</t>
  </si>
  <si>
    <t>Debtor Days</t>
  </si>
  <si>
    <t>Payable Days</t>
  </si>
  <si>
    <t>Inventory Days</t>
  </si>
  <si>
    <t>Cash Conversion Cycle</t>
  </si>
  <si>
    <t>CFO/Sales</t>
  </si>
  <si>
    <t>CFO/Total Assets</t>
  </si>
  <si>
    <t>CFO/Total Debt</t>
  </si>
  <si>
    <t>EBIT</t>
  </si>
  <si>
    <t>Income Statement % Sales</t>
  </si>
  <si>
    <t>Balance Sheet % Total Assets</t>
  </si>
  <si>
    <t>Balance Sheet % Total Liabilities</t>
  </si>
  <si>
    <t>Total Liabilities</t>
  </si>
  <si>
    <t>Income Statement YoY Growth</t>
  </si>
  <si>
    <t>Balance Sheet YoY Growth</t>
  </si>
  <si>
    <t>Total Equity</t>
  </si>
  <si>
    <t>Total Debt</t>
  </si>
  <si>
    <t>Gross Profit Margin</t>
  </si>
  <si>
    <t>Current Ratio</t>
  </si>
  <si>
    <t>Quick Ratio</t>
  </si>
  <si>
    <t>Cash Ratio</t>
  </si>
  <si>
    <t>Debt to Assets Ratio</t>
  </si>
  <si>
    <t>Debt to Equity Ratio</t>
  </si>
  <si>
    <t>Cash Flow Statement YoY Growth</t>
  </si>
  <si>
    <t>Trend</t>
  </si>
  <si>
    <t>Return on Equity (ROE)</t>
  </si>
  <si>
    <t>Average Shareholder's Equity</t>
  </si>
  <si>
    <t>Net Profit Margin (A)</t>
  </si>
  <si>
    <t>ROE - DuPont Equation</t>
  </si>
  <si>
    <t>Average Total Assets</t>
  </si>
  <si>
    <t>Asset Turnover Ratio (B)</t>
  </si>
  <si>
    <t>Equity Multiplier (C)</t>
  </si>
  <si>
    <t>Return on Equity (A*B*C)</t>
  </si>
  <si>
    <t>Return on Assets (ROA)</t>
  </si>
  <si>
    <t>ROA - DuPont Equation</t>
  </si>
  <si>
    <t>Return on Assets (A*B)</t>
  </si>
  <si>
    <t>Profit from operations</t>
  </si>
  <si>
    <t>Payables</t>
  </si>
  <si>
    <t>Loans Advances</t>
  </si>
  <si>
    <t>Other WC items</t>
  </si>
  <si>
    <t>Working capital changes</t>
  </si>
  <si>
    <t>Direct taxes</t>
  </si>
  <si>
    <t>Fixed assets purchased</t>
  </si>
  <si>
    <t>Fixed assets sold</t>
  </si>
  <si>
    <t>Investments purchased</t>
  </si>
  <si>
    <t>Investments sold</t>
  </si>
  <si>
    <t>Interest received</t>
  </si>
  <si>
    <t>Dividends received</t>
  </si>
  <si>
    <t>Invest in subsidiaries</t>
  </si>
  <si>
    <t>Other investing items</t>
  </si>
  <si>
    <t>Proceeds from shares</t>
  </si>
  <si>
    <t>Proceeds from borrowings</t>
  </si>
  <si>
    <t>Repayment of borrowings</t>
  </si>
  <si>
    <t>Interest paid fin</t>
  </si>
  <si>
    <t>Dividends paid</t>
  </si>
  <si>
    <t>Financial liabilities</t>
  </si>
  <si>
    <t>Other financing items</t>
  </si>
  <si>
    <t>Date</t>
  </si>
  <si>
    <t>Closing Price</t>
  </si>
  <si>
    <t>Weekly Returns</t>
  </si>
  <si>
    <t>Nifty Returns</t>
  </si>
  <si>
    <t>Beta Drifting</t>
  </si>
  <si>
    <t>Regression Beta</t>
  </si>
  <si>
    <t>Levered Raw Beta</t>
  </si>
  <si>
    <t>Raw Beta Weight</t>
  </si>
  <si>
    <t>Market Beta</t>
  </si>
  <si>
    <t>Market Beta Weight</t>
  </si>
  <si>
    <t>Adjusted Beta</t>
  </si>
  <si>
    <t>SUMMARY OUTPUT</t>
  </si>
  <si>
    <t>Regression Statistics</t>
  </si>
  <si>
    <t>Multiple R</t>
  </si>
  <si>
    <t>R Square</t>
  </si>
  <si>
    <t>Adjusted R Square</t>
  </si>
  <si>
    <t>Standard Error</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</si>
  <si>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</si>
  <si>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</si>
  <si>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</si>
  <si>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</si>
  <si>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</si>
  <si>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</si>
  <si>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</si>
  <si>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</si>
  <si>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</si>
  <si>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</si>
  <si>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</si>
  <si>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</si>
  <si>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</si>
  <si>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</si>
  <si>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</si>
  <si>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</si>
  <si>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</si>
  <si>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X Variable 1</t>
  </si>
  <si>
    <t>Peer Comps</t>
  </si>
  <si>
    <t>Name</t>
  </si>
  <si>
    <t>Country</t>
  </si>
  <si>
    <r>
      <t>Tax Rate</t>
    </r>
    <r>
      <rPr>
        <vertAlign val="superscript"/>
        <sz val="11"/>
        <color theme="1"/>
        <rFont val="Calibri"/>
        <family val="2"/>
        <scheme val="minor"/>
      </rPr>
      <t>1</t>
    </r>
  </si>
  <si>
    <t>Debt/</t>
  </si>
  <si>
    <t>Equity</t>
  </si>
  <si>
    <t>Capital</t>
  </si>
  <si>
    <t>Levered</t>
  </si>
  <si>
    <t xml:space="preserve">Unlevered </t>
  </si>
  <si>
    <r>
      <t>Beta</t>
    </r>
    <r>
      <rPr>
        <vertAlign val="superscript"/>
        <sz val="11"/>
        <color theme="1"/>
        <rFont val="Calibri"/>
        <family val="2"/>
        <scheme val="minor"/>
      </rPr>
      <t>2</t>
    </r>
  </si>
  <si>
    <r>
      <t>Beta</t>
    </r>
    <r>
      <rPr>
        <vertAlign val="superscript"/>
        <sz val="11"/>
        <color theme="1"/>
        <rFont val="Calibri"/>
        <family val="2"/>
        <scheme val="minor"/>
      </rPr>
      <t>3</t>
    </r>
  </si>
  <si>
    <t>India</t>
  </si>
  <si>
    <t>Average</t>
  </si>
  <si>
    <t>Median</t>
  </si>
  <si>
    <t>Cost of Debt</t>
  </si>
  <si>
    <t>Pre-tax Cost of Debt</t>
  </si>
  <si>
    <t>Tax Rate</t>
  </si>
  <si>
    <t>Post-tax Cost of Debt</t>
  </si>
  <si>
    <t>Cost of Equity</t>
  </si>
  <si>
    <t>Risk Free Rate</t>
  </si>
  <si>
    <t>Equity Risk Premium</t>
  </si>
  <si>
    <t>Levered Beta</t>
  </si>
  <si>
    <t>Capital Structure</t>
  </si>
  <si>
    <t>Current</t>
  </si>
  <si>
    <t>Target</t>
  </si>
  <si>
    <t>Total Capitalization</t>
  </si>
  <si>
    <t>Comps Median Unlevered Beta</t>
  </si>
  <si>
    <t>Debt / Equity</t>
  </si>
  <si>
    <t>Target Debt / Equity</t>
  </si>
  <si>
    <t>WACC</t>
  </si>
  <si>
    <t>Other operating items</t>
  </si>
  <si>
    <t>Investment in group cos</t>
  </si>
  <si>
    <t>Redemp n Canc of Shares</t>
  </si>
  <si>
    <t>Acquisition of companies</t>
  </si>
  <si>
    <t>UltraTech Cem.</t>
  </si>
  <si>
    <t>Grasim Inds</t>
  </si>
  <si>
    <t>Ambuja Cements</t>
  </si>
  <si>
    <t>Shree Cement</t>
  </si>
  <si>
    <t>J K Cements</t>
  </si>
  <si>
    <t xml:space="preserve">Cost of Debt </t>
  </si>
  <si>
    <t>Weight of Debt</t>
  </si>
  <si>
    <t>Weight of Equity</t>
  </si>
  <si>
    <t>Year</t>
  </si>
  <si>
    <t>Annual</t>
  </si>
  <si>
    <t>Return on Markets</t>
  </si>
  <si>
    <t>Average Return</t>
  </si>
  <si>
    <t>Dividend Yield</t>
  </si>
  <si>
    <t>Total Market Returns</t>
  </si>
  <si>
    <t>Interest TTM</t>
  </si>
  <si>
    <t>Calculation of ROIC</t>
  </si>
  <si>
    <t>Tax %</t>
  </si>
  <si>
    <t>Exceptional items</t>
  </si>
  <si>
    <t>Other income normal</t>
  </si>
  <si>
    <t xml:space="preserve">Other Income </t>
  </si>
  <si>
    <t>Equity Capital</t>
  </si>
  <si>
    <t>Long term Borrowings</t>
  </si>
  <si>
    <t>Short term Borrowings</t>
  </si>
  <si>
    <t>Lease Liabilities</t>
  </si>
  <si>
    <t>Other Borrowings</t>
  </si>
  <si>
    <t>Non controlling int</t>
  </si>
  <si>
    <t>Trade Payables</t>
  </si>
  <si>
    <t>Advance from Customers</t>
  </si>
  <si>
    <t>Other liability items</t>
  </si>
  <si>
    <t>Land</t>
  </si>
  <si>
    <t>Building</t>
  </si>
  <si>
    <t>Plant Machinery</t>
  </si>
  <si>
    <t>Ships Vessels</t>
  </si>
  <si>
    <t>Equipments</t>
  </si>
  <si>
    <t>Furniture n fittings</t>
  </si>
  <si>
    <t>Railway sidings</t>
  </si>
  <si>
    <t>Vehicles</t>
  </si>
  <si>
    <t>Intangible Assets</t>
  </si>
  <si>
    <t>Other fixed assets</t>
  </si>
  <si>
    <t>Gross Block</t>
  </si>
  <si>
    <t>Accumulated Depreciation</t>
  </si>
  <si>
    <t>CWIP</t>
  </si>
  <si>
    <t>Inventories</t>
  </si>
  <si>
    <t>Cash Equivalents</t>
  </si>
  <si>
    <t>Loans n Advances</t>
  </si>
  <si>
    <t>Other asset items</t>
  </si>
  <si>
    <t>Particulars</t>
  </si>
  <si>
    <t>Fixed Assets</t>
  </si>
  <si>
    <t>Trade receivables</t>
  </si>
  <si>
    <t>Current Liabilities</t>
  </si>
  <si>
    <t>Total Current Liabilities</t>
  </si>
  <si>
    <t>Net Working Capital</t>
  </si>
  <si>
    <t>Non-Current Assets</t>
  </si>
  <si>
    <t>Accumulated Dep.</t>
  </si>
  <si>
    <t>Net Non-Current Assets</t>
  </si>
  <si>
    <t>Invested Capital</t>
  </si>
  <si>
    <t>Return on Invested Capital (ROIC)</t>
  </si>
  <si>
    <t>Calculation of Reinvestment Rate</t>
  </si>
  <si>
    <t>Net Capex</t>
  </si>
  <si>
    <t>Change in Working Capital</t>
  </si>
  <si>
    <t>Marginal Tax Rate</t>
  </si>
  <si>
    <t>Reinvestment</t>
  </si>
  <si>
    <t>Reinvestment Rate</t>
  </si>
  <si>
    <t>Calculation of Growth Rate</t>
  </si>
  <si>
    <t>ROIC</t>
  </si>
  <si>
    <t>Intrinsic Growth</t>
  </si>
  <si>
    <t>NOPAT</t>
  </si>
  <si>
    <t>Calculation of PV of FCFF</t>
  </si>
  <si>
    <t>Less: Reinvestment Rate</t>
  </si>
  <si>
    <t>Free Cash Flow to Firm (FCFF)</t>
  </si>
  <si>
    <t>Mid Year Convention</t>
  </si>
  <si>
    <t>Discounting Factor</t>
  </si>
  <si>
    <t>PV of FCFF</t>
  </si>
  <si>
    <t>Expected Growth</t>
  </si>
  <si>
    <t>Terminal Growth</t>
  </si>
  <si>
    <t>Calculation of Terminal Value</t>
  </si>
  <si>
    <t>FCFF (n+1)</t>
  </si>
  <si>
    <t>Terminal Value</t>
  </si>
  <si>
    <t>PV of Terminal Value</t>
  </si>
  <si>
    <t>Value of Operating Assets</t>
  </si>
  <si>
    <t>Add: Cash</t>
  </si>
  <si>
    <t>Less: Debt</t>
  </si>
  <si>
    <t>Value of Equity</t>
  </si>
  <si>
    <t>No. of Shares</t>
  </si>
  <si>
    <t>Calculation of Equity Value per Share</t>
  </si>
  <si>
    <t>Equity Value per Share</t>
  </si>
  <si>
    <t>Share Price</t>
  </si>
  <si>
    <t>Discount/Premium</t>
  </si>
  <si>
    <t>Comparable Company Valuation</t>
  </si>
  <si>
    <t>Ticker</t>
  </si>
  <si>
    <t>Share</t>
  </si>
  <si>
    <t>Price</t>
  </si>
  <si>
    <t>Sales Forecasting</t>
  </si>
  <si>
    <t>EBITDA Forecasting</t>
  </si>
  <si>
    <t>EPS Forecasting</t>
  </si>
  <si>
    <t>Shares</t>
  </si>
  <si>
    <t>Outstanding</t>
  </si>
  <si>
    <t>Value</t>
  </si>
  <si>
    <t>Net Debt</t>
  </si>
  <si>
    <t>Enterprise</t>
  </si>
  <si>
    <t>Market Data</t>
  </si>
  <si>
    <t>Revenue</t>
  </si>
  <si>
    <t>Net Income</t>
  </si>
  <si>
    <t>Financials</t>
  </si>
  <si>
    <t>Valuation</t>
  </si>
  <si>
    <t>S.No.</t>
  </si>
  <si>
    <t>CMP Rs.</t>
  </si>
  <si>
    <t>No. Eq. Shares Cr.</t>
  </si>
  <si>
    <t>Debt Rs.Cr.</t>
  </si>
  <si>
    <t>Cash End Rs.Cr.</t>
  </si>
  <si>
    <t>EV Rs.Cr.</t>
  </si>
  <si>
    <t>Sales Rs.Cr.</t>
  </si>
  <si>
    <t>NP 12M Rs.Cr.</t>
  </si>
  <si>
    <t>EV / EBITDA</t>
  </si>
  <si>
    <t>Dalmia BharatLtd</t>
  </si>
  <si>
    <t>ACC</t>
  </si>
  <si>
    <t>The Ramco Cement</t>
  </si>
  <si>
    <t>JSW Cement</t>
  </si>
  <si>
    <t>Nuvoco Vistas</t>
  </si>
  <si>
    <t>India Cements</t>
  </si>
  <si>
    <t>JK Lakshmi Cem.</t>
  </si>
  <si>
    <t>Star Cement</t>
  </si>
  <si>
    <t>Birla Corpn.</t>
  </si>
  <si>
    <t>Prism Johnson</t>
  </si>
  <si>
    <t>Heidelberg Cem.</t>
  </si>
  <si>
    <t>Orient Cement</t>
  </si>
  <si>
    <t>Sagar Cements</t>
  </si>
  <si>
    <t>K C P</t>
  </si>
  <si>
    <t>Mangalam Cement</t>
  </si>
  <si>
    <t>Sanghi Industrie</t>
  </si>
  <si>
    <t>Deccan Cements</t>
  </si>
  <si>
    <t>Sh. Digvijay Cem</t>
  </si>
  <si>
    <t>Saurashtra Cem.</t>
  </si>
  <si>
    <t>NCL Industries</t>
  </si>
  <si>
    <t>Market Cap</t>
  </si>
  <si>
    <t>EV/Revenue</t>
  </si>
  <si>
    <t>EV/EBITDA</t>
  </si>
  <si>
    <t>P/E Ratio</t>
  </si>
  <si>
    <t>High</t>
  </si>
  <si>
    <t>75th Percentile</t>
  </si>
  <si>
    <t>25th Percentile</t>
  </si>
  <si>
    <t>Low</t>
  </si>
  <si>
    <t>Implied Enterprise Value</t>
  </si>
  <si>
    <t>Implied Market Value</t>
  </si>
  <si>
    <t>Shares Outstanding</t>
  </si>
  <si>
    <t>Implied Value per Share</t>
  </si>
  <si>
    <t>Source: The Valuation School, Screener.in</t>
  </si>
  <si>
    <t>Figures are in INR Crore</t>
  </si>
  <si>
    <t>Weighted Average Cost of Capital</t>
  </si>
  <si>
    <t>1). Tax Rate is considered as Marginal Tax Rate of the Country</t>
  </si>
  <si>
    <t>2). Levered Beta is based on 2 Year Weekly data</t>
  </si>
  <si>
    <t>3). Unlevered Beta = Levered Beta/(1+(1-Tax Rate)*Debt-to-Equity)</t>
  </si>
  <si>
    <t>Assumptions:</t>
  </si>
  <si>
    <t>5). Source of Data is Screener.in &amp; Investing.com</t>
  </si>
  <si>
    <t>1). Intrinsic Growth is calculated by Gordon Growth Model</t>
  </si>
  <si>
    <t>UltraTech Cement Comparable Valuation</t>
  </si>
  <si>
    <t>Football Field Analysis - Data</t>
  </si>
  <si>
    <t>Comps</t>
  </si>
  <si>
    <t>DCF Bear</t>
  </si>
  <si>
    <t>DCF Base</t>
  </si>
  <si>
    <t>DCF Bull</t>
  </si>
  <si>
    <t>52W H/L</t>
  </si>
  <si>
    <t>Open Low</t>
  </si>
  <si>
    <t>Open High</t>
  </si>
  <si>
    <t>Sensitivity Analysis - Equity Value per Share</t>
  </si>
  <si>
    <t>Sensitivity Analysis - Terminal Value</t>
  </si>
  <si>
    <t>Returns</t>
  </si>
  <si>
    <t>Sorted Returns</t>
  </si>
  <si>
    <t>Calculation of Value at Risk</t>
  </si>
  <si>
    <t>Mean</t>
  </si>
  <si>
    <t>Std Deviation</t>
  </si>
  <si>
    <t>Min</t>
  </si>
  <si>
    <t>Max</t>
  </si>
  <si>
    <t>CMP</t>
  </si>
  <si>
    <t>Percentile</t>
  </si>
  <si>
    <t>Replication</t>
  </si>
  <si>
    <t>Simulated Returns</t>
  </si>
  <si>
    <t>Historical Approach</t>
  </si>
  <si>
    <t>Confidence</t>
  </si>
  <si>
    <t>Stock Price</t>
  </si>
  <si>
    <t>VAR (INR)</t>
  </si>
  <si>
    <t>VAR %</t>
  </si>
  <si>
    <t>Monte-Carlo Simulation</t>
  </si>
  <si>
    <t>ULTRACEMCO | BSE Code : 532538</t>
  </si>
  <si>
    <t>52 Week High - INR 13102</t>
  </si>
  <si>
    <t>52 Week Low - INR 10048</t>
  </si>
  <si>
    <t>About the company</t>
  </si>
  <si>
    <t>UltraTech Cement Limited is the cement flagship company of the Aditya Birla Group. A USD 8.9 billion building solutions powerhouse, UltraTech is the largest manufacturer of grey cement and ready-mix concrete (RMC) and one of the largest manufacturers of white cement in India. It is the second largest cement company globally by capacity and the largest by sales volume (excluding China).</t>
  </si>
  <si>
    <t>Recent Updates</t>
  </si>
  <si>
    <t>Financial Summary</t>
  </si>
  <si>
    <t>Altman's Z Score</t>
  </si>
  <si>
    <t>Working Capital/Total Assets</t>
  </si>
  <si>
    <t>Working Capital</t>
  </si>
  <si>
    <t>Retained Earnings/Total Assets</t>
  </si>
  <si>
    <t>EBIT/Total Assets</t>
  </si>
  <si>
    <t>Market Cap/Long Term Liabilities</t>
  </si>
  <si>
    <t>Long Term Liabilities</t>
  </si>
  <si>
    <t>Sales/Total Assets</t>
  </si>
  <si>
    <t>Working Capital/Total Assets (A)</t>
  </si>
  <si>
    <t>Retained Earnings/Total Assets (B)</t>
  </si>
  <si>
    <t>EBIT/Total Assets (C)</t>
  </si>
  <si>
    <t>Market Cap/Long Term Liabilities (D)</t>
  </si>
  <si>
    <t>Sales/Total Assets (E)</t>
  </si>
  <si>
    <t>Final Score</t>
  </si>
  <si>
    <t>Financial Stability</t>
  </si>
  <si>
    <t>DuPont Summary</t>
  </si>
  <si>
    <t>UltraTech Cement - One Page Profile</t>
  </si>
  <si>
    <t>Key Financial Metrics</t>
  </si>
  <si>
    <t>Share Price - 5Y</t>
  </si>
  <si>
    <t>Total Sales</t>
  </si>
  <si>
    <t>Sales Growth</t>
  </si>
  <si>
    <t>Gross Profit Margin (%)</t>
  </si>
  <si>
    <t>EBITDA Margin (%)</t>
  </si>
  <si>
    <t>EBIT Margin (%)</t>
  </si>
  <si>
    <t>Net Profit Margin (%)</t>
  </si>
  <si>
    <t>Earnings Per Share (In Rs.)</t>
  </si>
  <si>
    <t>EPS Growth</t>
  </si>
  <si>
    <t>Dividend Per Share (In Rs.)</t>
  </si>
  <si>
    <t>DPS Growth</t>
  </si>
  <si>
    <t>Key Financial Ratios</t>
  </si>
  <si>
    <t>Price to Earnings</t>
  </si>
  <si>
    <t>EV/Sales</t>
  </si>
  <si>
    <t>Price to Book Value</t>
  </si>
  <si>
    <t>Return on Equity (%)</t>
  </si>
  <si>
    <t>Return on Capital Employed (%)</t>
  </si>
  <si>
    <t>Volume - 5Y</t>
  </si>
  <si>
    <t>Shareholder's name</t>
  </si>
  <si>
    <t>Total Shares Held</t>
  </si>
  <si>
    <t>Shareholding (%)</t>
  </si>
  <si>
    <t>Quarter Ending</t>
  </si>
  <si>
    <t>Grasim Industries Limited</t>
  </si>
  <si>
    <t>LIFE INSURANCE CORPORATION OF INDIA</t>
  </si>
  <si>
    <t>ICICI PRUDENTIAL NIFTY INFRASTRUCTURE ETF</t>
  </si>
  <si>
    <t>NPS TRUST-A/C TATA PENSION FUND MANAGEMENT PRIVATE</t>
  </si>
  <si>
    <t>Pilani Investment and Industries Corporation Limited</t>
  </si>
  <si>
    <t>SBI NIFTY 50 EQUAL WEIGHT INDEX FUND</t>
  </si>
  <si>
    <t>Government of Singapore - E</t>
  </si>
  <si>
    <t>KOTAK AGGRESSIVE HYBRID FUND</t>
  </si>
  <si>
    <t>PT. Indo Bharat Rayon</t>
  </si>
  <si>
    <t>Hindalco Industries Limited</t>
  </si>
  <si>
    <t>No. of Shares (In Cr.)</t>
  </si>
  <si>
    <t>% Holding</t>
  </si>
  <si>
    <t>Market Value (In Cr.)</t>
  </si>
  <si>
    <t>Top 10 Shareholders</t>
  </si>
  <si>
    <t>Valuation Summary - UltraTech Cement Ltd.</t>
  </si>
  <si>
    <t>Historical Financials</t>
  </si>
  <si>
    <t>DCF Valuation Summary</t>
  </si>
  <si>
    <t>237.65K</t>
  </si>
  <si>
    <t>139.82K</t>
  </si>
  <si>
    <t>197.21K</t>
  </si>
  <si>
    <t>159.58K</t>
  </si>
  <si>
    <t>196.56K</t>
  </si>
  <si>
    <t>228.62K</t>
  </si>
  <si>
    <t>225.90K</t>
  </si>
  <si>
    <t>344.40K</t>
  </si>
  <si>
    <t>371.46K</t>
  </si>
  <si>
    <t>375.91K</t>
  </si>
  <si>
    <t>297.76K</t>
  </si>
  <si>
    <t>332.06K</t>
  </si>
  <si>
    <t>593.84K</t>
  </si>
  <si>
    <t>249.55K</t>
  </si>
  <si>
    <t>1.51M</t>
  </si>
  <si>
    <t>545.94K</t>
  </si>
  <si>
    <t>414.99K</t>
  </si>
  <si>
    <t>436.71K</t>
  </si>
  <si>
    <t>377.76K</t>
  </si>
  <si>
    <t>274.82K</t>
  </si>
  <si>
    <t>361.66K</t>
  </si>
  <si>
    <t>513.60K</t>
  </si>
  <si>
    <t>450.59K</t>
  </si>
  <si>
    <t>314.75K</t>
  </si>
  <si>
    <t>236.90K</t>
  </si>
  <si>
    <t>308.66K</t>
  </si>
  <si>
    <t>310.55K</t>
  </si>
  <si>
    <t>262.46K</t>
  </si>
  <si>
    <t>301.34K</t>
  </si>
  <si>
    <t>347.20K</t>
  </si>
  <si>
    <t>336.13K</t>
  </si>
  <si>
    <t>279.20K</t>
  </si>
  <si>
    <t>166.05K</t>
  </si>
  <si>
    <t>268.80K</t>
  </si>
  <si>
    <t>157.58K</t>
  </si>
  <si>
    <t>142.19K</t>
  </si>
  <si>
    <t>320.24K</t>
  </si>
  <si>
    <t>175.29K</t>
  </si>
  <si>
    <t>296.50K</t>
  </si>
  <si>
    <t>1.72M</t>
  </si>
  <si>
    <t>1.23M</t>
  </si>
  <si>
    <t>835.34K</t>
  </si>
  <si>
    <t>352.92K</t>
  </si>
  <si>
    <t>310.83K</t>
  </si>
  <si>
    <t>365.92K</t>
  </si>
  <si>
    <t>302.34K</t>
  </si>
  <si>
    <t>165.65K</t>
  </si>
  <si>
    <t>180.75K</t>
  </si>
  <si>
    <t>299.77K</t>
  </si>
  <si>
    <t>219.47K</t>
  </si>
  <si>
    <t>212.06K</t>
  </si>
  <si>
    <t>354.62K</t>
  </si>
  <si>
    <t>269.18K</t>
  </si>
  <si>
    <t>549.25K</t>
  </si>
  <si>
    <t>656.57K</t>
  </si>
  <si>
    <t>294.69K</t>
  </si>
  <si>
    <t>754.46K</t>
  </si>
  <si>
    <t>401.57K</t>
  </si>
  <si>
    <t>406.11K</t>
  </si>
  <si>
    <t>280.96K</t>
  </si>
  <si>
    <t>263.14K</t>
  </si>
  <si>
    <t>376.47K</t>
  </si>
  <si>
    <t>361.88K</t>
  </si>
  <si>
    <t>222.19K</t>
  </si>
  <si>
    <t>484.51K</t>
  </si>
  <si>
    <t>602.12K</t>
  </si>
  <si>
    <t>230.61K</t>
  </si>
  <si>
    <t>351.04K</t>
  </si>
  <si>
    <t>345.26K</t>
  </si>
  <si>
    <t>268.15K</t>
  </si>
  <si>
    <t>290.47K</t>
  </si>
  <si>
    <t>230.60K</t>
  </si>
  <si>
    <t>334.67K</t>
  </si>
  <si>
    <t>267.72K</t>
  </si>
  <si>
    <t>339.74K</t>
  </si>
  <si>
    <t>412.56K</t>
  </si>
  <si>
    <t>516.75K</t>
  </si>
  <si>
    <t>516.50K</t>
  </si>
  <si>
    <t>630.39K</t>
  </si>
  <si>
    <t>255.25K</t>
  </si>
  <si>
    <t>145.70K</t>
  </si>
  <si>
    <t>273.05K</t>
  </si>
  <si>
    <t>217.46K</t>
  </si>
  <si>
    <t>388.91K</t>
  </si>
  <si>
    <t>200.27K</t>
  </si>
  <si>
    <t>182.80K</t>
  </si>
  <si>
    <t>307.68K</t>
  </si>
  <si>
    <t>179.34K</t>
  </si>
  <si>
    <t>371.37K</t>
  </si>
  <si>
    <t>209.71K</t>
  </si>
  <si>
    <t>128.24K</t>
  </si>
  <si>
    <t>158.93K</t>
  </si>
  <si>
    <t>173.02K</t>
  </si>
  <si>
    <t>175.37K</t>
  </si>
  <si>
    <t>181.46K</t>
  </si>
  <si>
    <t>198.00K</t>
  </si>
  <si>
    <t>478.35K</t>
  </si>
  <si>
    <t>201.20K</t>
  </si>
  <si>
    <t>350.21K</t>
  </si>
  <si>
    <t>394.18K</t>
  </si>
  <si>
    <t>314.94K</t>
  </si>
  <si>
    <t>349.62K</t>
  </si>
  <si>
    <t>345.05K</t>
  </si>
  <si>
    <t>191.18K</t>
  </si>
  <si>
    <t>143.72K</t>
  </si>
  <si>
    <t>209.23K</t>
  </si>
  <si>
    <t>279.92K</t>
  </si>
  <si>
    <t>237.75K</t>
  </si>
  <si>
    <t>262.53K</t>
  </si>
  <si>
    <t>181.36K</t>
  </si>
  <si>
    <t>401.10K</t>
  </si>
  <si>
    <t>121.42K</t>
  </si>
  <si>
    <t>156.82K</t>
  </si>
  <si>
    <t>157.76K</t>
  </si>
  <si>
    <t>629.90K</t>
  </si>
  <si>
    <t>304.91K</t>
  </si>
  <si>
    <t>735.70K</t>
  </si>
  <si>
    <t>253.13K</t>
  </si>
  <si>
    <t>506.58K</t>
  </si>
  <si>
    <t>501.29K</t>
  </si>
  <si>
    <t>333.10K</t>
  </si>
  <si>
    <t>207.44K</t>
  </si>
  <si>
    <t>445.83K</t>
  </si>
  <si>
    <t>275.76K</t>
  </si>
  <si>
    <t>191.52K</t>
  </si>
  <si>
    <t>149.94K</t>
  </si>
  <si>
    <t>219.23K</t>
  </si>
  <si>
    <t>379.92K</t>
  </si>
  <si>
    <t>269.32K</t>
  </si>
  <si>
    <t>240.03K</t>
  </si>
  <si>
    <t>278.92K</t>
  </si>
  <si>
    <t>154.12K</t>
  </si>
  <si>
    <t>156.31K</t>
  </si>
  <si>
    <t>166.14K</t>
  </si>
  <si>
    <t>98.34K</t>
  </si>
  <si>
    <t>512.52K</t>
  </si>
  <si>
    <t>533.62K</t>
  </si>
  <si>
    <t>189.62K</t>
  </si>
  <si>
    <t>180.08K</t>
  </si>
  <si>
    <t>290.38K</t>
  </si>
  <si>
    <t>214.11K</t>
  </si>
  <si>
    <t>208.45K</t>
  </si>
  <si>
    <t>185.68K</t>
  </si>
  <si>
    <t>150.38K</t>
  </si>
  <si>
    <t>212.57K</t>
  </si>
  <si>
    <t>207.88K</t>
  </si>
  <si>
    <t>267.54K</t>
  </si>
  <si>
    <t>192.09K</t>
  </si>
  <si>
    <t>202.03K</t>
  </si>
  <si>
    <t>201.77K</t>
  </si>
  <si>
    <t>218.61K</t>
  </si>
  <si>
    <t>334.10K</t>
  </si>
  <si>
    <t>207.36K</t>
  </si>
  <si>
    <t>235.74K</t>
  </si>
  <si>
    <t>808.48K</t>
  </si>
  <si>
    <t>351.25K</t>
  </si>
  <si>
    <t>290.96K</t>
  </si>
  <si>
    <t>155.46K</t>
  </si>
  <si>
    <t>226.95K</t>
  </si>
  <si>
    <t>199.19K</t>
  </si>
  <si>
    <t>290.32K</t>
  </si>
  <si>
    <t>283.68K</t>
  </si>
  <si>
    <t>177.86K</t>
  </si>
  <si>
    <t>214.24K</t>
  </si>
  <si>
    <t>214.10K</t>
  </si>
  <si>
    <t>140.02K</t>
  </si>
  <si>
    <t>305.04K</t>
  </si>
  <si>
    <t>153.77K</t>
  </si>
  <si>
    <t>126.45K</t>
  </si>
  <si>
    <t>240.23K</t>
  </si>
  <si>
    <t>175.58K</t>
  </si>
  <si>
    <t>132.66K</t>
  </si>
  <si>
    <t>153.09K</t>
  </si>
  <si>
    <t>179.53K</t>
  </si>
  <si>
    <t>189.04K</t>
  </si>
  <si>
    <t>264.32K</t>
  </si>
  <si>
    <t>190.08K</t>
  </si>
  <si>
    <t>571.67K</t>
  </si>
  <si>
    <t>499.55K</t>
  </si>
  <si>
    <t>403.64K</t>
  </si>
  <si>
    <t>166.52K</t>
  </si>
  <si>
    <t>272.54K</t>
  </si>
  <si>
    <t>181.54K</t>
  </si>
  <si>
    <t>214.81K</t>
  </si>
  <si>
    <t>279.16K</t>
  </si>
  <si>
    <t>129.53K</t>
  </si>
  <si>
    <t>258.41K</t>
  </si>
  <si>
    <t>106.36K</t>
  </si>
  <si>
    <t>225.47K</t>
  </si>
  <si>
    <t>173.97K</t>
  </si>
  <si>
    <t>171.74K</t>
  </si>
  <si>
    <t>198.46K</t>
  </si>
  <si>
    <t>87.75K</t>
  </si>
  <si>
    <t>129.20K</t>
  </si>
  <si>
    <t>142.33K</t>
  </si>
  <si>
    <t>129.37K</t>
  </si>
  <si>
    <t>182.24K</t>
  </si>
  <si>
    <t>393.37K</t>
  </si>
  <si>
    <t>14.47K</t>
  </si>
  <si>
    <t>370.81K</t>
  </si>
  <si>
    <t>318.84K</t>
  </si>
  <si>
    <t>408.07K</t>
  </si>
  <si>
    <t>513.10K</t>
  </si>
  <si>
    <t>394.27K</t>
  </si>
  <si>
    <t>159.94K</t>
  </si>
  <si>
    <t>175.19K</t>
  </si>
  <si>
    <t>98.39K</t>
  </si>
  <si>
    <t>199.36K</t>
  </si>
  <si>
    <t>189.65K</t>
  </si>
  <si>
    <t>148.16K</t>
  </si>
  <si>
    <t>197.09K</t>
  </si>
  <si>
    <t>125.85K</t>
  </si>
  <si>
    <t>184.54K</t>
  </si>
  <si>
    <t>174.42K</t>
  </si>
  <si>
    <t>161.32K</t>
  </si>
  <si>
    <t>194.38K</t>
  </si>
  <si>
    <t>318.12K</t>
  </si>
  <si>
    <t>271.40K</t>
  </si>
  <si>
    <t>185.40K</t>
  </si>
  <si>
    <t>192.05K</t>
  </si>
  <si>
    <t>407.30K</t>
  </si>
  <si>
    <t>200.15K</t>
  </si>
  <si>
    <t>187.48K</t>
  </si>
  <si>
    <t>275.29K</t>
  </si>
  <si>
    <t>159.99K</t>
  </si>
  <si>
    <t>228.73K</t>
  </si>
  <si>
    <t>190.93K</t>
  </si>
  <si>
    <t>206.29K</t>
  </si>
  <si>
    <t>159.69K</t>
  </si>
  <si>
    <t>226.57K</t>
  </si>
  <si>
    <t>148.19K</t>
  </si>
  <si>
    <t>274.48K</t>
  </si>
  <si>
    <t>272.92K</t>
  </si>
  <si>
    <t>196.51K</t>
  </si>
  <si>
    <t>389.48K</t>
  </si>
  <si>
    <t>178.07K</t>
  </si>
  <si>
    <t>179.69K</t>
  </si>
  <si>
    <t>205.34K</t>
  </si>
  <si>
    <t>103.46K</t>
  </si>
  <si>
    <t>152.96K</t>
  </si>
  <si>
    <t>170.81K</t>
  </si>
  <si>
    <t>161.83K</t>
  </si>
  <si>
    <t>182.05K</t>
  </si>
  <si>
    <t>193.12K</t>
  </si>
  <si>
    <t>197.60K</t>
  </si>
  <si>
    <t>236.32K</t>
  </si>
  <si>
    <t>172.27K</t>
  </si>
  <si>
    <t>71.89K</t>
  </si>
  <si>
    <t>206.24K</t>
  </si>
  <si>
    <t>Vol.</t>
  </si>
  <si>
    <t>453.78K</t>
  </si>
  <si>
    <t>530.96K</t>
  </si>
  <si>
    <t>701.45K</t>
  </si>
  <si>
    <t>742.40K</t>
  </si>
  <si>
    <t>802.68K</t>
  </si>
  <si>
    <t>714.58K</t>
  </si>
  <si>
    <t>591.44K</t>
  </si>
  <si>
    <t>423.24K</t>
  </si>
  <si>
    <t>464.20K</t>
  </si>
  <si>
    <t>589.87K</t>
  </si>
  <si>
    <t>461.60K</t>
  </si>
  <si>
    <t>483.42K</t>
  </si>
  <si>
    <t>321.06K</t>
  </si>
  <si>
    <t>481.35K</t>
  </si>
  <si>
    <t>680.69K</t>
  </si>
  <si>
    <t>3.24M</t>
  </si>
  <si>
    <t>1.21M</t>
  </si>
  <si>
    <t>576.55K</t>
  </si>
  <si>
    <t>745.56K</t>
  </si>
  <si>
    <t>1.46M</t>
  </si>
  <si>
    <t>2.25M</t>
  </si>
  <si>
    <t>952.77K</t>
  </si>
  <si>
    <t>683.26K</t>
  </si>
  <si>
    <t>1.17M</t>
  </si>
  <si>
    <t>769.44K</t>
  </si>
  <si>
    <t>947.68K</t>
  </si>
  <si>
    <t>1.05M</t>
  </si>
  <si>
    <t>390.47K</t>
  </si>
  <si>
    <t>408.87K</t>
  </si>
  <si>
    <t>277.85K</t>
  </si>
  <si>
    <t>595.72K</t>
  </si>
  <si>
    <t>555.52K</t>
  </si>
  <si>
    <t>573.97K</t>
  </si>
  <si>
    <t>499.67K</t>
  </si>
  <si>
    <t>528.41K</t>
  </si>
  <si>
    <t>453.81K</t>
  </si>
  <si>
    <t>378.56K</t>
  </si>
  <si>
    <t>803.07K</t>
  </si>
  <si>
    <t>1.31M</t>
  </si>
  <si>
    <t>609.30K</t>
  </si>
  <si>
    <t>438.05K</t>
  </si>
  <si>
    <t>467.42K</t>
  </si>
  <si>
    <t>1.30M</t>
  </si>
  <si>
    <t>1.83M</t>
  </si>
  <si>
    <t>658.51K</t>
  </si>
  <si>
    <t>483.04K</t>
  </si>
  <si>
    <t>302.77K</t>
  </si>
  <si>
    <t>673.81K</t>
  </si>
  <si>
    <t>349.04K</t>
  </si>
  <si>
    <t>614.22K</t>
  </si>
  <si>
    <t>443.28K</t>
  </si>
  <si>
    <t>345.81K</t>
  </si>
  <si>
    <t>654.46K</t>
  </si>
  <si>
    <t>467.72K</t>
  </si>
  <si>
    <t>890.46K</t>
  </si>
  <si>
    <t>716.39K</t>
  </si>
  <si>
    <t>547.37K</t>
  </si>
  <si>
    <t>303.75K</t>
  </si>
  <si>
    <t>422.44K</t>
  </si>
  <si>
    <t>647.60K</t>
  </si>
  <si>
    <t>531.75K</t>
  </si>
  <si>
    <t>540.95K</t>
  </si>
  <si>
    <t>508.33K</t>
  </si>
  <si>
    <t>301.48K</t>
  </si>
  <si>
    <t>635.30K</t>
  </si>
  <si>
    <t>592.76K</t>
  </si>
  <si>
    <t>585.72K</t>
  </si>
  <si>
    <t>551.19K</t>
  </si>
  <si>
    <t>490.68K</t>
  </si>
  <si>
    <t>636.92K</t>
  </si>
  <si>
    <t>559.51K</t>
  </si>
  <si>
    <t>1.27M</t>
  </si>
  <si>
    <t>1.80M</t>
  </si>
  <si>
    <t>968.45K</t>
  </si>
  <si>
    <t>697.79K</t>
  </si>
  <si>
    <t>512.91K</t>
  </si>
  <si>
    <t>414.44K</t>
  </si>
  <si>
    <t>406.87K</t>
  </si>
  <si>
    <t>475.18K</t>
  </si>
  <si>
    <t>402.06K</t>
  </si>
  <si>
    <t>330.35K</t>
  </si>
  <si>
    <t>215.97K</t>
  </si>
  <si>
    <t>246.63K</t>
  </si>
  <si>
    <t>745.58K</t>
  </si>
  <si>
    <t>872.01K</t>
  </si>
  <si>
    <t>1.14M</t>
  </si>
  <si>
    <t>392.66K</t>
  </si>
  <si>
    <t>405.28K</t>
  </si>
  <si>
    <t>357.29K</t>
  </si>
  <si>
    <t>451.02K</t>
  </si>
  <si>
    <t>475.95K</t>
  </si>
  <si>
    <t>256.09K</t>
  </si>
  <si>
    <t>307.03K</t>
  </si>
  <si>
    <t>288.50K</t>
  </si>
  <si>
    <t>176.13K</t>
  </si>
  <si>
    <t>248.02K</t>
  </si>
  <si>
    <t>1.71M</t>
  </si>
  <si>
    <t>285.09K</t>
  </si>
  <si>
    <t>328.45K</t>
  </si>
  <si>
    <t>397.99K</t>
  </si>
  <si>
    <t>567.70K</t>
  </si>
  <si>
    <t>349.48K</t>
  </si>
  <si>
    <t>205.50K</t>
  </si>
  <si>
    <t>617.04K</t>
  </si>
  <si>
    <t>218.63K</t>
  </si>
  <si>
    <t>345.10K</t>
  </si>
  <si>
    <t>198.70K</t>
  </si>
  <si>
    <t>193.01K</t>
  </si>
  <si>
    <t>160.00K</t>
  </si>
  <si>
    <t>193.13K</t>
  </si>
  <si>
    <t>224.10K</t>
  </si>
  <si>
    <t>637.30K</t>
  </si>
  <si>
    <t>367.33K</t>
  </si>
  <si>
    <t>361.65K</t>
  </si>
  <si>
    <t>542.28K</t>
  </si>
  <si>
    <t>438.44K</t>
  </si>
  <si>
    <t>278.31K</t>
  </si>
  <si>
    <t>183.50K</t>
  </si>
  <si>
    <t>127.28K</t>
  </si>
  <si>
    <t>235.01K</t>
  </si>
  <si>
    <t>283.15K</t>
  </si>
  <si>
    <t>274.11K</t>
  </si>
  <si>
    <t>256.49K</t>
  </si>
  <si>
    <t>134.01K</t>
  </si>
  <si>
    <t>681.76K</t>
  </si>
  <si>
    <t>382.40K</t>
  </si>
  <si>
    <t>365.61K</t>
  </si>
  <si>
    <t>170.54K</t>
  </si>
  <si>
    <t>610.76K</t>
  </si>
  <si>
    <t>372.87K</t>
  </si>
  <si>
    <t>379.75K</t>
  </si>
  <si>
    <t>292.17K</t>
  </si>
  <si>
    <t>436.38K</t>
  </si>
  <si>
    <t>365.11K</t>
  </si>
  <si>
    <t>953.89K</t>
  </si>
  <si>
    <t>1.16M</t>
  </si>
  <si>
    <t>813.62K</t>
  </si>
  <si>
    <t>369.35K</t>
  </si>
  <si>
    <t>297.51K</t>
  </si>
  <si>
    <t>289.53K</t>
  </si>
  <si>
    <t>227.84K</t>
  </si>
  <si>
    <t>245.11K</t>
  </si>
  <si>
    <t>202.45K</t>
  </si>
  <si>
    <t>385.22K</t>
  </si>
  <si>
    <t>258.02K</t>
  </si>
  <si>
    <t>173.66K</t>
  </si>
  <si>
    <t>250.07K</t>
  </si>
  <si>
    <t>236.94K</t>
  </si>
  <si>
    <t>164.59K</t>
  </si>
  <si>
    <t>129.34K</t>
  </si>
  <si>
    <t>206.05K</t>
  </si>
  <si>
    <t>207.51K</t>
  </si>
  <si>
    <t>191.97K</t>
  </si>
  <si>
    <t>204.00K</t>
  </si>
  <si>
    <t>724.99K</t>
  </si>
  <si>
    <t>358.74K</t>
  </si>
  <si>
    <t>310.22K</t>
  </si>
  <si>
    <t>174.45K</t>
  </si>
  <si>
    <t>146.15K</t>
  </si>
  <si>
    <t>183.24K</t>
  </si>
  <si>
    <t>497.37K</t>
  </si>
  <si>
    <t>319.95K</t>
  </si>
  <si>
    <t>475.97K</t>
  </si>
  <si>
    <t>352.82K</t>
  </si>
  <si>
    <t>393.06K</t>
  </si>
  <si>
    <t>198.45K</t>
  </si>
  <si>
    <t>212.63K</t>
  </si>
  <si>
    <t>240.68K</t>
  </si>
  <si>
    <t>198.06K</t>
  </si>
  <si>
    <t>187.06K</t>
  </si>
  <si>
    <t>168.41K</t>
  </si>
  <si>
    <t>216.08K</t>
  </si>
  <si>
    <t>503.21K</t>
  </si>
  <si>
    <t>291.08K</t>
  </si>
  <si>
    <t>214.92K</t>
  </si>
  <si>
    <t>206.06K</t>
  </si>
  <si>
    <t>201.99K</t>
  </si>
  <si>
    <t>341.26K</t>
  </si>
  <si>
    <t>261.52K</t>
  </si>
  <si>
    <t>403.03K</t>
  </si>
  <si>
    <t>490.63K</t>
  </si>
  <si>
    <t>422.90K</t>
  </si>
  <si>
    <t>366.66K</t>
  </si>
  <si>
    <t>339.80K</t>
  </si>
  <si>
    <t>229.31K</t>
  </si>
  <si>
    <t>279.81K</t>
  </si>
  <si>
    <t>583.11K</t>
  </si>
  <si>
    <t>234.32K</t>
  </si>
  <si>
    <t>346.05K</t>
  </si>
  <si>
    <t>407.41K</t>
  </si>
  <si>
    <t>347.92K</t>
  </si>
  <si>
    <t>599.82K</t>
  </si>
  <si>
    <t>1.41M</t>
  </si>
  <si>
    <t>868.39K</t>
  </si>
  <si>
    <t>703.90K</t>
  </si>
  <si>
    <t>318.25K</t>
  </si>
  <si>
    <t>330.82K</t>
  </si>
  <si>
    <t>245.40K</t>
  </si>
  <si>
    <t>372.89K</t>
  </si>
  <si>
    <t>364.66K</t>
  </si>
  <si>
    <t>556.90K</t>
  </si>
  <si>
    <t>659.28K</t>
  </si>
  <si>
    <t>469.66K</t>
  </si>
  <si>
    <t>177.66K</t>
  </si>
  <si>
    <t>388.46K</t>
  </si>
  <si>
    <t>32.61K</t>
  </si>
  <si>
    <t>825.20K</t>
  </si>
  <si>
    <t>253.06K</t>
  </si>
  <si>
    <t>209.15K</t>
  </si>
  <si>
    <t>125.81K</t>
  </si>
  <si>
    <t>180.51K</t>
  </si>
  <si>
    <t>119.07K</t>
  </si>
  <si>
    <t>277.98K</t>
  </si>
  <si>
    <t>183.62K</t>
  </si>
  <si>
    <t>196.81K</t>
  </si>
  <si>
    <t>383.63K</t>
  </si>
  <si>
    <t>475.38K</t>
  </si>
  <si>
    <t>292.77K</t>
  </si>
  <si>
    <t>173.99K</t>
  </si>
  <si>
    <t>265.81K</t>
  </si>
  <si>
    <t>382.41K</t>
  </si>
  <si>
    <t>547.66K</t>
  </si>
  <si>
    <t>509.75K</t>
  </si>
  <si>
    <t>239.69K</t>
  </si>
  <si>
    <t>401.43K</t>
  </si>
  <si>
    <t>173.85K</t>
  </si>
  <si>
    <t>162.65K</t>
  </si>
  <si>
    <t>209.59K</t>
  </si>
  <si>
    <t>198.58K</t>
  </si>
  <si>
    <t>144.73K</t>
  </si>
  <si>
    <t>220.08K</t>
  </si>
  <si>
    <t>210.52K</t>
  </si>
  <si>
    <t>113.05K</t>
  </si>
  <si>
    <t>140.59K</t>
  </si>
  <si>
    <t>279.61K</t>
  </si>
  <si>
    <t>285.81K</t>
  </si>
  <si>
    <t>241.10K</t>
  </si>
  <si>
    <t>158.97K</t>
  </si>
  <si>
    <t>210.15K</t>
  </si>
  <si>
    <t>270.34K</t>
  </si>
  <si>
    <t>142.93K</t>
  </si>
  <si>
    <t>185.90K</t>
  </si>
  <si>
    <t>219.90K</t>
  </si>
  <si>
    <t>243.71K</t>
  </si>
  <si>
    <t>258.37K</t>
  </si>
  <si>
    <t>250.53K</t>
  </si>
  <si>
    <t>315.19K</t>
  </si>
  <si>
    <t>400.87K</t>
  </si>
  <si>
    <t>403.45K</t>
  </si>
  <si>
    <t>543.51K</t>
  </si>
  <si>
    <t>213.13K</t>
  </si>
  <si>
    <t>234.30K</t>
  </si>
  <si>
    <t>297.38K</t>
  </si>
  <si>
    <t>274.89K</t>
  </si>
  <si>
    <t>250.25K</t>
  </si>
  <si>
    <t>1.22M</t>
  </si>
  <si>
    <t>565.18K</t>
  </si>
  <si>
    <t>439.31K</t>
  </si>
  <si>
    <t>249.48K</t>
  </si>
  <si>
    <t>207.85K</t>
  </si>
  <si>
    <t>319.30K</t>
  </si>
  <si>
    <t>467.08K</t>
  </si>
  <si>
    <t>418.03K</t>
  </si>
  <si>
    <t>511.61K</t>
  </si>
  <si>
    <t>250.41K</t>
  </si>
  <si>
    <t>731.35K</t>
  </si>
  <si>
    <t>324.63K</t>
  </si>
  <si>
    <t>167.16K</t>
  </si>
  <si>
    <t>462.49K</t>
  </si>
  <si>
    <t>391.48K</t>
  </si>
  <si>
    <t>270.60K</t>
  </si>
  <si>
    <t>253.64K</t>
  </si>
  <si>
    <t>284.22K</t>
  </si>
  <si>
    <t>265.18K</t>
  </si>
  <si>
    <t>266.66K</t>
  </si>
  <si>
    <t>255.78K</t>
  </si>
  <si>
    <t>322.84K</t>
  </si>
  <si>
    <t>499.96K</t>
  </si>
  <si>
    <t>510.60K</t>
  </si>
  <si>
    <t>424.35K</t>
  </si>
  <si>
    <t>359.24K</t>
  </si>
  <si>
    <t>506.54K</t>
  </si>
  <si>
    <t>610.39K</t>
  </si>
  <si>
    <t>376.46K</t>
  </si>
  <si>
    <t>557.29K</t>
  </si>
  <si>
    <t>686.93K</t>
  </si>
  <si>
    <t>2.41M</t>
  </si>
  <si>
    <t>1.34M</t>
  </si>
  <si>
    <t>1.28M</t>
  </si>
  <si>
    <t>955.85K</t>
  </si>
  <si>
    <t>813.79K</t>
  </si>
  <si>
    <t>967.48K</t>
  </si>
  <si>
    <t>533.02K</t>
  </si>
  <si>
    <t>466.94K</t>
  </si>
  <si>
    <t>819.26K</t>
  </si>
  <si>
    <t>888.93K</t>
  </si>
  <si>
    <t>979.99K</t>
  </si>
  <si>
    <t>531.42K</t>
  </si>
  <si>
    <t>1.07M</t>
  </si>
  <si>
    <t>664.24K</t>
  </si>
  <si>
    <t>642.23K</t>
  </si>
  <si>
    <t>321.02K</t>
  </si>
  <si>
    <t>325.67K</t>
  </si>
  <si>
    <t>671.88K</t>
  </si>
  <si>
    <t>705.39K</t>
  </si>
  <si>
    <t>399.27K</t>
  </si>
  <si>
    <t>216.84K</t>
  </si>
  <si>
    <t>268.31K</t>
  </si>
  <si>
    <t>412.05K</t>
  </si>
  <si>
    <t>297.45K</t>
  </si>
  <si>
    <t>234.00K</t>
  </si>
  <si>
    <t>309.69K</t>
  </si>
  <si>
    <t>359.04K</t>
  </si>
  <si>
    <t>385.83K</t>
  </si>
  <si>
    <t>386.54K</t>
  </si>
  <si>
    <t>240.39K</t>
  </si>
  <si>
    <t>353.43K</t>
  </si>
  <si>
    <t>328.05K</t>
  </si>
  <si>
    <t>237.39K</t>
  </si>
  <si>
    <t>227.50K</t>
  </si>
  <si>
    <t>279.56K</t>
  </si>
  <si>
    <t>327.60K</t>
  </si>
  <si>
    <t>243.31K</t>
  </si>
  <si>
    <t>329.55K</t>
  </si>
  <si>
    <t>228.46K</t>
  </si>
  <si>
    <t>344.37K</t>
  </si>
  <si>
    <t>499.91K</t>
  </si>
  <si>
    <t>355.29K</t>
  </si>
  <si>
    <t>359.46K</t>
  </si>
  <si>
    <t>217.45K</t>
  </si>
  <si>
    <t>323.73K</t>
  </si>
  <si>
    <t>319.22K</t>
  </si>
  <si>
    <t>685.66K</t>
  </si>
  <si>
    <t>637.18K</t>
  </si>
  <si>
    <t>371.95K</t>
  </si>
  <si>
    <t>259.11K</t>
  </si>
  <si>
    <t>374.54K</t>
  </si>
  <si>
    <t>528.57K</t>
  </si>
  <si>
    <t>458.96K</t>
  </si>
  <si>
    <t>571.57K</t>
  </si>
  <si>
    <t>512.95K</t>
  </si>
  <si>
    <t>290.63K</t>
  </si>
  <si>
    <t>330.56K</t>
  </si>
  <si>
    <t>431.47K</t>
  </si>
  <si>
    <t>268.63K</t>
  </si>
  <si>
    <t>320.09K</t>
  </si>
  <si>
    <t>2.22M</t>
  </si>
  <si>
    <t>999.72K</t>
  </si>
  <si>
    <t>1.20M</t>
  </si>
  <si>
    <t>605.18K</t>
  </si>
  <si>
    <t>375.31K</t>
  </si>
  <si>
    <t>493.49K</t>
  </si>
  <si>
    <t>441.35K</t>
  </si>
  <si>
    <t>610.91K</t>
  </si>
  <si>
    <t>286.76K</t>
  </si>
  <si>
    <t>732.23K</t>
  </si>
  <si>
    <t>819.35K</t>
  </si>
  <si>
    <t>506.14K</t>
  </si>
  <si>
    <t>292.41K</t>
  </si>
  <si>
    <t>214.82K</t>
  </si>
  <si>
    <t>296.71K</t>
  </si>
  <si>
    <t>265.86K</t>
  </si>
  <si>
    <t>226.61K</t>
  </si>
  <si>
    <t>278.11K</t>
  </si>
  <si>
    <t>490.62K</t>
  </si>
  <si>
    <t>572.82K</t>
  </si>
  <si>
    <t>329.61K</t>
  </si>
  <si>
    <t>165.96K</t>
  </si>
  <si>
    <t>307.97K</t>
  </si>
  <si>
    <t>261.59K</t>
  </si>
  <si>
    <t>410.98K</t>
  </si>
  <si>
    <t>189.67K</t>
  </si>
  <si>
    <t>171.92K</t>
  </si>
  <si>
    <t>263.69K</t>
  </si>
  <si>
    <t>285.69K</t>
  </si>
  <si>
    <t>255.75K</t>
  </si>
  <si>
    <t>512.93K</t>
  </si>
  <si>
    <t>555.57K</t>
  </si>
  <si>
    <t>371.19K</t>
  </si>
  <si>
    <t>328.61K</t>
  </si>
  <si>
    <t>1.44M</t>
  </si>
  <si>
    <t>919.05K</t>
  </si>
  <si>
    <t>549.44K</t>
  </si>
  <si>
    <t>424.07K</t>
  </si>
  <si>
    <t>462.46K</t>
  </si>
  <si>
    <t>360.85K</t>
  </si>
  <si>
    <t>414.34K</t>
  </si>
  <si>
    <t>274.66K</t>
  </si>
  <si>
    <t>266.36K</t>
  </si>
  <si>
    <t>275.82K</t>
  </si>
  <si>
    <t>741.25K</t>
  </si>
  <si>
    <t>313.91K</t>
  </si>
  <si>
    <t>271.29K</t>
  </si>
  <si>
    <t>303.39K</t>
  </si>
  <si>
    <t>269.93K</t>
  </si>
  <si>
    <t>270.30K</t>
  </si>
  <si>
    <t>341.06K</t>
  </si>
  <si>
    <t>300.99K</t>
  </si>
  <si>
    <t>641.29K</t>
  </si>
  <si>
    <t>345.96K</t>
  </si>
  <si>
    <t>379.31K</t>
  </si>
  <si>
    <t>223.10K</t>
  </si>
  <si>
    <t>470.69K</t>
  </si>
  <si>
    <t>415.70K</t>
  </si>
  <si>
    <t>366.46K</t>
  </si>
  <si>
    <t>467.15K</t>
  </si>
  <si>
    <t>386.22K</t>
  </si>
  <si>
    <t>268.51K</t>
  </si>
  <si>
    <t>385.31K</t>
  </si>
  <si>
    <t>341.22K</t>
  </si>
  <si>
    <t>918.60K</t>
  </si>
  <si>
    <t>879.69K</t>
  </si>
  <si>
    <t>567.06K</t>
  </si>
  <si>
    <t>488.04K</t>
  </si>
  <si>
    <t>412.30K</t>
  </si>
  <si>
    <t>543.95K</t>
  </si>
  <si>
    <t>437.58K</t>
  </si>
  <si>
    <t>831.64K</t>
  </si>
  <si>
    <t>808.81K</t>
  </si>
  <si>
    <t>373.83K</t>
  </si>
  <si>
    <t>616.17K</t>
  </si>
  <si>
    <t>492.10K</t>
  </si>
  <si>
    <t>570.53K</t>
  </si>
  <si>
    <t>497.46K</t>
  </si>
  <si>
    <t>467.96K</t>
  </si>
  <si>
    <t>378.90K</t>
  </si>
  <si>
    <t>407.57K</t>
  </si>
  <si>
    <t>442.89K</t>
  </si>
  <si>
    <t>337.93K</t>
  </si>
  <si>
    <t>307.27K</t>
  </si>
  <si>
    <t>495.62K</t>
  </si>
  <si>
    <t>454.88K</t>
  </si>
  <si>
    <t>282.64K</t>
  </si>
  <si>
    <t>276.53K</t>
  </si>
  <si>
    <t>223.35K</t>
  </si>
  <si>
    <t>314.36K</t>
  </si>
  <si>
    <t>249.29K</t>
  </si>
  <si>
    <t>453.91K</t>
  </si>
  <si>
    <t>558.28K</t>
  </si>
  <si>
    <t>919.15K</t>
  </si>
  <si>
    <t>476.96K</t>
  </si>
  <si>
    <t>307.90K</t>
  </si>
  <si>
    <t>56.53K</t>
  </si>
  <si>
    <t>313.50K</t>
  </si>
  <si>
    <t>248.56K</t>
  </si>
  <si>
    <t>151.83K</t>
  </si>
  <si>
    <t>538.11K</t>
  </si>
  <si>
    <t>429.86K</t>
  </si>
  <si>
    <t>255.63K</t>
  </si>
  <si>
    <t>217.70K</t>
  </si>
  <si>
    <t>646.41K</t>
  </si>
  <si>
    <t>353.34K</t>
  </si>
  <si>
    <t>312.75K</t>
  </si>
  <si>
    <t>330.40K</t>
  </si>
  <si>
    <t>293.20K</t>
  </si>
  <si>
    <t>484.48K</t>
  </si>
  <si>
    <t>625.27K</t>
  </si>
  <si>
    <t>307.35K</t>
  </si>
  <si>
    <t>196.80K</t>
  </si>
  <si>
    <t>297.00K</t>
  </si>
  <si>
    <t>249.50K</t>
  </si>
  <si>
    <t>393.51K</t>
  </si>
  <si>
    <t>258.95K</t>
  </si>
  <si>
    <t>297.23K</t>
  </si>
  <si>
    <t>377.89K</t>
  </si>
  <si>
    <t>239.44K</t>
  </si>
  <si>
    <t>336.27K</t>
  </si>
  <si>
    <t>489.96K</t>
  </si>
  <si>
    <t>1.09M</t>
  </si>
  <si>
    <t>442.74K</t>
  </si>
  <si>
    <t>235.89K</t>
  </si>
  <si>
    <t>312.84K</t>
  </si>
  <si>
    <t>324.94K</t>
  </si>
  <si>
    <t>262.83K</t>
  </si>
  <si>
    <t>211.58K</t>
  </si>
  <si>
    <t>260.58K</t>
  </si>
  <si>
    <t>285.71K</t>
  </si>
  <si>
    <t>226.18K</t>
  </si>
  <si>
    <t>241.61K</t>
  </si>
  <si>
    <t>285.18K</t>
  </si>
  <si>
    <t>251.22K</t>
  </si>
  <si>
    <t>488.12K</t>
  </si>
  <si>
    <t>388.17K</t>
  </si>
  <si>
    <t>338.71K</t>
  </si>
  <si>
    <t>289.66K</t>
  </si>
  <si>
    <t>328.41K</t>
  </si>
  <si>
    <t>295.14K</t>
  </si>
  <si>
    <t>260.02K</t>
  </si>
  <si>
    <t>449.12K</t>
  </si>
  <si>
    <t>232.32K</t>
  </si>
  <si>
    <t>212.58K</t>
  </si>
  <si>
    <t>188.32K</t>
  </si>
  <si>
    <t>236.57K</t>
  </si>
  <si>
    <t>160.18K</t>
  </si>
  <si>
    <t>298.47K</t>
  </si>
  <si>
    <t>263.89K</t>
  </si>
  <si>
    <t>295.41K</t>
  </si>
  <si>
    <t>566.49K</t>
  </si>
  <si>
    <t>462.13K</t>
  </si>
  <si>
    <t>440.50K</t>
  </si>
  <si>
    <t>385.73K</t>
  </si>
  <si>
    <t>447.74K</t>
  </si>
  <si>
    <t>412.00K</t>
  </si>
  <si>
    <t>353.29K</t>
  </si>
  <si>
    <t>998.10K</t>
  </si>
  <si>
    <t>444.19K</t>
  </si>
  <si>
    <t>509.30K</t>
  </si>
  <si>
    <t>635.58K</t>
  </si>
  <si>
    <t>699.27K</t>
  </si>
  <si>
    <t>593.22K</t>
  </si>
  <si>
    <t>648.02K</t>
  </si>
  <si>
    <t>647.19K</t>
  </si>
  <si>
    <t>364.20K</t>
  </si>
  <si>
    <t>314.45K</t>
  </si>
  <si>
    <t>295.07K</t>
  </si>
  <si>
    <t>559.70K</t>
  </si>
  <si>
    <t>334.53K</t>
  </si>
  <si>
    <t>407.82K</t>
  </si>
  <si>
    <t>323.24K</t>
  </si>
  <si>
    <t>328.42K</t>
  </si>
  <si>
    <t>404.97K</t>
  </si>
  <si>
    <t>264.07K</t>
  </si>
  <si>
    <t>1.06M</t>
  </si>
  <si>
    <t>713.50K</t>
  </si>
  <si>
    <t>399.49K</t>
  </si>
  <si>
    <t>402.55K</t>
  </si>
  <si>
    <t>286.75K</t>
  </si>
  <si>
    <t>206.60K</t>
  </si>
  <si>
    <t>295.09K</t>
  </si>
  <si>
    <t>429.26K</t>
  </si>
  <si>
    <t>317.22K</t>
  </si>
  <si>
    <t>180.18K</t>
  </si>
  <si>
    <t>408.75K</t>
  </si>
  <si>
    <t>154.82K</t>
  </si>
  <si>
    <t>237.79K</t>
  </si>
  <si>
    <t>158.81K</t>
  </si>
  <si>
    <t>154.32K</t>
  </si>
  <si>
    <t>176.58K</t>
  </si>
  <si>
    <t>210.98K</t>
  </si>
  <si>
    <t>265.54K</t>
  </si>
  <si>
    <t>459.81K</t>
  </si>
  <si>
    <t>383.51K</t>
  </si>
  <si>
    <t>520.04K</t>
  </si>
  <si>
    <t>350.52K</t>
  </si>
  <si>
    <t>381.60K</t>
  </si>
  <si>
    <t>232.91K</t>
  </si>
  <si>
    <t>228.99K</t>
  </si>
  <si>
    <t>251.63K</t>
  </si>
  <si>
    <t>249.78K</t>
  </si>
  <si>
    <t>445.35K</t>
  </si>
  <si>
    <t>378.46K</t>
  </si>
  <si>
    <t>360.58K</t>
  </si>
  <si>
    <t>233.49K</t>
  </si>
  <si>
    <t>227.68K</t>
  </si>
  <si>
    <t>226.98K</t>
  </si>
  <si>
    <t>354.80K</t>
  </si>
  <si>
    <t>264.42K</t>
  </si>
  <si>
    <t>292.57K</t>
  </si>
  <si>
    <t>488.29K</t>
  </si>
  <si>
    <t>437.23K</t>
  </si>
  <si>
    <t>341.30K</t>
  </si>
  <si>
    <t>263.43K</t>
  </si>
  <si>
    <t>388.41K</t>
  </si>
  <si>
    <t>513.77K</t>
  </si>
  <si>
    <t>285.45K</t>
  </si>
  <si>
    <t>230.25K</t>
  </si>
  <si>
    <t>205.18K</t>
  </si>
  <si>
    <t>457.49K</t>
  </si>
  <si>
    <t>544.73K</t>
  </si>
  <si>
    <t>384.43K</t>
  </si>
  <si>
    <t>232.20K</t>
  </si>
  <si>
    <t>319.65K</t>
  </si>
  <si>
    <t>295.16K</t>
  </si>
  <si>
    <t>289.80K</t>
  </si>
  <si>
    <t>234.88K</t>
  </si>
  <si>
    <t>320.22K</t>
  </si>
  <si>
    <t>246.80K</t>
  </si>
  <si>
    <t>183.59K</t>
  </si>
  <si>
    <t>250.49K</t>
  </si>
  <si>
    <t>205.63K</t>
  </si>
  <si>
    <t>157.71K</t>
  </si>
  <si>
    <t>138.71K</t>
  </si>
  <si>
    <t>139.60K</t>
  </si>
  <si>
    <t>149.29K</t>
  </si>
  <si>
    <t>160.57K</t>
  </si>
  <si>
    <t>257.36K</t>
  </si>
  <si>
    <t>252.08K</t>
  </si>
  <si>
    <t>210.77K</t>
  </si>
  <si>
    <t>414.79K</t>
  </si>
  <si>
    <t>184.64K</t>
  </si>
  <si>
    <t>248.33K</t>
  </si>
  <si>
    <t>186.02K</t>
  </si>
  <si>
    <t>635.24K</t>
  </si>
  <si>
    <t>298.65K</t>
  </si>
  <si>
    <t>349.09K</t>
  </si>
  <si>
    <t>325.81K</t>
  </si>
  <si>
    <t>195.13K</t>
  </si>
  <si>
    <t>249.20K</t>
  </si>
  <si>
    <t>289.64K</t>
  </si>
  <si>
    <t>406.20K</t>
  </si>
  <si>
    <t>356.98K</t>
  </si>
  <si>
    <t>187.49K</t>
  </si>
  <si>
    <t>343.19K</t>
  </si>
  <si>
    <t>373.93K</t>
  </si>
  <si>
    <t>226.65K</t>
  </si>
  <si>
    <t>198.26K</t>
  </si>
  <si>
    <t>241.86K</t>
  </si>
  <si>
    <t>236.56K</t>
  </si>
  <si>
    <t>282.12K</t>
  </si>
  <si>
    <t>225.75K</t>
  </si>
  <si>
    <t>373.70K</t>
  </si>
  <si>
    <t>206.68K</t>
  </si>
  <si>
    <t>195.35K</t>
  </si>
  <si>
    <t>275.69K</t>
  </si>
  <si>
    <t>354.70K</t>
  </si>
  <si>
    <t>173.23K</t>
  </si>
  <si>
    <t>300.38K</t>
  </si>
  <si>
    <t>508.97K</t>
  </si>
  <si>
    <t>272.84K</t>
  </si>
  <si>
    <t>249.25K</t>
  </si>
  <si>
    <t>202.74K</t>
  </si>
  <si>
    <t>280.53K</t>
  </si>
  <si>
    <t>150.43K</t>
  </si>
  <si>
    <t>307.20K</t>
  </si>
  <si>
    <t>656.73K</t>
  </si>
  <si>
    <t>482.81K</t>
  </si>
  <si>
    <t>583.17K</t>
  </si>
  <si>
    <t>191.35K</t>
  </si>
  <si>
    <t>216.82K</t>
  </si>
  <si>
    <t>205.00K</t>
  </si>
  <si>
    <t>240.04K</t>
  </si>
  <si>
    <t>217.56K</t>
  </si>
  <si>
    <t>134.41K</t>
  </si>
  <si>
    <t>390.60K</t>
  </si>
  <si>
    <t>248.05K</t>
  </si>
  <si>
    <t>195.30K</t>
  </si>
  <si>
    <t>166.01K</t>
  </si>
  <si>
    <t>222.34K</t>
  </si>
  <si>
    <t>296.18K</t>
  </si>
  <si>
    <t>293.10K</t>
  </si>
  <si>
    <t>544.31K</t>
  </si>
  <si>
    <t>282.78K</t>
  </si>
  <si>
    <t>248.72K</t>
  </si>
  <si>
    <t>265.26K</t>
  </si>
  <si>
    <t>216.79K</t>
  </si>
  <si>
    <t>193.11K</t>
  </si>
  <si>
    <t>208.55K</t>
  </si>
  <si>
    <t>273.84K</t>
  </si>
  <si>
    <t>191.15K</t>
  </si>
  <si>
    <t>327.78K</t>
  </si>
  <si>
    <t>230.71K</t>
  </si>
  <si>
    <t>223.23K</t>
  </si>
  <si>
    <t>482.61K</t>
  </si>
  <si>
    <t>215.64K</t>
  </si>
  <si>
    <t>620.11K</t>
  </si>
  <si>
    <t>210.59K</t>
  </si>
  <si>
    <t>327.85K</t>
  </si>
  <si>
    <t>203.48K</t>
  </si>
  <si>
    <t>125.96K</t>
  </si>
  <si>
    <t>131.69K</t>
  </si>
  <si>
    <t>335.82K</t>
  </si>
  <si>
    <t>311.97K</t>
  </si>
  <si>
    <t>357.25K</t>
  </si>
  <si>
    <t>129.31K</t>
  </si>
  <si>
    <t>317.40K</t>
  </si>
  <si>
    <t>393.95K</t>
  </si>
  <si>
    <t>524.83K</t>
  </si>
  <si>
    <t>515.80K</t>
  </si>
  <si>
    <t>541.64K</t>
  </si>
  <si>
    <t>370.43K</t>
  </si>
  <si>
    <t>320.97K</t>
  </si>
  <si>
    <t>454.40K</t>
  </si>
  <si>
    <t>884.37K</t>
  </si>
  <si>
    <t>310.51K</t>
  </si>
  <si>
    <t>158.49K</t>
  </si>
  <si>
    <t>152.53K</t>
  </si>
  <si>
    <t>187.02K</t>
  </si>
  <si>
    <t>439.62K</t>
  </si>
  <si>
    <t>177.70K</t>
  </si>
  <si>
    <t>285.08K</t>
  </si>
  <si>
    <t>363.99K</t>
  </si>
  <si>
    <t>205.23K</t>
  </si>
  <si>
    <t>322.14K</t>
  </si>
  <si>
    <t>837.50K</t>
  </si>
  <si>
    <t>539.29K</t>
  </si>
  <si>
    <t>217.55K</t>
  </si>
  <si>
    <t>255.68K</t>
  </si>
  <si>
    <t>637.43K</t>
  </si>
  <si>
    <t>244.07K</t>
  </si>
  <si>
    <t>218.91K</t>
  </si>
  <si>
    <t>200.59K</t>
  </si>
  <si>
    <t>243.69K</t>
  </si>
  <si>
    <t>194.72K</t>
  </si>
  <si>
    <t>206.36K</t>
  </si>
  <si>
    <t>132.37K</t>
  </si>
  <si>
    <t>128.14K</t>
  </si>
  <si>
    <t>13.69K</t>
  </si>
  <si>
    <t>64.41K</t>
  </si>
  <si>
    <t>192.35K</t>
  </si>
  <si>
    <t>233.43K</t>
  </si>
  <si>
    <t>151.82K</t>
  </si>
  <si>
    <t>174.31K</t>
  </si>
  <si>
    <t>183.51K</t>
  </si>
  <si>
    <t>325.32K</t>
  </si>
  <si>
    <t>344.27K</t>
  </si>
  <si>
    <t>197.28K</t>
  </si>
  <si>
    <t>343.34K</t>
  </si>
  <si>
    <t>207.73K</t>
  </si>
  <si>
    <t>1.03M</t>
  </si>
  <si>
    <t>353.02K</t>
  </si>
  <si>
    <t>473.57K</t>
  </si>
  <si>
    <t>448.46K</t>
  </si>
  <si>
    <t>308.91K</t>
  </si>
  <si>
    <t>346.83K</t>
  </si>
  <si>
    <t>311.76K</t>
  </si>
  <si>
    <t>588.08K</t>
  </si>
  <si>
    <t>1.50M</t>
  </si>
  <si>
    <t>710.42K</t>
  </si>
  <si>
    <t>439.52K</t>
  </si>
  <si>
    <t>266.56K</t>
  </si>
  <si>
    <t>675.17K</t>
  </si>
  <si>
    <t>501.45K</t>
  </si>
  <si>
    <t>216.73K</t>
  </si>
  <si>
    <t>226.94K</t>
  </si>
  <si>
    <t>226.11K</t>
  </si>
  <si>
    <t>658.12K</t>
  </si>
  <si>
    <t>421.41K</t>
  </si>
  <si>
    <t>243.09K</t>
  </si>
  <si>
    <t>97.68K</t>
  </si>
  <si>
    <t>337.53K</t>
  </si>
  <si>
    <t>179.58K</t>
  </si>
  <si>
    <t>313.76K</t>
  </si>
  <si>
    <t>163.19K</t>
  </si>
  <si>
    <t>176.84K</t>
  </si>
  <si>
    <t>242.93K</t>
  </si>
  <si>
    <t>374.33K</t>
  </si>
  <si>
    <t>375.21K</t>
  </si>
  <si>
    <t>376.82K</t>
  </si>
  <si>
    <t>273.93K</t>
  </si>
  <si>
    <t>146.78K</t>
  </si>
  <si>
    <t>252.82K</t>
  </si>
  <si>
    <t>278.34K</t>
  </si>
  <si>
    <t>567.62K</t>
  </si>
  <si>
    <t>138.26K</t>
  </si>
  <si>
    <t>580.29K</t>
  </si>
  <si>
    <t>272.42K</t>
  </si>
  <si>
    <t>296.27K</t>
  </si>
  <si>
    <t>334.46K</t>
  </si>
  <si>
    <t>368.83K</t>
  </si>
  <si>
    <t>341.57K</t>
  </si>
  <si>
    <t>401.50K</t>
  </si>
  <si>
    <t>334.39K</t>
  </si>
  <si>
    <t>162.47K</t>
  </si>
  <si>
    <t>250.87K</t>
  </si>
  <si>
    <t>250.18K</t>
  </si>
  <si>
    <t>320.91K</t>
  </si>
  <si>
    <t>400.82K</t>
  </si>
  <si>
    <t>191.69K</t>
  </si>
  <si>
    <t>276.45K</t>
  </si>
  <si>
    <t>417.80K</t>
  </si>
  <si>
    <t>415.09K</t>
  </si>
  <si>
    <t>250.55K</t>
  </si>
  <si>
    <t>109.78K</t>
  </si>
  <si>
    <t>322.96K</t>
  </si>
  <si>
    <t>363.84K</t>
  </si>
  <si>
    <t>304.24K</t>
  </si>
  <si>
    <t>162.53K</t>
  </si>
  <si>
    <t>214.19K</t>
  </si>
  <si>
    <t>300.67K</t>
  </si>
  <si>
    <t>328.85K</t>
  </si>
  <si>
    <t>352.95K</t>
  </si>
  <si>
    <t>6.96K</t>
  </si>
  <si>
    <t>221.28K</t>
  </si>
  <si>
    <t>310.72K</t>
  </si>
  <si>
    <t>534.83K</t>
  </si>
  <si>
    <t>585.01K</t>
  </si>
  <si>
    <t>235.43K</t>
  </si>
  <si>
    <t>415.93K</t>
  </si>
  <si>
    <t>347.82K</t>
  </si>
  <si>
    <t>379.65K</t>
  </si>
  <si>
    <t>226.45K</t>
  </si>
  <si>
    <t>316.01K</t>
  </si>
  <si>
    <t>171.22K</t>
  </si>
  <si>
    <t>215.84K</t>
  </si>
  <si>
    <t>224.51K</t>
  </si>
  <si>
    <t>397.80K</t>
  </si>
  <si>
    <t>267.94K</t>
  </si>
  <si>
    <t>506.39K</t>
  </si>
  <si>
    <t>387.44K</t>
  </si>
  <si>
    <t>307.11K</t>
  </si>
  <si>
    <t>481.86K</t>
  </si>
  <si>
    <t>346.38K</t>
  </si>
  <si>
    <t>280.08K</t>
  </si>
  <si>
    <t>215.23K</t>
  </si>
  <si>
    <t>275.92K</t>
  </si>
  <si>
    <t>186.22K</t>
  </si>
  <si>
    <t>440.96K</t>
  </si>
  <si>
    <t>220.69K</t>
  </si>
  <si>
    <t>547.65K</t>
  </si>
  <si>
    <t>584.27K</t>
  </si>
  <si>
    <t>415.56K</t>
  </si>
  <si>
    <t>277.78K</t>
  </si>
  <si>
    <t>317.45K</t>
  </si>
  <si>
    <t>317.93K</t>
  </si>
  <si>
    <t>398.26K</t>
  </si>
  <si>
    <t>265.78K</t>
  </si>
  <si>
    <t>808.51K</t>
  </si>
  <si>
    <t>777.84K</t>
  </si>
  <si>
    <t>318.86K</t>
  </si>
  <si>
    <t>517.35K</t>
  </si>
  <si>
    <t>238.52K</t>
  </si>
  <si>
    <t>214.31K</t>
  </si>
  <si>
    <t>392.07K</t>
  </si>
  <si>
    <t>328.72K</t>
  </si>
  <si>
    <t>205.20K</t>
  </si>
  <si>
    <t>215.39K</t>
  </si>
  <si>
    <t>171.94K</t>
  </si>
  <si>
    <t>161.07K</t>
  </si>
  <si>
    <t>368.45K</t>
  </si>
  <si>
    <t>283.85K</t>
  </si>
  <si>
    <t>12.29K</t>
  </si>
  <si>
    <t>346.95K</t>
  </si>
  <si>
    <t>280.24K</t>
  </si>
  <si>
    <t>521.62K</t>
  </si>
  <si>
    <t>519.42K</t>
  </si>
  <si>
    <t>389.33K</t>
  </si>
  <si>
    <t>403.77K</t>
  </si>
  <si>
    <t>317.88K</t>
  </si>
  <si>
    <t>323.42K</t>
  </si>
  <si>
    <t>791.07K</t>
  </si>
  <si>
    <t>732.63K</t>
  </si>
  <si>
    <t>972.02K</t>
  </si>
  <si>
    <t>361.72K</t>
  </si>
  <si>
    <t>483.57K</t>
  </si>
  <si>
    <t>545.28K</t>
  </si>
  <si>
    <t>705.26K</t>
  </si>
  <si>
    <t>650.14K</t>
  </si>
  <si>
    <t>439.14K</t>
  </si>
  <si>
    <t>602.32K</t>
  </si>
  <si>
    <t>305.32K</t>
  </si>
  <si>
    <t>322.72K</t>
  </si>
  <si>
    <t>659.27K</t>
  </si>
  <si>
    <t>445.37K</t>
  </si>
  <si>
    <t>586.75K</t>
  </si>
  <si>
    <t>276.15K</t>
  </si>
  <si>
    <t>562.08K</t>
  </si>
  <si>
    <t>793.20K</t>
  </si>
  <si>
    <t>2.34M</t>
  </si>
  <si>
    <t>684.79K</t>
  </si>
  <si>
    <t>520.34K</t>
  </si>
  <si>
    <t>422.17K</t>
  </si>
  <si>
    <t>206.17K</t>
  </si>
  <si>
    <t>227.23K</t>
  </si>
  <si>
    <t>425.99K</t>
  </si>
  <si>
    <t>149.21K</t>
  </si>
  <si>
    <t>530.90K</t>
  </si>
  <si>
    <t>202.41K</t>
  </si>
  <si>
    <t>366.82K</t>
  </si>
  <si>
    <t>366.27K</t>
  </si>
  <si>
    <t>394.47K</t>
  </si>
  <si>
    <t>556.06K</t>
  </si>
  <si>
    <t>731.27K</t>
  </si>
  <si>
    <t>514.15K</t>
  </si>
  <si>
    <t>573.83K</t>
  </si>
  <si>
    <t>525.16K</t>
  </si>
  <si>
    <t>268.14K</t>
  </si>
  <si>
    <t>254.68K</t>
  </si>
  <si>
    <t>333.21K</t>
  </si>
  <si>
    <t>496.44K</t>
  </si>
  <si>
    <t>438.11K</t>
  </si>
  <si>
    <t>322.53K</t>
  </si>
  <si>
    <t>250.13K</t>
  </si>
  <si>
    <t>273.42K</t>
  </si>
  <si>
    <t>400.84K</t>
  </si>
  <si>
    <t>368.95K</t>
  </si>
  <si>
    <t>230.21K</t>
  </si>
  <si>
    <t>290.35K</t>
  </si>
  <si>
    <t>189.23K</t>
  </si>
  <si>
    <t>200.41K</t>
  </si>
  <si>
    <t>189.97K</t>
  </si>
  <si>
    <t>404.67K</t>
  </si>
  <si>
    <t>435.63K</t>
  </si>
  <si>
    <t>244.26K</t>
  </si>
  <si>
    <t>421.08K</t>
  </si>
  <si>
    <t>456.79K</t>
  </si>
  <si>
    <t>305.46K</t>
  </si>
  <si>
    <t>258.73K</t>
  </si>
  <si>
    <t>234.22K</t>
  </si>
  <si>
    <t>184.43K</t>
  </si>
  <si>
    <t>201.10K</t>
  </si>
  <si>
    <t>406.26K</t>
  </si>
  <si>
    <t>462.19K</t>
  </si>
  <si>
    <t>248.67K</t>
  </si>
  <si>
    <t>181.72K</t>
  </si>
  <si>
    <t>198.19K</t>
  </si>
  <si>
    <t>406.82K</t>
  </si>
  <si>
    <t>245.25K</t>
  </si>
  <si>
    <t>154.67K</t>
  </si>
  <si>
    <t>237.50K</t>
  </si>
  <si>
    <t>141.34K</t>
  </si>
  <si>
    <t>455.93K</t>
  </si>
  <si>
    <t>279.66K</t>
  </si>
  <si>
    <t>257.86K</t>
  </si>
  <si>
    <t>202.73K</t>
  </si>
  <si>
    <t>185.07K</t>
  </si>
  <si>
    <t>227.25K</t>
  </si>
  <si>
    <t>608.79K</t>
  </si>
  <si>
    <t>279.32K</t>
  </si>
  <si>
    <t>242.04K</t>
  </si>
  <si>
    <t>196.69K</t>
  </si>
  <si>
    <t>277.08K</t>
  </si>
  <si>
    <t>404.28K</t>
  </si>
  <si>
    <t>405.49K</t>
  </si>
  <si>
    <t>324.91K</t>
  </si>
  <si>
    <t>304.61K</t>
  </si>
  <si>
    <t>357.28K</t>
  </si>
  <si>
    <t>374.66K</t>
  </si>
  <si>
    <t>447.22K</t>
  </si>
  <si>
    <t>286.38K</t>
  </si>
  <si>
    <t>180.54K</t>
  </si>
  <si>
    <t>120.28K</t>
  </si>
  <si>
    <t>144.16K</t>
  </si>
  <si>
    <t>182.29K</t>
  </si>
  <si>
    <t>276.81K</t>
  </si>
  <si>
    <t>353.33K</t>
  </si>
  <si>
    <t>330.70K</t>
  </si>
  <si>
    <t>566.67K</t>
  </si>
  <si>
    <t>793.89K</t>
  </si>
  <si>
    <t>351.72K</t>
  </si>
  <si>
    <t>341.40K</t>
  </si>
  <si>
    <t>519.65K</t>
  </si>
  <si>
    <t>229.11K</t>
  </si>
  <si>
    <t>266.76K</t>
  </si>
  <si>
    <t>239.93K</t>
  </si>
  <si>
    <t>423.69K</t>
  </si>
  <si>
    <t>19.03K</t>
  </si>
  <si>
    <t>276.98K</t>
  </si>
  <si>
    <t>274.42K</t>
  </si>
  <si>
    <t>282.49K</t>
  </si>
  <si>
    <t>326.25K</t>
  </si>
  <si>
    <t>155.89K</t>
  </si>
  <si>
    <t>107.47K</t>
  </si>
  <si>
    <t>166.35K</t>
  </si>
  <si>
    <t>216.90K</t>
  </si>
  <si>
    <t>297.44K</t>
  </si>
  <si>
    <t>424.19K</t>
  </si>
  <si>
    <t>220.36K</t>
  </si>
  <si>
    <t>256.92K</t>
  </si>
  <si>
    <t>328.43K</t>
  </si>
  <si>
    <t>465.06K</t>
  </si>
  <si>
    <t>330.28K</t>
  </si>
  <si>
    <t>326.14K</t>
  </si>
  <si>
    <t>367.57K</t>
  </si>
  <si>
    <t>633.69K</t>
  </si>
  <si>
    <t>501.81K</t>
  </si>
  <si>
    <t>306.77K</t>
  </si>
  <si>
    <t>436.37K</t>
  </si>
  <si>
    <t>193.32K</t>
  </si>
  <si>
    <t>268.18K</t>
  </si>
  <si>
    <t>232.76K</t>
  </si>
  <si>
    <t>527.03K</t>
  </si>
  <si>
    <t>247.81K</t>
  </si>
  <si>
    <t>408.88K</t>
  </si>
  <si>
    <t>214.95K</t>
  </si>
  <si>
    <t>244.64K</t>
  </si>
  <si>
    <t>222.90K</t>
  </si>
  <si>
    <t>162.25K</t>
  </si>
  <si>
    <t>299.80K</t>
  </si>
  <si>
    <t>149.35K</t>
  </si>
  <si>
    <t>108.00K</t>
  </si>
  <si>
    <t>144.28K</t>
  </si>
  <si>
    <t>118.41K</t>
  </si>
  <si>
    <t>164.73K</t>
  </si>
  <si>
    <t>241.74K</t>
  </si>
  <si>
    <t>107.95K</t>
  </si>
  <si>
    <t>267.61K</t>
  </si>
  <si>
    <t>Promoters</t>
  </si>
  <si>
    <t>FIIs</t>
  </si>
  <si>
    <t>DIIs</t>
  </si>
  <si>
    <t>Latest Shareholding</t>
  </si>
  <si>
    <t>Number of Shares o/s</t>
  </si>
  <si>
    <t>Less: Cash &amp; Equivalents</t>
  </si>
  <si>
    <t>Add: Total Debt</t>
  </si>
  <si>
    <t>Add: Minority Interest</t>
  </si>
  <si>
    <t>Enterprise Value</t>
  </si>
  <si>
    <t>Designation</t>
  </si>
  <si>
    <t>Remuneration</t>
  </si>
  <si>
    <t>X of Median Salary</t>
  </si>
  <si>
    <t>Public &amp; Govt.</t>
  </si>
  <si>
    <t>Share Price as on 10-01-25</t>
  </si>
  <si>
    <t>Non-Executive Director</t>
  </si>
  <si>
    <t>Not Applicable -</t>
  </si>
  <si>
    <t>Director</t>
  </si>
  <si>
    <t>Chairman and Non-Executive Director</t>
  </si>
  <si>
    <t>Kumar Mangalam Birla</t>
  </si>
  <si>
    <t>Mrs. Rajashree Birla</t>
  </si>
  <si>
    <t>Vice Chairman and Non-Executive</t>
  </si>
  <si>
    <t>K. K. Maheshwari</t>
  </si>
  <si>
    <t>Vice Chairman</t>
  </si>
  <si>
    <t>Chairman</t>
  </si>
  <si>
    <t>Managing Director 8.05% 247.5</t>
  </si>
  <si>
    <t>K. C. Jhanwar</t>
  </si>
  <si>
    <t>Whole-time Director and Chief Financial Officer 12.46% 121.4</t>
  </si>
  <si>
    <t>Atul Daga</t>
  </si>
  <si>
    <t>Managing Director</t>
  </si>
  <si>
    <t>Whole Time Director &amp; CFO</t>
  </si>
  <si>
    <t>-</t>
  </si>
  <si>
    <t>Managerial Remuneration (In Cr.)</t>
  </si>
  <si>
    <t>Altman Z's Score Summary</t>
  </si>
  <si>
    <t>Relative Valuation Summary</t>
  </si>
  <si>
    <t>Market multiples imply a much closer valuation range compared to DCF results. Even if we look at the multiples the stock is still overvalued</t>
  </si>
  <si>
    <t>Sources</t>
  </si>
  <si>
    <t>The Valuation School</t>
  </si>
  <si>
    <t>Screener.in</t>
  </si>
  <si>
    <t>UltraTech Cement Annual Reports</t>
  </si>
  <si>
    <t>moneycontrol</t>
  </si>
  <si>
    <t>Investing.com</t>
  </si>
  <si>
    <t>Disclaimer:</t>
  </si>
  <si>
    <r>
      <t xml:space="preserve">EV/Revenue Implied Value: </t>
    </r>
    <r>
      <rPr>
        <sz val="11"/>
        <color theme="6" tint="-0.499984740745262"/>
        <rFont val="Calibri"/>
        <family val="2"/>
        <scheme val="minor"/>
      </rPr>
      <t>Rs. 8,889.83 Cr.</t>
    </r>
  </si>
  <si>
    <r>
      <t xml:space="preserve">EV/EBITDA Implied Value: </t>
    </r>
    <r>
      <rPr>
        <sz val="11"/>
        <color theme="6" tint="-0.499984740745262"/>
        <rFont val="Calibri"/>
        <family val="2"/>
        <scheme val="minor"/>
      </rPr>
      <t>Rs. 8,561.03</t>
    </r>
    <r>
      <rPr>
        <b/>
        <sz val="11"/>
        <color theme="6" tint="-0.499984740745262"/>
        <rFont val="Calibri"/>
        <family val="2"/>
        <scheme val="minor"/>
      </rPr>
      <t xml:space="preserve"> </t>
    </r>
    <r>
      <rPr>
        <sz val="11"/>
        <color theme="6" tint="-0.499984740745262"/>
        <rFont val="Calibri"/>
        <family val="2"/>
        <scheme val="minor"/>
      </rPr>
      <t>Cr.</t>
    </r>
  </si>
  <si>
    <r>
      <t xml:space="preserve">P/E Implied Value: </t>
    </r>
    <r>
      <rPr>
        <sz val="11"/>
        <color theme="6" tint="-0.499984740745262"/>
        <rFont val="Calibri"/>
        <family val="2"/>
        <scheme val="minor"/>
      </rPr>
      <t>Rs. 10,160.97 Cr.</t>
    </r>
  </si>
  <si>
    <t>4 Year Average</t>
  </si>
  <si>
    <t>4 Year Median</t>
  </si>
  <si>
    <t>pib.gov.in</t>
  </si>
  <si>
    <t>Monte-Carlo Simulation (Calculated on Weekly Returns)</t>
  </si>
  <si>
    <t>4). Risk Free Rate = 10Y G-Sec yield (6.53%) less India sovereign default spread</t>
  </si>
  <si>
    <t>(2.18%) = 4.35%, following Prof. Damodaran's default-spread adjusted Rf methodology</t>
  </si>
  <si>
    <t>6). ERP = Geometric mean Nifty 50 returns (2000–2025) of 11.70% + Dividend yield 1.35% − Rf 4.35% = 8.70%. Source: NSE historical data</t>
  </si>
  <si>
    <t>Transaction Comps</t>
  </si>
  <si>
    <t>Enterprise Value:</t>
  </si>
  <si>
    <t>Equity Value per Share:</t>
  </si>
  <si>
    <t>Weighted Average Cost of Capital:</t>
  </si>
  <si>
    <t>The value of DCF is lower than the current price of the share implying that the share is trading at premium in the market.</t>
  </si>
  <si>
    <t>Premium/Discount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</si>
</sst>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3" formatCode="_ * #,##0.00_ ;_ * \-#,##0.00_ ;_ * &quot;-&quot;??_ ;_ @_ "/>
    <numFmt numFmtId="164" formatCode="_(* #,##0.00_);_(* \(#,##0.00\);_(* &quot;-&quot;??_);_(@_)"/>
    <numFmt numFmtId="165" formatCode="[$-409]mmm\-yy;@"/>
    <numFmt numFmtId="166" formatCode="&quot;₹&quot;\ #,##0.00"/>
    <numFmt numFmtId="167" formatCode="&quot;₹&quot;\ #,##0.00;\(&quot;₹&quot;\ #,##0.00\);\-"/>
    <numFmt numFmtId="168" formatCode="0.00&quot;x&quot;"/>
    <numFmt numFmtId="169" formatCode="#,##0.00;\(#,##0.00\);\-"/>
    <numFmt numFmtId="170" formatCode="0.00&quot; days&quot;"/>
    <numFmt numFmtId="171" formatCode="#.00&quot; :1&quot;"/>
    <numFmt numFmtId="172" formatCode="0.00\x"/>
    <numFmt numFmtId="173" formatCode="mmm/yyyy"/>
    <numFmt numFmtId="174" formatCode="mmm/yy\A"/>
    <numFmt numFmtId="175" formatCode="mmm/yy&quot;E&quot;"/>
    <numFmt numFmtId="176" formatCode="0.000"/>
    <numFmt numFmtId="177" formatCode="&quot;₹&quot;\ #,##0.00;\(&quot;₹&quot;\ #,##0.00\)"/>
    <numFmt numFmtId="178" formatCode="#,##0;\(#,##0\);&quot;-&quot;"/>
    <numFmt numFmtId="179" formatCode="#,##0.00;\(#,##0.00\);&quot;-&quot;"/>
    <numFmt numFmtId="180" formatCode="0.0\x"/>
    <numFmt numFmtId="181" formatCode="0.0000"/>
    <numFmt numFmtId="182" formatCode="0.0%"/>
    <numFmt numFmtId="183" formatCode="#,##0.0"/>
  </numFmts>
  <fonts count="28"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sz val="11"/>
      <name val="Calibri"/>
      <family val="2"/>
      <scheme val="minor"/>
    </font>
    <font>
      <i/>
      <sz val="11"/>
      <color theme="0" tint="-0.499984740745262"/>
      <name val="Calibri"/>
      <family val="2"/>
      <scheme val="minor"/>
    </font>
    <font>
      <b/>
      <i/>
      <sz val="11"/>
      <color theme="0" tint="-0.499984740745262"/>
      <name val="Calibri"/>
      <family val="2"/>
      <scheme val="minor"/>
    </font>
    <font>
      <i/>
      <sz val="11"/>
      <color theme="1"/>
      <name val="Calibri"/>
      <family val="2"/>
      <scheme val="minor"/>
    </font>
    <font>
      <sz val="11"/>
      <color theme="0" tint="-0.499984740745262"/>
      <name val="Calibri"/>
      <family val="2"/>
      <scheme val="minor"/>
    </font>
    <font>
      <i/>
      <sz val="11"/>
      <name val="Calibri"/>
      <family val="2"/>
      <scheme val="minor"/>
    </font>
    <font>
      <b/>
      <sz val="14"/>
      <color theme="1"/>
      <name val="Calibri"/>
      <family val="2"/>
      <scheme val="minor"/>
    </font>
    <font>
      <sz val="10"/>
      <color theme="1"/>
      <name val="Calibri"/>
      <family val="2"/>
      <scheme val="minor"/>
    </font>
    <font>
      <sz val="11"/>
      <color rgb="FF22222F"/>
      <name val="Calibri"/>
      <family val="2"/>
      <scheme val="minor"/>
    </font>
    <font>
      <b/>
      <sz val="11"/>
      <color rgb="FF22222F"/>
      <name val="Calibri"/>
      <family val="2"/>
      <scheme val="minor"/>
    </font>
    <font>
      <sz val="11"/>
      <color rgb="FF0000FF"/>
      <name val="Calibri"/>
      <family val="2"/>
      <scheme val="minor"/>
    </font>
    <font>
      <vertAlign val="superscript"/>
      <sz val="11"/>
      <color theme="1"/>
      <name val="Calibri"/>
      <family val="2"/>
      <scheme val="minor"/>
    </font>
    <font>
      <b/>
      <sz val="11"/>
      <name val="Calibri"/>
      <family val="2"/>
      <scheme val="minor"/>
    </font>
    <font>
      <b/>
      <sz val="11"/>
      <color theme="6" tint="-0.499984740745262"/>
      <name val="Calibri"/>
      <family val="2"/>
      <scheme val="minor"/>
    </font>
    <font>
      <b/>
      <sz val="14"/>
      <color theme="6" tint="-0.499984740745262"/>
      <name val="Calibri"/>
      <family val="2"/>
      <scheme val="minor"/>
    </font>
    <font>
      <b/>
      <i/>
      <sz val="11"/>
      <color theme="1"/>
      <name val="Calibri"/>
      <family val="2"/>
      <scheme val="minor"/>
    </font>
    <font>
      <b/>
      <i/>
      <sz val="11"/>
      <color theme="6" tint="-0.499984740745262"/>
      <name val="Calibri"/>
      <family val="2"/>
      <scheme val="minor"/>
    </font>
    <font>
      <b/>
      <sz val="12"/>
      <color theme="0"/>
      <name val="Calibri"/>
      <family val="2"/>
      <scheme val="minor"/>
    </font>
    <font>
      <b/>
      <sz val="14"/>
      <color theme="0"/>
      <name val="Calibri"/>
      <family val="2"/>
      <scheme val="minor"/>
    </font>
    <font>
      <sz val="11"/>
      <color rgb="FF000000"/>
      <name val="Arial"/>
      <family val="2"/>
    </font>
    <font>
      <sz val="11"/>
      <color theme="6" tint="-0.499984740745262"/>
      <name val="Calibri"/>
      <family val="2"/>
      <scheme val="minor"/>
    </font>
    <font>
      <i/>
      <sz val="11"/>
      <color rgb="FF0000FF"/>
      <name val="Calibri"/>
      <family val="2"/>
      <scheme val="minor"/>
    </font>
  </fonts>
  <fills count="14">
    <fill>
      <patternFill patternType="none"/>
    </fill>
    <fill>
      <patternFill patternType="gray125"/>
    </fill>
    <fill>
      <patternFill patternType="solid">
        <fgColor theme="9"/>
      </patternFill>
    </fill>
    <fill>
      <patternFill patternType="solid">
        <fgColor rgb="FF0275D8"/>
        <bgColor indexed="64"/>
      </patternFill>
    </fill>
    <fill>
      <patternFill patternType="solid">
        <fgColor theme="0"/>
        <bgColor indexed="64"/>
      </patternFill>
    </fill>
    <fill>
      <patternFill patternType="solid">
        <fgColor theme="0" tint="-0.14999847407452621"/>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6" tint="-0.499984740745262"/>
        <bgColor indexed="64"/>
      </patternFill>
    </fill>
    <fill>
      <patternFill patternType="solid">
        <fgColor theme="6" tint="0.79998168889431442"/>
        <bgColor indexed="64"/>
      </patternFill>
    </fill>
    <fill>
      <patternFill patternType="solid">
        <fgColor rgb="FFFFFFA3"/>
        <bgColor indexed="64"/>
      </patternFill>
    </fill>
    <fill>
      <patternFill patternType="solid">
        <fgColor theme="0" tint="-0.249977111117893"/>
        <bgColor indexed="64"/>
      </patternFill>
    </fill>
    <fill>
      <patternFill patternType="solid">
        <fgColor theme="6" tint="-0.249977111117893"/>
        <bgColor indexed="64"/>
      </patternFill>
    </fill>
    <fill>
      <patternFill patternType="solid">
        <fgColor rgb="FFFFFFFF"/>
        <bgColor indexed="64"/>
      </patternFill>
    </fill>
  </fills>
  <borders count="25">
    <border>
      <left/>
      <right/>
      <top/>
      <bottom/>
      <diagonal/>
    </border>
    <border>
      <left/>
      <right/>
      <top/>
      <bottom style="thin">
        <color indexed="64"/>
      </bottom>
      <diagonal/>
    </border>
    <border>
      <left/>
      <right/>
      <top style="thin">
        <color auto="1"/>
      </top>
      <bottom/>
      <diagonal/>
    </border>
    <border>
      <left/>
      <right/>
      <top style="thin">
        <color auto="1"/>
      </top>
      <bottom style="thin">
        <color auto="1"/>
      </bottom>
      <diagonal/>
    </border>
    <border>
      <left/>
      <right/>
      <top/>
      <bottom style="medium">
        <color indexed="64"/>
      </bottom>
      <diagonal/>
    </border>
    <border>
      <left/>
      <right/>
      <top style="medium">
        <color indexed="64"/>
      </top>
      <bottom style="thin">
        <color auto="1"/>
      </bottom>
      <diagonal/>
    </border>
    <border>
      <left/>
      <right/>
      <top style="dotted">
        <color auto="1"/>
      </top>
      <bottom/>
      <diagonal/>
    </border>
    <border>
      <left/>
      <right/>
      <top style="thin">
        <color auto="1"/>
      </top>
      <bottom style="thick">
        <color auto="1"/>
      </bottom>
      <diagonal/>
    </border>
    <border>
      <left/>
      <right/>
      <top/>
      <bottom style="thin">
        <color theme="0"/>
      </bottom>
      <diagonal/>
    </border>
    <border>
      <left/>
      <right/>
      <top/>
      <bottom style="thin">
        <color theme="6" tint="-0.499984740745262"/>
      </bottom>
      <diagonal/>
    </border>
    <border>
      <left/>
      <right/>
      <top style="thin">
        <color theme="1"/>
      </top>
      <bottom style="thin">
        <color theme="1"/>
      </bottom>
      <diagonal/>
    </border>
    <border>
      <left/>
      <right/>
      <top style="hair">
        <color theme="0" tint="-0.499984740745262"/>
      </top>
      <bottom style="hair">
        <color theme="0" tint="-0.499984740745262"/>
      </bottom>
      <diagonal/>
    </border>
    <border>
      <left/>
      <right/>
      <top/>
      <bottom style="hair">
        <color theme="0" tint="-0.499984740745262"/>
      </bottom>
      <diagonal/>
    </border>
    <border>
      <left/>
      <right/>
      <top style="thin">
        <color theme="6" tint="-0.499984740745262"/>
      </top>
      <bottom/>
      <diagonal/>
    </border>
    <border>
      <left/>
      <right/>
      <top style="thin">
        <color auto="1"/>
      </top>
      <bottom style="hair">
        <color theme="6" tint="-0.499984740745262"/>
      </bottom>
      <diagonal/>
    </border>
    <border>
      <left/>
      <right/>
      <top style="hair">
        <color theme="6" tint="-0.499984740745262"/>
      </top>
      <bottom style="hair">
        <color theme="6" tint="-0.499984740745262"/>
      </bottom>
      <diagonal/>
    </border>
    <border>
      <left/>
      <right/>
      <top style="hair">
        <color theme="6" tint="-0.499984740745262"/>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hair">
        <color theme="6" tint="-0.499984740745262"/>
      </top>
      <bottom style="medium">
        <color theme="6" tint="-0.499984740745262"/>
      </bottom>
      <diagonal/>
    </border>
    <border>
      <left/>
      <right/>
      <top style="medium">
        <color theme="6" tint="-0.499984740745262"/>
      </top>
      <bottom style="hair">
        <color theme="6" tint="-0.499984740745262"/>
      </bottom>
      <diagonal/>
    </border>
  </borders>
  <cellStyleXfs count="5">
    <xf numFmtId="0" fontId="0" fillId="0" borderId="0"/>
    <xf numFmtId="43"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9" fontId="3" fillId="0" borderId="0" applyFont="0" applyFill="0" applyBorder="0" applyAlignment="0" applyProtection="0"/>
  </cellStyleXfs>
  <cellXfs count="329">
    <xf numFmtId="0" fontId="0" fillId="0" borderId="0" xfId="0"/>
    <xf numFmtId="43" fontId="1" fillId="0" borderId="0" xfId="1" applyFont="1" applyBorder="1"/>
    <xf numFmtId="43" fontId="0" fillId="0" borderId="0" xfId="1" applyFont="1" applyBorder="1"/>
    <xf numFmtId="43" fontId="3" fillId="0" borderId="0" xfId="1" applyFont="1" applyBorder="1"/>
    <xf numFmtId="165" fontId="2" fillId="3" borderId="0" xfId="0" applyNumberFormat="1" applyFont="1" applyFill="1" applyBorder="1" applyAlignment="1">
      <alignment horizontal="center"/>
    </xf>
    <xf numFmtId="165" fontId="2" fillId="3" borderId="0" xfId="1" applyNumberFormat="1" applyFont="1" applyFill="1" applyBorder="1"/>
    <xf numFmtId="165" fontId="6" fillId="0" borderId="0" xfId="1" applyNumberFormat="1" applyFont="1" applyFill="1" applyBorder="1"/>
    <xf numFmtId="164" fontId="0" fillId="0" borderId="0" xfId="1" applyNumberFormat="1" applyFont="1" applyBorder="1"/>
    <xf numFmtId="166" fontId="0" fillId="0" borderId="0" xfId="0" applyNumberFormat="1"/>
    <xf numFmtId="0" fontId="7" fillId="0" borderId="0" xfId="0" applyFont="1"/>
    <xf numFmtId="0" fontId="7" fillId="0" borderId="0" xfId="0" applyFont="1" applyAlignment="1">
      <alignment horizontal="right"/>
    </xf>
    <xf numFmtId="10" fontId="7" fillId="0" borderId="0" xfId="4" applyNumberFormat="1" applyFont="1" applyAlignment="1">
      <alignment horizontal="right"/>
    </xf>
    <xf numFmtId="10" fontId="7" fillId="0" borderId="0" xfId="4" applyNumberFormat="1" applyFont="1"/>
    <xf numFmtId="167" fontId="0" fillId="0" borderId="0" xfId="0" applyNumberFormat="1"/>
    <xf numFmtId="2" fontId="0" fillId="0" borderId="0" xfId="0" applyNumberFormat="1"/>
    <xf numFmtId="0" fontId="0" fillId="4" borderId="0" xfId="0" applyFill="1"/>
    <xf numFmtId="0" fontId="1" fillId="4" borderId="0" xfId="0" applyFont="1" applyFill="1"/>
    <xf numFmtId="0" fontId="1" fillId="0" borderId="0" xfId="0" applyFont="1" applyAlignment="1">
      <alignment horizontal="left"/>
    </xf>
    <xf numFmtId="0" fontId="0" fillId="0" borderId="0" xfId="0" applyAlignment="1">
      <alignment horizontal="left"/>
    </xf>
    <xf numFmtId="0" fontId="1" fillId="0" borderId="0" xfId="0" applyFont="1"/>
    <xf numFmtId="0" fontId="0" fillId="0" borderId="0" xfId="0" applyFont="1"/>
    <xf numFmtId="167" fontId="0" fillId="0" borderId="0" xfId="0" applyNumberFormat="1" applyFont="1"/>
    <xf numFmtId="167" fontId="0" fillId="0" borderId="0" xfId="0" applyNumberFormat="1" applyAlignment="1">
      <alignment horizontal="right"/>
    </xf>
    <xf numFmtId="167" fontId="1" fillId="0" borderId="0" xfId="0" applyNumberFormat="1" applyFont="1" applyAlignment="1">
      <alignment horizontal="right"/>
    </xf>
    <xf numFmtId="167" fontId="0" fillId="0" borderId="0" xfId="0" applyNumberFormat="1" applyFont="1" applyAlignment="1">
      <alignment horizontal="right"/>
    </xf>
    <xf numFmtId="10" fontId="7" fillId="0" borderId="0" xfId="0" applyNumberFormat="1" applyFont="1" applyAlignment="1">
      <alignment horizontal="right"/>
    </xf>
    <xf numFmtId="167" fontId="7" fillId="0" borderId="0" xfId="0" applyNumberFormat="1" applyFont="1" applyAlignment="1">
      <alignment horizontal="right"/>
    </xf>
    <xf numFmtId="0" fontId="0" fillId="0" borderId="0" xfId="0" applyBorder="1"/>
    <xf numFmtId="10" fontId="0" fillId="0" borderId="0" xfId="4" applyNumberFormat="1" applyFont="1" applyBorder="1"/>
    <xf numFmtId="168" fontId="0" fillId="0" borderId="0" xfId="0" applyNumberFormat="1" applyBorder="1"/>
    <xf numFmtId="170" fontId="0" fillId="0" borderId="0" xfId="0" applyNumberFormat="1"/>
    <xf numFmtId="1" fontId="0" fillId="0" borderId="0" xfId="0" applyNumberFormat="1" applyBorder="1"/>
    <xf numFmtId="10" fontId="0" fillId="0" borderId="0" xfId="4" applyNumberFormat="1" applyFont="1"/>
    <xf numFmtId="10" fontId="1" fillId="0" borderId="0" xfId="4" applyNumberFormat="1" applyFont="1"/>
    <xf numFmtId="0" fontId="8" fillId="0" borderId="0" xfId="0" applyFont="1"/>
    <xf numFmtId="10" fontId="1" fillId="0" borderId="0" xfId="4" applyNumberFormat="1" applyFont="1" applyAlignment="1">
      <alignment horizontal="right"/>
    </xf>
    <xf numFmtId="10" fontId="9" fillId="0" borderId="0" xfId="4" applyNumberFormat="1" applyFont="1" applyAlignment="1">
      <alignment horizontal="right"/>
    </xf>
    <xf numFmtId="0" fontId="1" fillId="0" borderId="0" xfId="0" applyFont="1" applyAlignment="1">
      <alignment horizontal="right"/>
    </xf>
    <xf numFmtId="0" fontId="10" fillId="0" borderId="0" xfId="0" applyFont="1"/>
    <xf numFmtId="10" fontId="11" fillId="0" borderId="0" xfId="4" applyNumberFormat="1" applyFont="1" applyAlignment="1">
      <alignment horizontal="right"/>
    </xf>
    <xf numFmtId="0" fontId="12" fillId="4" borderId="0" xfId="0" applyFont="1" applyFill="1" applyBorder="1" applyAlignment="1">
      <alignment horizontal="left"/>
    </xf>
    <xf numFmtId="17" fontId="1" fillId="4" borderId="0" xfId="0" applyNumberFormat="1" applyFont="1" applyFill="1" applyBorder="1" applyAlignment="1">
      <alignment horizontal="right"/>
    </xf>
    <xf numFmtId="166" fontId="8" fillId="0" borderId="0" xfId="0" applyNumberFormat="1" applyFont="1"/>
    <xf numFmtId="0" fontId="0" fillId="0" borderId="0" xfId="0" applyFill="1" applyBorder="1"/>
    <xf numFmtId="43" fontId="7" fillId="0" borderId="0" xfId="0" applyNumberFormat="1" applyFont="1"/>
    <xf numFmtId="0" fontId="1" fillId="4" borderId="0" xfId="0" applyFont="1" applyFill="1" applyAlignment="1">
      <alignment horizontal="left"/>
    </xf>
    <xf numFmtId="49" fontId="0" fillId="0" borderId="0" xfId="0" applyNumberFormat="1" applyAlignment="1">
      <alignment horizontal="left"/>
    </xf>
    <xf numFmtId="173" fontId="1" fillId="4" borderId="0" xfId="0" applyNumberFormat="1" applyFont="1" applyFill="1" applyAlignment="1">
      <alignment horizontal="right"/>
    </xf>
    <xf numFmtId="0" fontId="13" fillId="0" borderId="0" xfId="0" applyFont="1"/>
    <xf numFmtId="0" fontId="1" fillId="0" borderId="2" xfId="0" applyFont="1" applyBorder="1" applyAlignment="1">
      <alignment horizontal="left"/>
    </xf>
    <xf numFmtId="167" fontId="1" fillId="0" borderId="2" xfId="0" applyNumberFormat="1" applyFont="1" applyBorder="1"/>
    <xf numFmtId="0" fontId="0" fillId="0" borderId="1" xfId="0" applyBorder="1"/>
    <xf numFmtId="0" fontId="0" fillId="0" borderId="2" xfId="0" applyBorder="1"/>
    <xf numFmtId="0" fontId="1" fillId="0" borderId="1" xfId="0" applyFont="1" applyBorder="1"/>
    <xf numFmtId="0" fontId="0" fillId="0" borderId="3" xfId="0" applyBorder="1"/>
    <xf numFmtId="0" fontId="1" fillId="4" borderId="0" xfId="0" applyFont="1" applyFill="1" applyBorder="1"/>
    <xf numFmtId="0" fontId="0" fillId="4" borderId="0" xfId="0" applyFill="1" applyBorder="1"/>
    <xf numFmtId="0" fontId="15" fillId="4" borderId="0" xfId="0" applyFont="1" applyFill="1" applyBorder="1" applyAlignment="1">
      <alignment horizontal="left" vertical="center"/>
    </xf>
    <xf numFmtId="0" fontId="14" fillId="4" borderId="0" xfId="0" applyFont="1" applyFill="1" applyAlignment="1">
      <alignment horizontal="left" vertical="center"/>
    </xf>
    <xf numFmtId="0" fontId="14" fillId="4" borderId="0" xfId="0" applyFont="1" applyFill="1" applyBorder="1" applyAlignment="1">
      <alignment horizontal="left" vertical="center"/>
    </xf>
    <xf numFmtId="0" fontId="15" fillId="4" borderId="0" xfId="0" applyFont="1" applyFill="1" applyAlignment="1">
      <alignment horizontal="left" vertical="center"/>
    </xf>
    <xf numFmtId="0" fontId="1" fillId="0" borderId="3" xfId="0" applyFont="1" applyBorder="1" applyAlignment="1">
      <alignment horizontal="left"/>
    </xf>
    <xf numFmtId="167" fontId="1" fillId="0" borderId="3" xfId="0" applyNumberFormat="1" applyFont="1" applyBorder="1"/>
    <xf numFmtId="0" fontId="15" fillId="4" borderId="2" xfId="0" applyFont="1" applyFill="1" applyBorder="1" applyAlignment="1">
      <alignment horizontal="left" vertical="center"/>
    </xf>
    <xf numFmtId="0" fontId="9" fillId="7" borderId="0" xfId="0" applyFont="1" applyFill="1"/>
    <xf numFmtId="10" fontId="9" fillId="7" borderId="0" xfId="4" applyNumberFormat="1" applyFont="1" applyFill="1"/>
    <xf numFmtId="4" fontId="0" fillId="0" borderId="0" xfId="0" applyNumberFormat="1"/>
    <xf numFmtId="14" fontId="0" fillId="0" borderId="0" xfId="0" applyNumberFormat="1" applyAlignment="1">
      <alignment horizontal="left"/>
    </xf>
    <xf numFmtId="4" fontId="0" fillId="0" borderId="0" xfId="0" applyNumberFormat="1" applyAlignment="1">
      <alignment horizontal="right"/>
    </xf>
    <xf numFmtId="0" fontId="1" fillId="0" borderId="0" xfId="0" applyFont="1" applyBorder="1"/>
    <xf numFmtId="0" fontId="1" fillId="4" borderId="1" xfId="0" applyFont="1" applyFill="1" applyBorder="1" applyAlignment="1">
      <alignment horizontal="left"/>
    </xf>
    <xf numFmtId="0" fontId="1" fillId="4" borderId="1" xfId="0" applyFont="1" applyFill="1" applyBorder="1" applyAlignment="1">
      <alignment horizontal="right"/>
    </xf>
    <xf numFmtId="0" fontId="0" fillId="4" borderId="0" xfId="0" applyFont="1" applyFill="1" applyBorder="1" applyAlignment="1">
      <alignment horizontal="left"/>
    </xf>
    <xf numFmtId="0" fontId="0" fillId="0" borderId="0" xfId="0" applyFill="1" applyBorder="1" applyAlignment="1"/>
    <xf numFmtId="0" fontId="0" fillId="0" borderId="4" xfId="0" applyFill="1" applyBorder="1" applyAlignment="1"/>
    <xf numFmtId="0" fontId="9" fillId="0" borderId="5" xfId="0" applyFont="1" applyFill="1" applyBorder="1" applyAlignment="1">
      <alignment horizontal="center"/>
    </xf>
    <xf numFmtId="0" fontId="9" fillId="0" borderId="5" xfId="0" applyFont="1" applyFill="1" applyBorder="1" applyAlignment="1">
      <alignment horizontal="centerContinuous"/>
    </xf>
    <xf numFmtId="10" fontId="16" fillId="0" borderId="0" xfId="4" applyNumberFormat="1" applyFont="1"/>
    <xf numFmtId="2" fontId="16" fillId="0" borderId="0" xfId="0" applyNumberFormat="1" applyFont="1"/>
    <xf numFmtId="0" fontId="1" fillId="0" borderId="2" xfId="0" applyFont="1" applyBorder="1"/>
    <xf numFmtId="2" fontId="1" fillId="5" borderId="2" xfId="0" applyNumberFormat="1" applyFont="1" applyFill="1" applyBorder="1"/>
    <xf numFmtId="10" fontId="0" fillId="0" borderId="2" xfId="0" applyNumberFormat="1" applyBorder="1"/>
    <xf numFmtId="10" fontId="0" fillId="0" borderId="1" xfId="0" applyNumberFormat="1" applyBorder="1"/>
    <xf numFmtId="0" fontId="0" fillId="0" borderId="6" xfId="0" applyBorder="1"/>
    <xf numFmtId="0" fontId="1" fillId="0" borderId="1" xfId="0" applyFont="1" applyBorder="1" applyAlignment="1">
      <alignment horizontal="center"/>
    </xf>
    <xf numFmtId="0" fontId="0" fillId="0" borderId="2" xfId="0" applyBorder="1" applyAlignment="1">
      <alignment horizontal="right"/>
    </xf>
    <xf numFmtId="0" fontId="0" fillId="0" borderId="1" xfId="0" applyBorder="1" applyAlignment="1">
      <alignment horizontal="right"/>
    </xf>
    <xf numFmtId="167" fontId="0" fillId="0" borderId="6" xfId="0" applyNumberFormat="1" applyBorder="1"/>
    <xf numFmtId="10" fontId="0" fillId="0" borderId="0" xfId="0" applyNumberFormat="1"/>
    <xf numFmtId="10" fontId="1" fillId="5" borderId="0" xfId="4" applyNumberFormat="1" applyFont="1" applyFill="1"/>
    <xf numFmtId="0" fontId="0" fillId="0" borderId="1" xfId="0" applyFont="1" applyBorder="1"/>
    <xf numFmtId="0" fontId="2" fillId="8" borderId="0" xfId="0" applyFont="1" applyFill="1" applyAlignment="1">
      <alignment horizontal="left"/>
    </xf>
    <xf numFmtId="17" fontId="2" fillId="8" borderId="0" xfId="0" applyNumberFormat="1" applyFont="1" applyFill="1" applyAlignment="1">
      <alignment horizontal="right"/>
    </xf>
    <xf numFmtId="0" fontId="1" fillId="9" borderId="0" xfId="0" applyFont="1" applyFill="1" applyBorder="1"/>
    <xf numFmtId="0" fontId="0" fillId="9" borderId="0" xfId="0" applyFill="1" applyBorder="1"/>
    <xf numFmtId="0" fontId="1" fillId="10" borderId="0" xfId="0" applyFont="1" applyFill="1" applyBorder="1"/>
    <xf numFmtId="17" fontId="2" fillId="8" borderId="0" xfId="0" applyNumberFormat="1" applyFont="1" applyFill="1" applyAlignment="1">
      <alignment horizontal="center"/>
    </xf>
    <xf numFmtId="0" fontId="12" fillId="9" borderId="1" xfId="0" applyFont="1" applyFill="1" applyBorder="1" applyAlignment="1">
      <alignment horizontal="left"/>
    </xf>
    <xf numFmtId="17" fontId="1" fillId="9" borderId="1" xfId="0" applyNumberFormat="1" applyFont="1" applyFill="1" applyBorder="1" applyAlignment="1">
      <alignment horizontal="right"/>
    </xf>
    <xf numFmtId="0" fontId="1" fillId="9" borderId="2" xfId="0" applyFont="1" applyFill="1" applyBorder="1"/>
    <xf numFmtId="10" fontId="1" fillId="9" borderId="2" xfId="4" applyNumberFormat="1" applyFont="1" applyFill="1" applyBorder="1" applyAlignment="1">
      <alignment horizontal="right"/>
    </xf>
    <xf numFmtId="172" fontId="1" fillId="9" borderId="2" xfId="4" applyNumberFormat="1" applyFont="1" applyFill="1" applyBorder="1" applyAlignment="1">
      <alignment horizontal="right"/>
    </xf>
    <xf numFmtId="10" fontId="1" fillId="10" borderId="0" xfId="4" applyNumberFormat="1" applyFont="1" applyFill="1" applyBorder="1" applyAlignment="1">
      <alignment horizontal="right"/>
    </xf>
    <xf numFmtId="2" fontId="0" fillId="0" borderId="2" xfId="0" applyNumberFormat="1" applyBorder="1"/>
    <xf numFmtId="2" fontId="0" fillId="0" borderId="1" xfId="0" applyNumberFormat="1" applyBorder="1"/>
    <xf numFmtId="2" fontId="0" fillId="5" borderId="0" xfId="0" applyNumberFormat="1" applyFont="1" applyFill="1"/>
    <xf numFmtId="2" fontId="0" fillId="5" borderId="0" xfId="0" applyNumberFormat="1" applyFill="1"/>
    <xf numFmtId="10" fontId="0" fillId="5" borderId="0" xfId="4" applyNumberFormat="1" applyFont="1" applyFill="1"/>
    <xf numFmtId="10" fontId="0" fillId="5" borderId="0" xfId="0" applyNumberFormat="1" applyFill="1"/>
    <xf numFmtId="10" fontId="0" fillId="5" borderId="6" xfId="0" applyNumberFormat="1" applyFill="1" applyBorder="1"/>
    <xf numFmtId="0" fontId="2" fillId="8" borderId="0" xfId="0" applyFont="1" applyFill="1" applyAlignment="1">
      <alignment horizontal="right"/>
    </xf>
    <xf numFmtId="10" fontId="1" fillId="5" borderId="0" xfId="0" applyNumberFormat="1" applyFont="1" applyFill="1"/>
    <xf numFmtId="10" fontId="16" fillId="0" borderId="0" xfId="0" applyNumberFormat="1" applyFont="1" applyAlignment="1">
      <alignment horizontal="right"/>
    </xf>
    <xf numFmtId="10" fontId="0" fillId="4" borderId="0" xfId="0" applyNumberFormat="1" applyFont="1" applyFill="1"/>
    <xf numFmtId="3" fontId="0" fillId="0" borderId="0" xfId="0" applyNumberFormat="1"/>
    <xf numFmtId="0" fontId="1" fillId="0" borderId="6" xfId="0" applyFont="1" applyBorder="1"/>
    <xf numFmtId="0" fontId="5" fillId="8" borderId="0" xfId="0" applyFont="1" applyFill="1"/>
    <xf numFmtId="0" fontId="2" fillId="8" borderId="0" xfId="0" applyFont="1" applyFill="1"/>
    <xf numFmtId="17" fontId="0" fillId="0" borderId="0" xfId="0" applyNumberFormat="1"/>
    <xf numFmtId="0" fontId="1" fillId="0" borderId="3" xfId="0" applyFont="1" applyBorder="1"/>
    <xf numFmtId="17" fontId="2" fillId="8" borderId="0" xfId="0" applyNumberFormat="1" applyFont="1" applyFill="1"/>
    <xf numFmtId="0" fontId="1" fillId="9" borderId="1" xfId="0" applyFont="1" applyFill="1" applyBorder="1"/>
    <xf numFmtId="17" fontId="0" fillId="9" borderId="1" xfId="0" applyNumberFormat="1" applyFill="1" applyBorder="1"/>
    <xf numFmtId="0" fontId="9" fillId="0" borderId="0" xfId="0" applyFont="1" applyAlignment="1">
      <alignment horizontal="left" indent="1"/>
    </xf>
    <xf numFmtId="10" fontId="1" fillId="0" borderId="3" xfId="4" applyNumberFormat="1" applyFont="1" applyBorder="1"/>
    <xf numFmtId="0" fontId="1" fillId="5" borderId="0" xfId="0" applyFont="1" applyFill="1"/>
    <xf numFmtId="10" fontId="1" fillId="0" borderId="3" xfId="0" applyNumberFormat="1" applyFont="1" applyBorder="1"/>
    <xf numFmtId="0" fontId="0" fillId="0" borderId="0" xfId="0" applyFont="1" applyFill="1" applyBorder="1"/>
    <xf numFmtId="0" fontId="0" fillId="0" borderId="2" xfId="0" applyFont="1" applyBorder="1"/>
    <xf numFmtId="10" fontId="6" fillId="0" borderId="0" xfId="4" applyNumberFormat="1" applyFont="1"/>
    <xf numFmtId="174" fontId="2" fillId="8" borderId="0" xfId="0" applyNumberFormat="1" applyFont="1" applyFill="1"/>
    <xf numFmtId="175" fontId="2" fillId="8" borderId="0" xfId="0" applyNumberFormat="1" applyFont="1" applyFill="1"/>
    <xf numFmtId="167" fontId="0" fillId="0" borderId="0" xfId="0" applyNumberFormat="1" applyFont="1" applyBorder="1"/>
    <xf numFmtId="0" fontId="0" fillId="0" borderId="7" xfId="0" applyBorder="1"/>
    <xf numFmtId="0" fontId="1" fillId="0" borderId="7" xfId="0" applyFont="1" applyBorder="1"/>
    <xf numFmtId="10" fontId="1" fillId="5" borderId="6" xfId="0" applyNumberFormat="1" applyFont="1" applyFill="1" applyBorder="1"/>
    <xf numFmtId="10" fontId="1" fillId="5" borderId="6" xfId="4" applyNumberFormat="1" applyFont="1" applyFill="1" applyBorder="1"/>
    <xf numFmtId="2" fontId="1" fillId="5" borderId="6" xfId="0" applyNumberFormat="1" applyFont="1" applyFill="1" applyBorder="1"/>
    <xf numFmtId="0" fontId="0" fillId="5" borderId="0" xfId="0" applyFill="1"/>
    <xf numFmtId="10" fontId="16" fillId="5" borderId="0" xfId="0" applyNumberFormat="1" applyFont="1" applyFill="1"/>
    <xf numFmtId="2" fontId="0" fillId="0" borderId="0" xfId="0" applyNumberFormat="1" applyFont="1" applyBorder="1"/>
    <xf numFmtId="172" fontId="0" fillId="0" borderId="0" xfId="0" applyNumberFormat="1"/>
    <xf numFmtId="177" fontId="0" fillId="0" borderId="0" xfId="0" applyNumberFormat="1" applyFont="1"/>
    <xf numFmtId="177" fontId="1" fillId="0" borderId="3" xfId="0" applyNumberFormat="1" applyFont="1" applyBorder="1"/>
    <xf numFmtId="177" fontId="0" fillId="0" borderId="0" xfId="0" applyNumberFormat="1" applyBorder="1"/>
    <xf numFmtId="177" fontId="1" fillId="0" borderId="0" xfId="0" applyNumberFormat="1" applyFont="1"/>
    <xf numFmtId="177" fontId="9" fillId="0" borderId="0" xfId="0" applyNumberFormat="1" applyFont="1"/>
    <xf numFmtId="177" fontId="1" fillId="0" borderId="0" xfId="0" applyNumberFormat="1" applyFont="1" applyBorder="1"/>
    <xf numFmtId="177" fontId="0" fillId="0" borderId="0" xfId="0" applyNumberFormat="1"/>
    <xf numFmtId="177" fontId="0" fillId="9" borderId="1" xfId="0" applyNumberFormat="1" applyFill="1" applyBorder="1"/>
    <xf numFmtId="177" fontId="0" fillId="0" borderId="3" xfId="0" applyNumberFormat="1" applyBorder="1"/>
    <xf numFmtId="177" fontId="1" fillId="0" borderId="2" xfId="0" applyNumberFormat="1" applyFont="1" applyBorder="1"/>
    <xf numFmtId="0" fontId="0" fillId="8" borderId="0" xfId="0" applyFill="1"/>
    <xf numFmtId="167" fontId="16" fillId="0" borderId="0" xfId="0" applyNumberFormat="1" applyFont="1" applyBorder="1"/>
    <xf numFmtId="0" fontId="0" fillId="0" borderId="0" xfId="0" applyAlignment="1">
      <alignment horizontal="right"/>
    </xf>
    <xf numFmtId="174" fontId="0" fillId="0" borderId="0" xfId="0" applyNumberFormat="1" applyAlignment="1">
      <alignment horizontal="left"/>
    </xf>
    <xf numFmtId="174" fontId="6" fillId="9" borderId="0" xfId="0" applyNumberFormat="1" applyFont="1" applyFill="1"/>
    <xf numFmtId="0" fontId="6" fillId="9" borderId="0" xfId="0" applyFont="1" applyFill="1"/>
    <xf numFmtId="0" fontId="18" fillId="4" borderId="9" xfId="0" applyFont="1" applyFill="1" applyBorder="1"/>
    <xf numFmtId="169" fontId="16" fillId="0" borderId="0" xfId="0" applyNumberFormat="1" applyFont="1" applyAlignment="1">
      <alignment horizontal="right"/>
    </xf>
    <xf numFmtId="179" fontId="0" fillId="0" borderId="0" xfId="0" applyNumberFormat="1" applyFont="1" applyAlignment="1">
      <alignment horizontal="right"/>
    </xf>
    <xf numFmtId="179" fontId="0" fillId="0" borderId="2" xfId="0" applyNumberFormat="1" applyBorder="1"/>
    <xf numFmtId="179" fontId="0" fillId="0" borderId="0" xfId="0" applyNumberFormat="1"/>
    <xf numFmtId="179" fontId="1" fillId="0" borderId="3" xfId="0" applyNumberFormat="1" applyFont="1" applyBorder="1"/>
    <xf numFmtId="179" fontId="1" fillId="0" borderId="2" xfId="0" applyNumberFormat="1" applyFont="1" applyBorder="1"/>
    <xf numFmtId="179" fontId="0" fillId="0" borderId="0" xfId="0" applyNumberFormat="1" applyFont="1"/>
    <xf numFmtId="179" fontId="1" fillId="0" borderId="0" xfId="0" applyNumberFormat="1" applyFont="1"/>
    <xf numFmtId="179" fontId="1" fillId="0" borderId="7" xfId="0" applyNumberFormat="1" applyFont="1" applyBorder="1"/>
    <xf numFmtId="0" fontId="5" fillId="8" borderId="0" xfId="0" applyFont="1" applyFill="1" applyAlignment="1">
      <alignment horizontal="right"/>
    </xf>
    <xf numFmtId="180" fontId="1" fillId="5" borderId="0" xfId="0" applyNumberFormat="1" applyFont="1" applyFill="1"/>
    <xf numFmtId="180" fontId="0" fillId="5" borderId="0" xfId="0" applyNumberFormat="1" applyFont="1" applyFill="1"/>
    <xf numFmtId="0" fontId="18" fillId="5" borderId="10" xfId="0" applyFont="1" applyFill="1" applyBorder="1"/>
    <xf numFmtId="179" fontId="18" fillId="5" borderId="10" xfId="0" applyNumberFormat="1" applyFont="1" applyFill="1" applyBorder="1"/>
    <xf numFmtId="0" fontId="20" fillId="4" borderId="9" xfId="0" applyFont="1" applyFill="1" applyBorder="1"/>
    <xf numFmtId="0" fontId="7" fillId="4" borderId="0" xfId="0" applyFont="1" applyFill="1"/>
    <xf numFmtId="0" fontId="18" fillId="4" borderId="0" xfId="0" applyFont="1" applyFill="1" applyBorder="1"/>
    <xf numFmtId="179" fontId="18" fillId="4" borderId="0" xfId="0" applyNumberFormat="1" applyFont="1" applyFill="1" applyBorder="1"/>
    <xf numFmtId="177" fontId="16" fillId="5" borderId="0" xfId="0" applyNumberFormat="1" applyFont="1" applyFill="1"/>
    <xf numFmtId="0" fontId="9" fillId="0" borderId="0" xfId="0" applyFont="1"/>
    <xf numFmtId="0" fontId="21" fillId="0" borderId="0" xfId="0" applyFont="1"/>
    <xf numFmtId="167" fontId="18" fillId="0" borderId="0" xfId="0" applyNumberFormat="1" applyFont="1"/>
    <xf numFmtId="167" fontId="6" fillId="0" borderId="0" xfId="0" applyNumberFormat="1" applyFont="1"/>
    <xf numFmtId="179" fontId="2" fillId="0" borderId="0" xfId="0" applyNumberFormat="1" applyFont="1" applyAlignment="1">
      <alignment horizontal="left"/>
    </xf>
    <xf numFmtId="10" fontId="1" fillId="0" borderId="0" xfId="0" applyNumberFormat="1" applyFont="1" applyAlignment="1">
      <alignment horizontal="left"/>
    </xf>
    <xf numFmtId="10" fontId="1" fillId="0" borderId="0" xfId="0" applyNumberFormat="1" applyFont="1"/>
    <xf numFmtId="179" fontId="1" fillId="11" borderId="0" xfId="0" applyNumberFormat="1" applyFont="1" applyFill="1"/>
    <xf numFmtId="181" fontId="0" fillId="0" borderId="0" xfId="0" applyNumberFormat="1"/>
    <xf numFmtId="0" fontId="1" fillId="0" borderId="0" xfId="0" applyFont="1" applyAlignment="1">
      <alignment horizontal="center" vertical="center"/>
    </xf>
    <xf numFmtId="10" fontId="0" fillId="5" borderId="0" xfId="0" applyNumberFormat="1" applyFont="1" applyFill="1"/>
    <xf numFmtId="10" fontId="0" fillId="0" borderId="0" xfId="0" applyNumberFormat="1" applyFont="1"/>
    <xf numFmtId="0" fontId="0" fillId="0" borderId="11" xfId="0" applyBorder="1"/>
    <xf numFmtId="182" fontId="0" fillId="0" borderId="12" xfId="0" applyNumberFormat="1" applyBorder="1" applyAlignment="1">
      <alignment horizontal="left"/>
    </xf>
    <xf numFmtId="10" fontId="0" fillId="0" borderId="12" xfId="4" applyNumberFormat="1" applyFont="1" applyBorder="1"/>
    <xf numFmtId="0" fontId="0" fillId="0" borderId="12" xfId="0" applyBorder="1"/>
    <xf numFmtId="182" fontId="0" fillId="0" borderId="11" xfId="0" applyNumberFormat="1" applyBorder="1" applyAlignment="1">
      <alignment horizontal="left"/>
    </xf>
    <xf numFmtId="10" fontId="0" fillId="0" borderId="11" xfId="4" applyNumberFormat="1" applyFont="1" applyBorder="1"/>
    <xf numFmtId="9" fontId="0" fillId="0" borderId="11" xfId="0" applyNumberFormat="1" applyBorder="1" applyAlignment="1">
      <alignment horizontal="left"/>
    </xf>
    <xf numFmtId="0" fontId="0" fillId="0" borderId="0" xfId="0" applyAlignment="1">
      <alignment vertical="center"/>
    </xf>
    <xf numFmtId="0" fontId="0" fillId="0" borderId="9" xfId="0" applyBorder="1"/>
    <xf numFmtId="0" fontId="0" fillId="0" borderId="0" xfId="0" applyAlignment="1">
      <alignment vertical="top" wrapText="1"/>
    </xf>
    <xf numFmtId="0" fontId="0" fillId="0" borderId="9" xfId="0" applyBorder="1" applyAlignment="1">
      <alignment vertical="top" wrapText="1"/>
    </xf>
    <xf numFmtId="0" fontId="20" fillId="0" borderId="0" xfId="0" applyFont="1" applyAlignment="1">
      <alignment vertical="center"/>
    </xf>
    <xf numFmtId="0" fontId="20" fillId="0" borderId="0" xfId="0" applyFont="1" applyFill="1" applyBorder="1"/>
    <xf numFmtId="0" fontId="20" fillId="0" borderId="13" xfId="0" applyFont="1" applyFill="1" applyBorder="1"/>
    <xf numFmtId="0" fontId="0" fillId="0" borderId="13" xfId="0" applyBorder="1"/>
    <xf numFmtId="173" fontId="1" fillId="0" borderId="0" xfId="0" applyNumberFormat="1" applyFont="1"/>
    <xf numFmtId="0" fontId="1" fillId="9" borderId="0" xfId="0" applyFont="1" applyFill="1"/>
    <xf numFmtId="2" fontId="1" fillId="9" borderId="0" xfId="0" applyNumberFormat="1" applyFont="1" applyFill="1" applyAlignment="1">
      <alignment horizontal="right"/>
    </xf>
    <xf numFmtId="0" fontId="22" fillId="0" borderId="0" xfId="0" applyFont="1" applyAlignment="1">
      <alignment horizontal="right"/>
    </xf>
    <xf numFmtId="0" fontId="18" fillId="0" borderId="0" xfId="0" applyFont="1"/>
    <xf numFmtId="0" fontId="2" fillId="12" borderId="0" xfId="0" applyFont="1" applyFill="1" applyAlignment="1">
      <alignment horizontal="left"/>
    </xf>
    <xf numFmtId="17" fontId="2" fillId="12" borderId="0" xfId="0" applyNumberFormat="1" applyFont="1" applyFill="1" applyAlignment="1">
      <alignment horizontal="right"/>
    </xf>
    <xf numFmtId="17" fontId="2" fillId="12" borderId="0" xfId="0" applyNumberFormat="1" applyFont="1" applyFill="1" applyAlignment="1">
      <alignment horizontal="center"/>
    </xf>
    <xf numFmtId="0" fontId="0" fillId="0" borderId="14" xfId="0" applyBorder="1"/>
    <xf numFmtId="10" fontId="0" fillId="0" borderId="14" xfId="4" applyNumberFormat="1" applyFont="1" applyBorder="1"/>
    <xf numFmtId="0" fontId="0" fillId="0" borderId="15" xfId="0" applyBorder="1"/>
    <xf numFmtId="10" fontId="0" fillId="0" borderId="15" xfId="4" applyNumberFormat="1" applyFont="1" applyBorder="1"/>
    <xf numFmtId="0" fontId="0" fillId="0" borderId="16" xfId="0" applyBorder="1"/>
    <xf numFmtId="10" fontId="0" fillId="0" borderId="16" xfId="4" applyNumberFormat="1" applyFont="1" applyBorder="1"/>
    <xf numFmtId="0" fontId="0" fillId="0" borderId="14" xfId="0" applyFill="1" applyBorder="1"/>
    <xf numFmtId="171" fontId="0" fillId="0" borderId="14" xfId="4" applyNumberFormat="1" applyFont="1" applyBorder="1"/>
    <xf numFmtId="0" fontId="0" fillId="0" borderId="15" xfId="0" applyFill="1" applyBorder="1"/>
    <xf numFmtId="171" fontId="0" fillId="0" borderId="15" xfId="4" applyNumberFormat="1" applyFont="1" applyBorder="1"/>
    <xf numFmtId="0" fontId="0" fillId="0" borderId="16" xfId="0" applyFill="1" applyBorder="1"/>
    <xf numFmtId="171" fontId="0" fillId="0" borderId="16" xfId="4" applyNumberFormat="1" applyFont="1" applyBorder="1"/>
    <xf numFmtId="168" fontId="0" fillId="0" borderId="14" xfId="0" applyNumberFormat="1" applyBorder="1"/>
    <xf numFmtId="168" fontId="0" fillId="0" borderId="15" xfId="0" applyNumberFormat="1" applyBorder="1"/>
    <xf numFmtId="168" fontId="0" fillId="0" borderId="16" xfId="0" applyNumberFormat="1" applyBorder="1"/>
    <xf numFmtId="169" fontId="0" fillId="0" borderId="14" xfId="0" applyNumberFormat="1" applyBorder="1"/>
    <xf numFmtId="169" fontId="0" fillId="0" borderId="15" xfId="0" applyNumberFormat="1" applyBorder="1"/>
    <xf numFmtId="0" fontId="1" fillId="0" borderId="16" xfId="0" applyFont="1" applyBorder="1"/>
    <xf numFmtId="169" fontId="1" fillId="0" borderId="16" xfId="0" applyNumberFormat="1" applyFont="1" applyBorder="1"/>
    <xf numFmtId="0" fontId="2" fillId="8" borderId="17" xfId="0" applyFont="1" applyFill="1" applyBorder="1"/>
    <xf numFmtId="0" fontId="2" fillId="8" borderId="2" xfId="0" applyFont="1" applyFill="1" applyBorder="1"/>
    <xf numFmtId="0" fontId="2" fillId="8" borderId="2" xfId="0" applyFont="1" applyFill="1" applyBorder="1" applyAlignment="1">
      <alignment horizontal="right"/>
    </xf>
    <xf numFmtId="0" fontId="2" fillId="8" borderId="18" xfId="0" applyFont="1" applyFill="1" applyBorder="1" applyAlignment="1">
      <alignment horizontal="right"/>
    </xf>
    <xf numFmtId="0" fontId="0" fillId="0" borderId="19" xfId="0" applyBorder="1" applyAlignment="1">
      <alignment horizontal="left"/>
    </xf>
    <xf numFmtId="0" fontId="0" fillId="0" borderId="0" xfId="0" applyBorder="1" applyAlignment="1">
      <alignment horizontal="left"/>
    </xf>
    <xf numFmtId="179" fontId="0" fillId="0" borderId="0" xfId="0" applyNumberFormat="1" applyBorder="1" applyAlignment="1">
      <alignment horizontal="right"/>
    </xf>
    <xf numFmtId="178" fontId="0" fillId="0" borderId="0" xfId="0" applyNumberFormat="1" applyBorder="1" applyAlignment="1">
      <alignment horizontal="right"/>
    </xf>
    <xf numFmtId="10" fontId="0" fillId="0" borderId="20" xfId="4" applyNumberFormat="1" applyFont="1" applyBorder="1"/>
    <xf numFmtId="0" fontId="0" fillId="0" borderId="21" xfId="0" applyBorder="1" applyAlignment="1">
      <alignment horizontal="left"/>
    </xf>
    <xf numFmtId="0" fontId="0" fillId="0" borderId="1" xfId="0" applyBorder="1" applyAlignment="1">
      <alignment horizontal="left"/>
    </xf>
    <xf numFmtId="178" fontId="0" fillId="0" borderId="1" xfId="0" applyNumberFormat="1" applyBorder="1" applyAlignment="1">
      <alignment horizontal="right"/>
    </xf>
    <xf numFmtId="10" fontId="0" fillId="0" borderId="22" xfId="4" applyNumberFormat="1" applyFont="1" applyBorder="1"/>
    <xf numFmtId="0" fontId="7" fillId="0" borderId="0" xfId="0" applyFont="1" applyAlignment="1">
      <alignment horizontal="left" indent="1"/>
    </xf>
    <xf numFmtId="177" fontId="7" fillId="0" borderId="0" xfId="0" applyNumberFormat="1" applyFont="1"/>
    <xf numFmtId="0" fontId="23" fillId="8" borderId="0" xfId="0" applyFont="1" applyFill="1" applyAlignment="1">
      <alignment vertical="center"/>
    </xf>
    <xf numFmtId="17" fontId="23" fillId="8" borderId="0" xfId="0" applyNumberFormat="1" applyFont="1" applyFill="1" applyAlignment="1">
      <alignment vertical="center" wrapText="1"/>
    </xf>
    <xf numFmtId="179" fontId="0" fillId="4" borderId="0" xfId="0" applyNumberFormat="1" applyFont="1" applyFill="1"/>
    <xf numFmtId="3" fontId="0" fillId="0" borderId="15" xfId="0" applyNumberFormat="1" applyBorder="1"/>
    <xf numFmtId="0" fontId="9" fillId="0" borderId="15" xfId="0" applyFont="1" applyBorder="1"/>
    <xf numFmtId="10" fontId="9" fillId="0" borderId="15" xfId="0" applyNumberFormat="1" applyFont="1" applyBorder="1"/>
    <xf numFmtId="0" fontId="0" fillId="0" borderId="15" xfId="0" applyFont="1" applyBorder="1"/>
    <xf numFmtId="10" fontId="0" fillId="0" borderId="15" xfId="0" applyNumberFormat="1" applyBorder="1"/>
    <xf numFmtId="4" fontId="0" fillId="0" borderId="15" xfId="0" applyNumberFormat="1" applyBorder="1"/>
    <xf numFmtId="2" fontId="0" fillId="0" borderId="15" xfId="0" applyNumberFormat="1" applyBorder="1"/>
    <xf numFmtId="0" fontId="25" fillId="13" borderId="0" xfId="0" applyFont="1" applyFill="1" applyBorder="1" applyAlignment="1">
      <alignment horizontal="left" vertical="center"/>
    </xf>
    <xf numFmtId="0" fontId="2" fillId="8" borderId="0" xfId="0" applyFont="1" applyFill="1" applyBorder="1" applyAlignment="1">
      <alignment horizontal="right"/>
    </xf>
    <xf numFmtId="0" fontId="2" fillId="8" borderId="0" xfId="0" applyFont="1" applyFill="1" applyBorder="1" applyAlignment="1">
      <alignment horizontal="left"/>
    </xf>
    <xf numFmtId="0" fontId="0" fillId="0" borderId="0" xfId="0" applyAlignment="1">
      <alignment horizontal="right"/>
    </xf>
    <xf numFmtId="0" fontId="19" fillId="5" borderId="15" xfId="0" applyFont="1" applyFill="1" applyBorder="1"/>
    <xf numFmtId="179" fontId="19" fillId="5" borderId="15" xfId="0" applyNumberFormat="1" applyFont="1" applyFill="1" applyBorder="1" applyAlignment="1">
      <alignment horizontal="right"/>
    </xf>
    <xf numFmtId="180" fontId="19" fillId="5" borderId="15" xfId="0" applyNumberFormat="1" applyFont="1" applyFill="1" applyBorder="1"/>
    <xf numFmtId="179" fontId="0" fillId="0" borderId="15" xfId="0" applyNumberFormat="1" applyFont="1" applyBorder="1" applyAlignment="1">
      <alignment horizontal="right"/>
    </xf>
    <xf numFmtId="180" fontId="0" fillId="4" borderId="15" xfId="0" applyNumberFormat="1" applyFont="1" applyFill="1" applyBorder="1"/>
    <xf numFmtId="181" fontId="0" fillId="0" borderId="14" xfId="0" applyNumberFormat="1" applyBorder="1"/>
    <xf numFmtId="181" fontId="0" fillId="0" borderId="15" xfId="0" applyNumberFormat="1" applyBorder="1"/>
    <xf numFmtId="14" fontId="0" fillId="0" borderId="0" xfId="0" applyNumberFormat="1"/>
    <xf numFmtId="183" fontId="0" fillId="0" borderId="0" xfId="0" applyNumberFormat="1"/>
    <xf numFmtId="10" fontId="0" fillId="0" borderId="0" xfId="0" applyNumberFormat="1" applyBorder="1"/>
    <xf numFmtId="0" fontId="0" fillId="0" borderId="15" xfId="0" applyBorder="1" applyAlignment="1">
      <alignment vertical="center"/>
    </xf>
    <xf numFmtId="2" fontId="25" fillId="13" borderId="0" xfId="0" applyNumberFormat="1" applyFont="1" applyFill="1" applyBorder="1" applyAlignment="1">
      <alignment horizontal="right" vertical="center"/>
    </xf>
    <xf numFmtId="176" fontId="0" fillId="0" borderId="15" xfId="0" applyNumberFormat="1" applyBorder="1"/>
    <xf numFmtId="0" fontId="2" fillId="4" borderId="0" xfId="0" applyFont="1" applyFill="1"/>
    <xf numFmtId="0" fontId="2" fillId="4" borderId="0" xfId="0" applyFont="1" applyFill="1" applyAlignment="1">
      <alignment horizontal="right"/>
    </xf>
    <xf numFmtId="0" fontId="23" fillId="4" borderId="0" xfId="0" applyFont="1" applyFill="1" applyAlignment="1">
      <alignment horizontal="center" vertical="center" wrapText="1"/>
    </xf>
    <xf numFmtId="0" fontId="23" fillId="8" borderId="0" xfId="0" applyFont="1" applyFill="1"/>
    <xf numFmtId="0" fontId="23" fillId="8" borderId="0" xfId="0" applyFont="1" applyFill="1" applyAlignment="1">
      <alignment horizontal="right"/>
    </xf>
    <xf numFmtId="3" fontId="0" fillId="0" borderId="15" xfId="0" applyNumberFormat="1" applyFont="1" applyBorder="1"/>
    <xf numFmtId="4" fontId="0" fillId="0" borderId="15" xfId="0" applyNumberFormat="1" applyFont="1" applyBorder="1"/>
    <xf numFmtId="0" fontId="1" fillId="0" borderId="23" xfId="0" applyFont="1" applyBorder="1"/>
    <xf numFmtId="0" fontId="0" fillId="0" borderId="23" xfId="0" applyBorder="1"/>
    <xf numFmtId="3" fontId="1" fillId="0" borderId="23" xfId="0" applyNumberFormat="1" applyFont="1" applyBorder="1"/>
    <xf numFmtId="0" fontId="0" fillId="0" borderId="24" xfId="0" applyBorder="1" applyAlignment="1">
      <alignment horizontal="left" indent="1"/>
    </xf>
    <xf numFmtId="0" fontId="0" fillId="0" borderId="24" xfId="0" applyBorder="1"/>
    <xf numFmtId="3" fontId="0" fillId="0" borderId="24" xfId="0" applyNumberFormat="1" applyFont="1" applyBorder="1"/>
    <xf numFmtId="0" fontId="0" fillId="0" borderId="15" xfId="0" applyBorder="1" applyAlignment="1">
      <alignment horizontal="left" indent="1"/>
    </xf>
    <xf numFmtId="0" fontId="1" fillId="0" borderId="23" xfId="0" applyFont="1" applyBorder="1" applyAlignment="1">
      <alignment horizontal="left"/>
    </xf>
    <xf numFmtId="2" fontId="0" fillId="0" borderId="15" xfId="0" applyNumberFormat="1" applyFont="1" applyBorder="1"/>
    <xf numFmtId="9" fontId="0" fillId="0" borderId="0" xfId="4" applyFont="1"/>
    <xf numFmtId="9" fontId="0" fillId="0" borderId="0" xfId="4" applyFont="1" applyAlignment="1">
      <alignment horizontal="right"/>
    </xf>
    <xf numFmtId="0" fontId="9" fillId="0" borderId="0" xfId="0" applyFont="1" applyFill="1" applyBorder="1"/>
    <xf numFmtId="0" fontId="19" fillId="0" borderId="0" xfId="0" applyFont="1"/>
    <xf numFmtId="0" fontId="19" fillId="0" borderId="0" xfId="0" applyFont="1" applyBorder="1"/>
    <xf numFmtId="0" fontId="9" fillId="0" borderId="0" xfId="0" applyFont="1" applyAlignment="1">
      <alignment horizontal="left" indent="2"/>
    </xf>
    <xf numFmtId="0" fontId="0" fillId="8" borderId="2" xfId="0" applyFill="1" applyBorder="1"/>
    <xf numFmtId="9" fontId="7" fillId="0" borderId="0" xfId="0" applyNumberFormat="1" applyFont="1"/>
    <xf numFmtId="10" fontId="19" fillId="0" borderId="0" xfId="0" applyNumberFormat="1" applyFont="1" applyBorder="1"/>
    <xf numFmtId="0" fontId="0" fillId="0" borderId="0" xfId="0" applyFont="1" applyBorder="1"/>
    <xf numFmtId="4" fontId="19" fillId="0" borderId="0" xfId="0" applyNumberFormat="1" applyFont="1" applyBorder="1"/>
    <xf numFmtId="172" fontId="19" fillId="0" borderId="0" xfId="0" applyNumberFormat="1" applyFont="1"/>
    <xf numFmtId="179" fontId="0" fillId="9" borderId="0" xfId="0" applyNumberFormat="1" applyFont="1" applyFill="1"/>
    <xf numFmtId="10" fontId="9" fillId="9" borderId="0" xfId="0" applyNumberFormat="1" applyFont="1" applyFill="1"/>
    <xf numFmtId="10" fontId="9" fillId="9" borderId="0" xfId="4" applyNumberFormat="1" applyFont="1" applyFill="1"/>
    <xf numFmtId="10" fontId="27" fillId="9" borderId="0" xfId="4" applyNumberFormat="1" applyFont="1" applyFill="1"/>
    <xf numFmtId="10" fontId="0" fillId="9" borderId="0" xfId="4" applyNumberFormat="1" applyFont="1" applyFill="1"/>
    <xf numFmtId="10" fontId="16" fillId="9" borderId="0" xfId="4" applyNumberFormat="1" applyFont="1" applyFill="1"/>
    <xf numFmtId="0" fontId="0" fillId="9" borderId="0" xfId="0" applyFill="1"/>
    <xf numFmtId="179" fontId="1" fillId="9" borderId="3" xfId="0" applyNumberFormat="1" applyFont="1" applyFill="1" applyBorder="1"/>
    <xf numFmtId="0" fontId="16" fillId="9" borderId="0" xfId="0" applyFont="1" applyFill="1"/>
    <xf numFmtId="176" fontId="0" fillId="9" borderId="0" xfId="0" applyNumberFormat="1" applyFill="1"/>
    <xf numFmtId="179" fontId="1" fillId="9" borderId="7" xfId="0" applyNumberFormat="1" applyFont="1" applyFill="1" applyBorder="1"/>
    <xf numFmtId="0" fontId="0" fillId="0" borderId="15" xfId="0" applyBorder="1" applyAlignment="1">
      <alignment horizontal="center"/>
    </xf>
    <xf numFmtId="0" fontId="0" fillId="0" borderId="15" xfId="0" applyBorder="1" applyAlignment="1">
      <alignment horizontal="left"/>
    </xf>
    <xf numFmtId="0" fontId="23" fillId="8" borderId="0" xfId="0" applyFont="1" applyFill="1" applyAlignment="1">
      <alignment horizontal="center"/>
    </xf>
    <xf numFmtId="4" fontId="0" fillId="0" borderId="15" xfId="0" applyNumberFormat="1" applyBorder="1" applyAlignment="1">
      <alignment horizontal="right"/>
    </xf>
    <xf numFmtId="3" fontId="0" fillId="0" borderId="15" xfId="0" applyNumberFormat="1" applyBorder="1" applyAlignment="1">
      <alignment horizontal="right"/>
    </xf>
    <xf numFmtId="0" fontId="23" fillId="8" borderId="0" xfId="0" applyFont="1" applyFill="1" applyAlignment="1">
      <alignment horizontal="center" vertical="center" wrapText="1"/>
    </xf>
    <xf numFmtId="0" fontId="23" fillId="8" borderId="0" xfId="0" applyFont="1" applyFill="1" applyAlignment="1">
      <alignment horizontal="right"/>
    </xf>
    <xf numFmtId="0" fontId="24" fillId="8" borderId="0" xfId="0" applyFont="1" applyFill="1" applyAlignment="1">
      <alignment horizontal="center" vertical="center"/>
    </xf>
    <xf numFmtId="0" fontId="0" fillId="0" borderId="0" xfId="0" applyFont="1" applyAlignment="1">
      <alignment horizontal="left" vertical="top" wrapText="1"/>
    </xf>
    <xf numFmtId="0" fontId="2" fillId="8" borderId="0" xfId="0" applyFont="1" applyFill="1" applyAlignment="1">
      <alignment horizontal="center"/>
    </xf>
    <xf numFmtId="0" fontId="2" fillId="8" borderId="8" xfId="0" applyFont="1" applyFill="1" applyBorder="1" applyAlignment="1">
      <alignment horizontal="center"/>
    </xf>
    <xf numFmtId="0" fontId="0" fillId="0" borderId="0" xfId="0" applyAlignment="1">
      <alignment horizontal="left" vertical="top" wrapText="1"/>
    </xf>
    <xf numFmtId="0" fontId="24" fillId="8" borderId="0" xfId="0" applyFont="1" applyFill="1" applyAlignment="1">
      <alignment horizontal="center"/>
    </xf>
    <xf numFmtId="43" fontId="4" fillId="0" borderId="0" xfId="2" applyNumberFormat="1" applyBorder="1" applyAlignment="1" applyProtection="1">
      <alignment horizontal="center"/>
    </xf>
    <xf numFmtId="43" fontId="2" fillId="2" borderId="0" xfId="3" applyNumberFormat="1" applyFont="1" applyBorder="1" applyAlignment="1">
      <alignment horizontal="center"/>
    </xf>
    <xf numFmtId="0" fontId="2" fillId="6" borderId="0" xfId="0" applyFont="1" applyFill="1" applyAlignment="1">
      <alignment horizontal="center"/>
    </xf>
  </cellXfs>
  <cellStyles count="5">
    <cellStyle name="Accent6" xfId="3" builtinId="49"/>
    <cellStyle name="Comma" xfId="1" builtinId="3"/>
    <cellStyle name="Hyperlink" xfId="2" builtinId="8"/>
    <cellStyle name="Normal" xfId="0" builtinId="0"/>
    <cellStyle name="Percent" xfId="4" builtinId="5"/>
  </cellStyles>
  <dxfs count="1">
    <dxf>
      <font>
        <b/>
        <i val="0"/>
        <color theme="0"/>
      </font>
      <fill>
        <patternFill>
          <bgColor theme="5"/>
        </patternFill>
      </fill>
    </dxf>
  </dxfs>
  <tableStyles count="0" defaultTableStyle="TableStyleMedium9" defaultPivotStyle="PivotStyleLight16"/>
  <colors>
    <mruColors>
      <color rgb="FF0000FF"/>
      <color rgb="FFFFFFA3"/>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UltraTech_Beta!$AB$3</c:f>
              <c:strCache>
                <c:ptCount val="1"/>
                <c:pt idx="0">
                  <c:v>Price</c:v>
                </c:pt>
              </c:strCache>
            </c:strRef>
          </c:tx>
          <c:spPr>
            <a:ln w="28575" cap="rnd">
              <a:solidFill>
                <a:schemeClr val="accent3">
                  <a:lumMod val="50000"/>
                </a:schemeClr>
              </a:solidFill>
              <a:round/>
            </a:ln>
            <a:effectLst/>
          </c:spPr>
          <c:marker>
            <c:symbol val="none"/>
          </c:marker>
          <c:cat>
            <c:numRef>
              <c:f>UltraTech_Beta!$AA$4:$AA$1244</c:f>
              <c:numCache>
                <c:formatCode>m/d/yyyy</c:formatCode>
                <c:ptCount val="1241"/>
                <c:pt idx="0">
                  <c:v>44200</c:v>
                </c:pt>
                <c:pt idx="1">
                  <c:v>44201</c:v>
                </c:pt>
                <c:pt idx="2">
                  <c:v>44202</c:v>
                </c:pt>
                <c:pt idx="3">
                  <c:v>44203</c:v>
                </c:pt>
                <c:pt idx="4">
                  <c:v>44204</c:v>
                </c:pt>
                <c:pt idx="5">
                  <c:v>44207</c:v>
                </c:pt>
                <c:pt idx="6">
                  <c:v>44208</c:v>
                </c:pt>
                <c:pt idx="7">
                  <c:v>44209</c:v>
                </c:pt>
                <c:pt idx="8">
                  <c:v>44210</c:v>
                </c:pt>
                <c:pt idx="9">
                  <c:v>44211</c:v>
                </c:pt>
                <c:pt idx="10">
                  <c:v>44214</c:v>
                </c:pt>
                <c:pt idx="11">
                  <c:v>44215</c:v>
                </c:pt>
                <c:pt idx="12">
                  <c:v>44216</c:v>
                </c:pt>
                <c:pt idx="13">
                  <c:v>44217</c:v>
                </c:pt>
                <c:pt idx="14">
                  <c:v>44218</c:v>
                </c:pt>
                <c:pt idx="15">
                  <c:v>44221</c:v>
                </c:pt>
                <c:pt idx="16">
                  <c:v>44223</c:v>
                </c:pt>
                <c:pt idx="17">
                  <c:v>44224</c:v>
                </c:pt>
                <c:pt idx="18">
                  <c:v>44225</c:v>
                </c:pt>
                <c:pt idx="19">
                  <c:v>44228</c:v>
                </c:pt>
                <c:pt idx="20">
                  <c:v>44229</c:v>
                </c:pt>
                <c:pt idx="21">
                  <c:v>44230</c:v>
                </c:pt>
                <c:pt idx="22">
                  <c:v>44231</c:v>
                </c:pt>
                <c:pt idx="23">
                  <c:v>44232</c:v>
                </c:pt>
                <c:pt idx="24">
                  <c:v>44235</c:v>
                </c:pt>
                <c:pt idx="25">
                  <c:v>44236</c:v>
                </c:pt>
                <c:pt idx="26">
                  <c:v>44237</c:v>
                </c:pt>
                <c:pt idx="27">
                  <c:v>44238</c:v>
                </c:pt>
                <c:pt idx="28">
                  <c:v>44239</c:v>
                </c:pt>
                <c:pt idx="29">
                  <c:v>44242</c:v>
                </c:pt>
                <c:pt idx="30">
                  <c:v>44243</c:v>
                </c:pt>
                <c:pt idx="31">
                  <c:v>44244</c:v>
                </c:pt>
                <c:pt idx="32">
                  <c:v>44245</c:v>
                </c:pt>
                <c:pt idx="33">
                  <c:v>44246</c:v>
                </c:pt>
                <c:pt idx="34">
                  <c:v>44249</c:v>
                </c:pt>
                <c:pt idx="35">
                  <c:v>44250</c:v>
                </c:pt>
                <c:pt idx="36">
                  <c:v>44251</c:v>
                </c:pt>
                <c:pt idx="37">
                  <c:v>44252</c:v>
                </c:pt>
                <c:pt idx="38">
                  <c:v>44253</c:v>
                </c:pt>
                <c:pt idx="39">
                  <c:v>44256</c:v>
                </c:pt>
                <c:pt idx="40">
                  <c:v>44257</c:v>
                </c:pt>
                <c:pt idx="41">
                  <c:v>44258</c:v>
                </c:pt>
                <c:pt idx="42">
                  <c:v>44259</c:v>
                </c:pt>
                <c:pt idx="43">
                  <c:v>44260</c:v>
                </c:pt>
                <c:pt idx="44">
                  <c:v>44263</c:v>
                </c:pt>
                <c:pt idx="45">
                  <c:v>44264</c:v>
                </c:pt>
                <c:pt idx="46">
                  <c:v>44265</c:v>
                </c:pt>
                <c:pt idx="47">
                  <c:v>44267</c:v>
                </c:pt>
                <c:pt idx="48">
                  <c:v>44270</c:v>
                </c:pt>
                <c:pt idx="49">
                  <c:v>44271</c:v>
                </c:pt>
                <c:pt idx="50">
                  <c:v>44272</c:v>
                </c:pt>
                <c:pt idx="51">
                  <c:v>44273</c:v>
                </c:pt>
                <c:pt idx="52">
                  <c:v>44274</c:v>
                </c:pt>
                <c:pt idx="53">
                  <c:v>44277</c:v>
                </c:pt>
                <c:pt idx="54">
                  <c:v>44278</c:v>
                </c:pt>
                <c:pt idx="55">
                  <c:v>44279</c:v>
                </c:pt>
                <c:pt idx="56">
                  <c:v>44280</c:v>
                </c:pt>
                <c:pt idx="57">
                  <c:v>44281</c:v>
                </c:pt>
                <c:pt idx="58">
                  <c:v>44285</c:v>
                </c:pt>
                <c:pt idx="59">
                  <c:v>44286</c:v>
                </c:pt>
                <c:pt idx="60">
                  <c:v>44287</c:v>
                </c:pt>
                <c:pt idx="61">
                  <c:v>44291</c:v>
                </c:pt>
                <c:pt idx="62">
                  <c:v>44292</c:v>
                </c:pt>
                <c:pt idx="63">
                  <c:v>44293</c:v>
                </c:pt>
                <c:pt idx="64">
                  <c:v>44294</c:v>
                </c:pt>
                <c:pt idx="65">
                  <c:v>44295</c:v>
                </c:pt>
                <c:pt idx="66">
                  <c:v>44298</c:v>
                </c:pt>
                <c:pt idx="67">
                  <c:v>44299</c:v>
                </c:pt>
                <c:pt idx="68">
                  <c:v>44301</c:v>
                </c:pt>
                <c:pt idx="69">
                  <c:v>44302</c:v>
                </c:pt>
                <c:pt idx="70">
                  <c:v>44305</c:v>
                </c:pt>
                <c:pt idx="71">
                  <c:v>44306</c:v>
                </c:pt>
                <c:pt idx="72">
                  <c:v>44308</c:v>
                </c:pt>
                <c:pt idx="73">
                  <c:v>44309</c:v>
                </c:pt>
                <c:pt idx="74">
                  <c:v>44312</c:v>
                </c:pt>
                <c:pt idx="75">
                  <c:v>44313</c:v>
                </c:pt>
                <c:pt idx="76">
                  <c:v>44314</c:v>
                </c:pt>
                <c:pt idx="77">
                  <c:v>44315</c:v>
                </c:pt>
                <c:pt idx="78">
                  <c:v>44316</c:v>
                </c:pt>
                <c:pt idx="79">
                  <c:v>44319</c:v>
                </c:pt>
                <c:pt idx="80">
                  <c:v>44320</c:v>
                </c:pt>
                <c:pt idx="81">
                  <c:v>44321</c:v>
                </c:pt>
                <c:pt idx="82">
                  <c:v>44322</c:v>
                </c:pt>
                <c:pt idx="83">
                  <c:v>44323</c:v>
                </c:pt>
                <c:pt idx="84">
                  <c:v>44326</c:v>
                </c:pt>
                <c:pt idx="85">
                  <c:v>44327</c:v>
                </c:pt>
                <c:pt idx="86">
                  <c:v>44328</c:v>
                </c:pt>
                <c:pt idx="87">
                  <c:v>44330</c:v>
                </c:pt>
                <c:pt idx="88">
                  <c:v>44333</c:v>
                </c:pt>
                <c:pt idx="89">
                  <c:v>44334</c:v>
                </c:pt>
                <c:pt idx="90">
                  <c:v>44335</c:v>
                </c:pt>
                <c:pt idx="91">
                  <c:v>44336</c:v>
                </c:pt>
                <c:pt idx="92">
                  <c:v>44337</c:v>
                </c:pt>
                <c:pt idx="93">
                  <c:v>44340</c:v>
                </c:pt>
                <c:pt idx="94">
                  <c:v>44341</c:v>
                </c:pt>
                <c:pt idx="95">
                  <c:v>44342</c:v>
                </c:pt>
                <c:pt idx="96">
                  <c:v>44343</c:v>
                </c:pt>
                <c:pt idx="97">
                  <c:v>44344</c:v>
                </c:pt>
                <c:pt idx="98">
                  <c:v>44347</c:v>
                </c:pt>
                <c:pt idx="99">
                  <c:v>44348</c:v>
                </c:pt>
                <c:pt idx="100">
                  <c:v>44349</c:v>
                </c:pt>
                <c:pt idx="101">
                  <c:v>44350</c:v>
                </c:pt>
                <c:pt idx="102">
                  <c:v>44351</c:v>
                </c:pt>
                <c:pt idx="103">
                  <c:v>44354</c:v>
                </c:pt>
                <c:pt idx="104">
                  <c:v>44355</c:v>
                </c:pt>
                <c:pt idx="105">
                  <c:v>44356</c:v>
                </c:pt>
                <c:pt idx="106">
                  <c:v>44357</c:v>
                </c:pt>
                <c:pt idx="107">
                  <c:v>44358</c:v>
                </c:pt>
                <c:pt idx="108">
                  <c:v>44361</c:v>
                </c:pt>
                <c:pt idx="109">
                  <c:v>44362</c:v>
                </c:pt>
                <c:pt idx="110">
                  <c:v>44363</c:v>
                </c:pt>
                <c:pt idx="111">
                  <c:v>44364</c:v>
                </c:pt>
                <c:pt idx="112">
                  <c:v>44365</c:v>
                </c:pt>
                <c:pt idx="113">
                  <c:v>44368</c:v>
                </c:pt>
                <c:pt idx="114">
                  <c:v>44369</c:v>
                </c:pt>
                <c:pt idx="115">
                  <c:v>44370</c:v>
                </c:pt>
                <c:pt idx="116">
                  <c:v>44371</c:v>
                </c:pt>
                <c:pt idx="117">
                  <c:v>44372</c:v>
                </c:pt>
                <c:pt idx="118">
                  <c:v>44375</c:v>
                </c:pt>
                <c:pt idx="119">
                  <c:v>44376</c:v>
                </c:pt>
                <c:pt idx="120">
                  <c:v>44377</c:v>
                </c:pt>
                <c:pt idx="121">
                  <c:v>44378</c:v>
                </c:pt>
                <c:pt idx="122">
                  <c:v>44379</c:v>
                </c:pt>
                <c:pt idx="123">
                  <c:v>44382</c:v>
                </c:pt>
                <c:pt idx="124">
                  <c:v>44383</c:v>
                </c:pt>
                <c:pt idx="125">
                  <c:v>44384</c:v>
                </c:pt>
                <c:pt idx="126">
                  <c:v>44385</c:v>
                </c:pt>
                <c:pt idx="127">
                  <c:v>44386</c:v>
                </c:pt>
                <c:pt idx="128">
                  <c:v>44389</c:v>
                </c:pt>
                <c:pt idx="129">
                  <c:v>44390</c:v>
                </c:pt>
                <c:pt idx="130">
                  <c:v>44391</c:v>
                </c:pt>
                <c:pt idx="131">
                  <c:v>44392</c:v>
                </c:pt>
                <c:pt idx="132">
                  <c:v>44393</c:v>
                </c:pt>
                <c:pt idx="133">
                  <c:v>44396</c:v>
                </c:pt>
                <c:pt idx="134">
                  <c:v>44397</c:v>
                </c:pt>
                <c:pt idx="135">
                  <c:v>44399</c:v>
                </c:pt>
                <c:pt idx="136">
                  <c:v>44400</c:v>
                </c:pt>
                <c:pt idx="137">
                  <c:v>44403</c:v>
                </c:pt>
                <c:pt idx="138">
                  <c:v>44404</c:v>
                </c:pt>
                <c:pt idx="139">
                  <c:v>44405</c:v>
                </c:pt>
                <c:pt idx="140">
                  <c:v>44406</c:v>
                </c:pt>
                <c:pt idx="141">
                  <c:v>44407</c:v>
                </c:pt>
                <c:pt idx="142">
                  <c:v>44410</c:v>
                </c:pt>
                <c:pt idx="143">
                  <c:v>44411</c:v>
                </c:pt>
                <c:pt idx="144">
                  <c:v>44412</c:v>
                </c:pt>
                <c:pt idx="145">
                  <c:v>44413</c:v>
                </c:pt>
                <c:pt idx="146">
                  <c:v>44414</c:v>
                </c:pt>
                <c:pt idx="147">
                  <c:v>44417</c:v>
                </c:pt>
                <c:pt idx="148">
                  <c:v>44418</c:v>
                </c:pt>
                <c:pt idx="149">
                  <c:v>44419</c:v>
                </c:pt>
                <c:pt idx="150">
                  <c:v>44420</c:v>
                </c:pt>
                <c:pt idx="151">
                  <c:v>44421</c:v>
                </c:pt>
                <c:pt idx="152">
                  <c:v>44424</c:v>
                </c:pt>
                <c:pt idx="153">
                  <c:v>44425</c:v>
                </c:pt>
                <c:pt idx="154">
                  <c:v>44426</c:v>
                </c:pt>
                <c:pt idx="155">
                  <c:v>44428</c:v>
                </c:pt>
                <c:pt idx="156">
                  <c:v>44431</c:v>
                </c:pt>
                <c:pt idx="157">
                  <c:v>44432</c:v>
                </c:pt>
                <c:pt idx="158">
                  <c:v>44433</c:v>
                </c:pt>
                <c:pt idx="159">
                  <c:v>44434</c:v>
                </c:pt>
                <c:pt idx="160">
                  <c:v>44435</c:v>
                </c:pt>
                <c:pt idx="161">
                  <c:v>44438</c:v>
                </c:pt>
                <c:pt idx="162">
                  <c:v>44439</c:v>
                </c:pt>
                <c:pt idx="163">
                  <c:v>44440</c:v>
                </c:pt>
                <c:pt idx="164">
                  <c:v>44441</c:v>
                </c:pt>
                <c:pt idx="165">
                  <c:v>44442</c:v>
                </c:pt>
                <c:pt idx="166">
                  <c:v>44445</c:v>
                </c:pt>
                <c:pt idx="167">
                  <c:v>44446</c:v>
                </c:pt>
                <c:pt idx="168">
                  <c:v>44447</c:v>
                </c:pt>
                <c:pt idx="169">
                  <c:v>44448</c:v>
                </c:pt>
                <c:pt idx="170">
                  <c:v>44452</c:v>
                </c:pt>
                <c:pt idx="171">
                  <c:v>44453</c:v>
                </c:pt>
                <c:pt idx="172">
                  <c:v>44454</c:v>
                </c:pt>
                <c:pt idx="173">
                  <c:v>44455</c:v>
                </c:pt>
                <c:pt idx="174">
                  <c:v>44456</c:v>
                </c:pt>
                <c:pt idx="175">
                  <c:v>44459</c:v>
                </c:pt>
                <c:pt idx="176">
                  <c:v>44460</c:v>
                </c:pt>
                <c:pt idx="177">
                  <c:v>44461</c:v>
                </c:pt>
                <c:pt idx="178">
                  <c:v>44462</c:v>
                </c:pt>
                <c:pt idx="179">
                  <c:v>44463</c:v>
                </c:pt>
                <c:pt idx="180">
                  <c:v>44466</c:v>
                </c:pt>
                <c:pt idx="181">
                  <c:v>44467</c:v>
                </c:pt>
                <c:pt idx="182">
                  <c:v>44468</c:v>
                </c:pt>
                <c:pt idx="183">
                  <c:v>44469</c:v>
                </c:pt>
                <c:pt idx="184">
                  <c:v>44470</c:v>
                </c:pt>
                <c:pt idx="185">
                  <c:v>44473</c:v>
                </c:pt>
                <c:pt idx="186">
                  <c:v>44474</c:v>
                </c:pt>
                <c:pt idx="187">
                  <c:v>44475</c:v>
                </c:pt>
                <c:pt idx="188">
                  <c:v>44476</c:v>
                </c:pt>
                <c:pt idx="189">
                  <c:v>44477</c:v>
                </c:pt>
                <c:pt idx="190">
                  <c:v>44480</c:v>
                </c:pt>
                <c:pt idx="191">
                  <c:v>44481</c:v>
                </c:pt>
                <c:pt idx="192">
                  <c:v>44482</c:v>
                </c:pt>
                <c:pt idx="193">
                  <c:v>44483</c:v>
                </c:pt>
                <c:pt idx="194">
                  <c:v>44487</c:v>
                </c:pt>
                <c:pt idx="195">
                  <c:v>44488</c:v>
                </c:pt>
                <c:pt idx="196">
                  <c:v>44489</c:v>
                </c:pt>
                <c:pt idx="197">
                  <c:v>44490</c:v>
                </c:pt>
                <c:pt idx="198">
                  <c:v>44491</c:v>
                </c:pt>
                <c:pt idx="199">
                  <c:v>44494</c:v>
                </c:pt>
                <c:pt idx="200">
                  <c:v>44495</c:v>
                </c:pt>
                <c:pt idx="201">
                  <c:v>44496</c:v>
                </c:pt>
                <c:pt idx="202">
                  <c:v>44497</c:v>
                </c:pt>
                <c:pt idx="203">
                  <c:v>44498</c:v>
                </c:pt>
                <c:pt idx="204">
                  <c:v>44501</c:v>
                </c:pt>
                <c:pt idx="205">
                  <c:v>44502</c:v>
                </c:pt>
                <c:pt idx="206">
                  <c:v>44503</c:v>
                </c:pt>
                <c:pt idx="207">
                  <c:v>44504</c:v>
                </c:pt>
                <c:pt idx="208">
                  <c:v>44508</c:v>
                </c:pt>
                <c:pt idx="209">
                  <c:v>44509</c:v>
                </c:pt>
                <c:pt idx="210">
                  <c:v>44510</c:v>
                </c:pt>
                <c:pt idx="211">
                  <c:v>44511</c:v>
                </c:pt>
                <c:pt idx="212">
                  <c:v>44512</c:v>
                </c:pt>
                <c:pt idx="213">
                  <c:v>44515</c:v>
                </c:pt>
                <c:pt idx="214">
                  <c:v>44516</c:v>
                </c:pt>
                <c:pt idx="215">
                  <c:v>44517</c:v>
                </c:pt>
                <c:pt idx="216">
                  <c:v>44518</c:v>
                </c:pt>
                <c:pt idx="217">
                  <c:v>44522</c:v>
                </c:pt>
                <c:pt idx="218">
                  <c:v>44523</c:v>
                </c:pt>
                <c:pt idx="219">
                  <c:v>44524</c:v>
                </c:pt>
                <c:pt idx="220">
                  <c:v>44525</c:v>
                </c:pt>
                <c:pt idx="221">
                  <c:v>44526</c:v>
                </c:pt>
                <c:pt idx="222">
                  <c:v>44529</c:v>
                </c:pt>
                <c:pt idx="223">
                  <c:v>44530</c:v>
                </c:pt>
                <c:pt idx="224">
                  <c:v>44531</c:v>
                </c:pt>
                <c:pt idx="225">
                  <c:v>44532</c:v>
                </c:pt>
                <c:pt idx="226">
                  <c:v>44533</c:v>
                </c:pt>
                <c:pt idx="227">
                  <c:v>44536</c:v>
                </c:pt>
                <c:pt idx="228">
                  <c:v>44537</c:v>
                </c:pt>
                <c:pt idx="229">
                  <c:v>44538</c:v>
                </c:pt>
                <c:pt idx="230">
                  <c:v>44539</c:v>
                </c:pt>
                <c:pt idx="231">
                  <c:v>44540</c:v>
                </c:pt>
                <c:pt idx="232">
                  <c:v>44543</c:v>
                </c:pt>
                <c:pt idx="233">
                  <c:v>44544</c:v>
                </c:pt>
                <c:pt idx="234">
                  <c:v>44545</c:v>
                </c:pt>
                <c:pt idx="235">
                  <c:v>44546</c:v>
                </c:pt>
                <c:pt idx="236">
                  <c:v>44547</c:v>
                </c:pt>
                <c:pt idx="237">
                  <c:v>44550</c:v>
                </c:pt>
                <c:pt idx="238">
                  <c:v>44551</c:v>
                </c:pt>
                <c:pt idx="239">
                  <c:v>44552</c:v>
                </c:pt>
                <c:pt idx="240">
                  <c:v>44553</c:v>
                </c:pt>
                <c:pt idx="241">
                  <c:v>44554</c:v>
                </c:pt>
                <c:pt idx="242">
                  <c:v>44557</c:v>
                </c:pt>
                <c:pt idx="243">
                  <c:v>44558</c:v>
                </c:pt>
                <c:pt idx="244">
                  <c:v>44559</c:v>
                </c:pt>
                <c:pt idx="245">
                  <c:v>44560</c:v>
                </c:pt>
                <c:pt idx="246">
                  <c:v>44561</c:v>
                </c:pt>
                <c:pt idx="247">
                  <c:v>44564</c:v>
                </c:pt>
                <c:pt idx="248">
                  <c:v>44565</c:v>
                </c:pt>
                <c:pt idx="249">
                  <c:v>44566</c:v>
                </c:pt>
                <c:pt idx="250">
                  <c:v>44567</c:v>
                </c:pt>
                <c:pt idx="251">
                  <c:v>44568</c:v>
                </c:pt>
                <c:pt idx="252">
                  <c:v>44571</c:v>
                </c:pt>
                <c:pt idx="253">
                  <c:v>44572</c:v>
                </c:pt>
                <c:pt idx="254">
                  <c:v>44573</c:v>
                </c:pt>
                <c:pt idx="255">
                  <c:v>44574</c:v>
                </c:pt>
                <c:pt idx="256">
                  <c:v>44575</c:v>
                </c:pt>
                <c:pt idx="257">
                  <c:v>44578</c:v>
                </c:pt>
                <c:pt idx="258">
                  <c:v>44579</c:v>
                </c:pt>
                <c:pt idx="259">
                  <c:v>44580</c:v>
                </c:pt>
                <c:pt idx="260">
                  <c:v>44581</c:v>
                </c:pt>
                <c:pt idx="261">
                  <c:v>44582</c:v>
                </c:pt>
                <c:pt idx="262">
                  <c:v>44585</c:v>
                </c:pt>
                <c:pt idx="263">
                  <c:v>44586</c:v>
                </c:pt>
                <c:pt idx="264">
                  <c:v>44588</c:v>
                </c:pt>
                <c:pt idx="265">
                  <c:v>44589</c:v>
                </c:pt>
                <c:pt idx="266">
                  <c:v>44592</c:v>
                </c:pt>
                <c:pt idx="267">
                  <c:v>44593</c:v>
                </c:pt>
                <c:pt idx="268">
                  <c:v>44594</c:v>
                </c:pt>
                <c:pt idx="269">
                  <c:v>44595</c:v>
                </c:pt>
                <c:pt idx="270">
                  <c:v>44596</c:v>
                </c:pt>
                <c:pt idx="271">
                  <c:v>44599</c:v>
                </c:pt>
                <c:pt idx="272">
                  <c:v>44600</c:v>
                </c:pt>
                <c:pt idx="273">
                  <c:v>44601</c:v>
                </c:pt>
                <c:pt idx="274">
                  <c:v>44602</c:v>
                </c:pt>
                <c:pt idx="275">
                  <c:v>44603</c:v>
                </c:pt>
                <c:pt idx="276">
                  <c:v>44606</c:v>
                </c:pt>
                <c:pt idx="277">
                  <c:v>44607</c:v>
                </c:pt>
                <c:pt idx="278">
                  <c:v>44608</c:v>
                </c:pt>
                <c:pt idx="279">
                  <c:v>44609</c:v>
                </c:pt>
                <c:pt idx="280">
                  <c:v>44610</c:v>
                </c:pt>
                <c:pt idx="281">
                  <c:v>44613</c:v>
                </c:pt>
                <c:pt idx="282">
                  <c:v>44614</c:v>
                </c:pt>
                <c:pt idx="283">
                  <c:v>44615</c:v>
                </c:pt>
                <c:pt idx="284">
                  <c:v>44616</c:v>
                </c:pt>
                <c:pt idx="285">
                  <c:v>44617</c:v>
                </c:pt>
                <c:pt idx="286">
                  <c:v>44620</c:v>
                </c:pt>
                <c:pt idx="287">
                  <c:v>44622</c:v>
                </c:pt>
                <c:pt idx="288">
                  <c:v>44623</c:v>
                </c:pt>
                <c:pt idx="289">
                  <c:v>44624</c:v>
                </c:pt>
                <c:pt idx="290">
                  <c:v>44627</c:v>
                </c:pt>
                <c:pt idx="291">
                  <c:v>44628</c:v>
                </c:pt>
                <c:pt idx="292">
                  <c:v>44629</c:v>
                </c:pt>
                <c:pt idx="293">
                  <c:v>44630</c:v>
                </c:pt>
                <c:pt idx="294">
                  <c:v>44631</c:v>
                </c:pt>
                <c:pt idx="295">
                  <c:v>44634</c:v>
                </c:pt>
                <c:pt idx="296">
                  <c:v>44635</c:v>
                </c:pt>
                <c:pt idx="297">
                  <c:v>44636</c:v>
                </c:pt>
                <c:pt idx="298">
                  <c:v>44637</c:v>
                </c:pt>
                <c:pt idx="299">
                  <c:v>44641</c:v>
                </c:pt>
                <c:pt idx="300">
                  <c:v>44642</c:v>
                </c:pt>
                <c:pt idx="301">
                  <c:v>44643</c:v>
                </c:pt>
                <c:pt idx="302">
                  <c:v>44644</c:v>
                </c:pt>
                <c:pt idx="303">
                  <c:v>44645</c:v>
                </c:pt>
                <c:pt idx="304">
                  <c:v>44648</c:v>
                </c:pt>
                <c:pt idx="305">
                  <c:v>44649</c:v>
                </c:pt>
                <c:pt idx="306">
                  <c:v>44650</c:v>
                </c:pt>
                <c:pt idx="307">
                  <c:v>44651</c:v>
                </c:pt>
                <c:pt idx="308">
                  <c:v>44652</c:v>
                </c:pt>
                <c:pt idx="309">
                  <c:v>44655</c:v>
                </c:pt>
                <c:pt idx="310">
                  <c:v>44656</c:v>
                </c:pt>
                <c:pt idx="311">
                  <c:v>44657</c:v>
                </c:pt>
                <c:pt idx="312">
                  <c:v>44658</c:v>
                </c:pt>
                <c:pt idx="313">
                  <c:v>44659</c:v>
                </c:pt>
                <c:pt idx="314">
                  <c:v>44662</c:v>
                </c:pt>
                <c:pt idx="315">
                  <c:v>44663</c:v>
                </c:pt>
                <c:pt idx="316">
                  <c:v>44664</c:v>
                </c:pt>
                <c:pt idx="317">
                  <c:v>44669</c:v>
                </c:pt>
                <c:pt idx="318">
                  <c:v>44670</c:v>
                </c:pt>
                <c:pt idx="319">
                  <c:v>44671</c:v>
                </c:pt>
                <c:pt idx="320">
                  <c:v>44672</c:v>
                </c:pt>
                <c:pt idx="321">
                  <c:v>44673</c:v>
                </c:pt>
                <c:pt idx="322">
                  <c:v>44676</c:v>
                </c:pt>
                <c:pt idx="323">
                  <c:v>44677</c:v>
                </c:pt>
                <c:pt idx="324">
                  <c:v>44678</c:v>
                </c:pt>
                <c:pt idx="325">
                  <c:v>44679</c:v>
                </c:pt>
                <c:pt idx="326">
                  <c:v>44680</c:v>
                </c:pt>
                <c:pt idx="327">
                  <c:v>44683</c:v>
                </c:pt>
                <c:pt idx="328">
                  <c:v>44685</c:v>
                </c:pt>
                <c:pt idx="329">
                  <c:v>44686</c:v>
                </c:pt>
                <c:pt idx="330">
                  <c:v>44687</c:v>
                </c:pt>
                <c:pt idx="331">
                  <c:v>44690</c:v>
                </c:pt>
                <c:pt idx="332">
                  <c:v>44691</c:v>
                </c:pt>
                <c:pt idx="333">
                  <c:v>44692</c:v>
                </c:pt>
                <c:pt idx="334">
                  <c:v>44693</c:v>
                </c:pt>
                <c:pt idx="335">
                  <c:v>44694</c:v>
                </c:pt>
                <c:pt idx="336">
                  <c:v>44697</c:v>
                </c:pt>
                <c:pt idx="337">
                  <c:v>44698</c:v>
                </c:pt>
                <c:pt idx="338">
                  <c:v>44699</c:v>
                </c:pt>
                <c:pt idx="339">
                  <c:v>44700</c:v>
                </c:pt>
                <c:pt idx="340">
                  <c:v>44701</c:v>
                </c:pt>
                <c:pt idx="341">
                  <c:v>44704</c:v>
                </c:pt>
                <c:pt idx="342">
                  <c:v>44705</c:v>
                </c:pt>
                <c:pt idx="343">
                  <c:v>44706</c:v>
                </c:pt>
                <c:pt idx="344">
                  <c:v>44707</c:v>
                </c:pt>
                <c:pt idx="345">
                  <c:v>44708</c:v>
                </c:pt>
                <c:pt idx="346">
                  <c:v>44711</c:v>
                </c:pt>
                <c:pt idx="347">
                  <c:v>44712</c:v>
                </c:pt>
                <c:pt idx="348">
                  <c:v>44713</c:v>
                </c:pt>
                <c:pt idx="349">
                  <c:v>44714</c:v>
                </c:pt>
                <c:pt idx="350">
                  <c:v>44715</c:v>
                </c:pt>
                <c:pt idx="351">
                  <c:v>44718</c:v>
                </c:pt>
                <c:pt idx="352">
                  <c:v>44719</c:v>
                </c:pt>
                <c:pt idx="353">
                  <c:v>44720</c:v>
                </c:pt>
                <c:pt idx="354">
                  <c:v>44721</c:v>
                </c:pt>
                <c:pt idx="355">
                  <c:v>44722</c:v>
                </c:pt>
                <c:pt idx="356">
                  <c:v>44725</c:v>
                </c:pt>
                <c:pt idx="357">
                  <c:v>44726</c:v>
                </c:pt>
                <c:pt idx="358">
                  <c:v>44727</c:v>
                </c:pt>
                <c:pt idx="359">
                  <c:v>44728</c:v>
                </c:pt>
                <c:pt idx="360">
                  <c:v>44729</c:v>
                </c:pt>
                <c:pt idx="361">
                  <c:v>44732</c:v>
                </c:pt>
                <c:pt idx="362">
                  <c:v>44733</c:v>
                </c:pt>
                <c:pt idx="363">
                  <c:v>44734</c:v>
                </c:pt>
                <c:pt idx="364">
                  <c:v>44735</c:v>
                </c:pt>
                <c:pt idx="365">
                  <c:v>44736</c:v>
                </c:pt>
                <c:pt idx="366">
                  <c:v>44739</c:v>
                </c:pt>
                <c:pt idx="367">
                  <c:v>44740</c:v>
                </c:pt>
                <c:pt idx="368">
                  <c:v>44741</c:v>
                </c:pt>
                <c:pt idx="369">
                  <c:v>44742</c:v>
                </c:pt>
                <c:pt idx="370">
                  <c:v>44743</c:v>
                </c:pt>
                <c:pt idx="371">
                  <c:v>44746</c:v>
                </c:pt>
                <c:pt idx="372">
                  <c:v>44747</c:v>
                </c:pt>
                <c:pt idx="373">
                  <c:v>44748</c:v>
                </c:pt>
                <c:pt idx="374">
                  <c:v>44749</c:v>
                </c:pt>
                <c:pt idx="375">
                  <c:v>44750</c:v>
                </c:pt>
                <c:pt idx="376">
                  <c:v>44753</c:v>
                </c:pt>
                <c:pt idx="377">
                  <c:v>44754</c:v>
                </c:pt>
                <c:pt idx="378">
                  <c:v>44755</c:v>
                </c:pt>
                <c:pt idx="379">
                  <c:v>44756</c:v>
                </c:pt>
                <c:pt idx="380">
                  <c:v>44757</c:v>
                </c:pt>
                <c:pt idx="381">
                  <c:v>44760</c:v>
                </c:pt>
                <c:pt idx="382">
                  <c:v>44761</c:v>
                </c:pt>
                <c:pt idx="383">
                  <c:v>44762</c:v>
                </c:pt>
                <c:pt idx="384">
                  <c:v>44763</c:v>
                </c:pt>
                <c:pt idx="385">
                  <c:v>44764</c:v>
                </c:pt>
                <c:pt idx="386">
                  <c:v>44767</c:v>
                </c:pt>
                <c:pt idx="387">
                  <c:v>44768</c:v>
                </c:pt>
                <c:pt idx="388">
                  <c:v>44769</c:v>
                </c:pt>
                <c:pt idx="389">
                  <c:v>44770</c:v>
                </c:pt>
                <c:pt idx="390">
                  <c:v>44771</c:v>
                </c:pt>
                <c:pt idx="391">
                  <c:v>44774</c:v>
                </c:pt>
                <c:pt idx="392">
                  <c:v>44775</c:v>
                </c:pt>
                <c:pt idx="393">
                  <c:v>44776</c:v>
                </c:pt>
                <c:pt idx="394">
                  <c:v>44777</c:v>
                </c:pt>
                <c:pt idx="395">
                  <c:v>44778</c:v>
                </c:pt>
                <c:pt idx="396">
                  <c:v>44781</c:v>
                </c:pt>
                <c:pt idx="397">
                  <c:v>44783</c:v>
                </c:pt>
                <c:pt idx="398">
                  <c:v>44784</c:v>
                </c:pt>
                <c:pt idx="399">
                  <c:v>44785</c:v>
                </c:pt>
                <c:pt idx="400">
                  <c:v>44789</c:v>
                </c:pt>
                <c:pt idx="401">
                  <c:v>44790</c:v>
                </c:pt>
                <c:pt idx="402">
                  <c:v>44791</c:v>
                </c:pt>
                <c:pt idx="403">
                  <c:v>44792</c:v>
                </c:pt>
                <c:pt idx="404">
                  <c:v>44795</c:v>
                </c:pt>
                <c:pt idx="405">
                  <c:v>44796</c:v>
                </c:pt>
                <c:pt idx="406">
                  <c:v>44797</c:v>
                </c:pt>
                <c:pt idx="407">
                  <c:v>44798</c:v>
                </c:pt>
                <c:pt idx="408">
                  <c:v>44799</c:v>
                </c:pt>
                <c:pt idx="409">
                  <c:v>44802</c:v>
                </c:pt>
                <c:pt idx="410">
                  <c:v>44803</c:v>
                </c:pt>
                <c:pt idx="411">
                  <c:v>44805</c:v>
                </c:pt>
                <c:pt idx="412">
                  <c:v>44806</c:v>
                </c:pt>
                <c:pt idx="413">
                  <c:v>44809</c:v>
                </c:pt>
                <c:pt idx="414">
                  <c:v>44810</c:v>
                </c:pt>
                <c:pt idx="415">
                  <c:v>44811</c:v>
                </c:pt>
                <c:pt idx="416">
                  <c:v>44812</c:v>
                </c:pt>
                <c:pt idx="417">
                  <c:v>44813</c:v>
                </c:pt>
                <c:pt idx="418">
                  <c:v>44816</c:v>
                </c:pt>
                <c:pt idx="419">
                  <c:v>44817</c:v>
                </c:pt>
                <c:pt idx="420">
                  <c:v>44818</c:v>
                </c:pt>
                <c:pt idx="421">
                  <c:v>44819</c:v>
                </c:pt>
                <c:pt idx="422">
                  <c:v>44820</c:v>
                </c:pt>
                <c:pt idx="423">
                  <c:v>44823</c:v>
                </c:pt>
                <c:pt idx="424">
                  <c:v>44824</c:v>
                </c:pt>
                <c:pt idx="425">
                  <c:v>44825</c:v>
                </c:pt>
                <c:pt idx="426">
                  <c:v>44826</c:v>
                </c:pt>
                <c:pt idx="427">
                  <c:v>44827</c:v>
                </c:pt>
                <c:pt idx="428">
                  <c:v>44830</c:v>
                </c:pt>
                <c:pt idx="429">
                  <c:v>44831</c:v>
                </c:pt>
                <c:pt idx="430">
                  <c:v>44832</c:v>
                </c:pt>
                <c:pt idx="431">
                  <c:v>44833</c:v>
                </c:pt>
                <c:pt idx="432">
                  <c:v>44834</c:v>
                </c:pt>
                <c:pt idx="433">
                  <c:v>44837</c:v>
                </c:pt>
                <c:pt idx="434">
                  <c:v>44838</c:v>
                </c:pt>
                <c:pt idx="435">
                  <c:v>44840</c:v>
                </c:pt>
                <c:pt idx="436">
                  <c:v>44841</c:v>
                </c:pt>
                <c:pt idx="437">
                  <c:v>44844</c:v>
                </c:pt>
                <c:pt idx="438">
                  <c:v>44845</c:v>
                </c:pt>
                <c:pt idx="439">
                  <c:v>44846</c:v>
                </c:pt>
                <c:pt idx="440">
                  <c:v>44847</c:v>
                </c:pt>
                <c:pt idx="441">
                  <c:v>44848</c:v>
                </c:pt>
                <c:pt idx="442">
                  <c:v>44851</c:v>
                </c:pt>
                <c:pt idx="443">
                  <c:v>44852</c:v>
                </c:pt>
                <c:pt idx="444">
                  <c:v>44853</c:v>
                </c:pt>
                <c:pt idx="445">
                  <c:v>44854</c:v>
                </c:pt>
                <c:pt idx="446">
                  <c:v>44855</c:v>
                </c:pt>
                <c:pt idx="447">
                  <c:v>44858</c:v>
                </c:pt>
                <c:pt idx="448">
                  <c:v>44859</c:v>
                </c:pt>
                <c:pt idx="449">
                  <c:v>44861</c:v>
                </c:pt>
                <c:pt idx="450">
                  <c:v>44862</c:v>
                </c:pt>
                <c:pt idx="451">
                  <c:v>44865</c:v>
                </c:pt>
                <c:pt idx="452">
                  <c:v>44866</c:v>
                </c:pt>
                <c:pt idx="453">
                  <c:v>44867</c:v>
                </c:pt>
                <c:pt idx="454">
                  <c:v>44868</c:v>
                </c:pt>
                <c:pt idx="455">
                  <c:v>44869</c:v>
                </c:pt>
                <c:pt idx="456">
                  <c:v>44872</c:v>
                </c:pt>
                <c:pt idx="457">
                  <c:v>44874</c:v>
                </c:pt>
                <c:pt idx="458">
                  <c:v>44875</c:v>
                </c:pt>
                <c:pt idx="459">
                  <c:v>44876</c:v>
                </c:pt>
                <c:pt idx="460">
                  <c:v>44879</c:v>
                </c:pt>
                <c:pt idx="461">
                  <c:v>44880</c:v>
                </c:pt>
                <c:pt idx="462">
                  <c:v>44881</c:v>
                </c:pt>
                <c:pt idx="463">
                  <c:v>44882</c:v>
                </c:pt>
                <c:pt idx="464">
                  <c:v>44883</c:v>
                </c:pt>
                <c:pt idx="465">
                  <c:v>44886</c:v>
                </c:pt>
                <c:pt idx="466">
                  <c:v>44887</c:v>
                </c:pt>
                <c:pt idx="467">
                  <c:v>44888</c:v>
                </c:pt>
                <c:pt idx="468">
                  <c:v>44889</c:v>
                </c:pt>
                <c:pt idx="469">
                  <c:v>44890</c:v>
                </c:pt>
                <c:pt idx="470">
                  <c:v>44893</c:v>
                </c:pt>
                <c:pt idx="471">
                  <c:v>44894</c:v>
                </c:pt>
                <c:pt idx="472">
                  <c:v>44895</c:v>
                </c:pt>
                <c:pt idx="473">
                  <c:v>44896</c:v>
                </c:pt>
                <c:pt idx="474">
                  <c:v>44897</c:v>
                </c:pt>
                <c:pt idx="475">
                  <c:v>44900</c:v>
                </c:pt>
                <c:pt idx="476">
                  <c:v>44901</c:v>
                </c:pt>
                <c:pt idx="477">
                  <c:v>44902</c:v>
                </c:pt>
                <c:pt idx="478">
                  <c:v>44903</c:v>
                </c:pt>
                <c:pt idx="479">
                  <c:v>44904</c:v>
                </c:pt>
                <c:pt idx="480">
                  <c:v>44907</c:v>
                </c:pt>
                <c:pt idx="481">
                  <c:v>44908</c:v>
                </c:pt>
                <c:pt idx="482">
                  <c:v>44909</c:v>
                </c:pt>
                <c:pt idx="483">
                  <c:v>44910</c:v>
                </c:pt>
                <c:pt idx="484">
                  <c:v>44911</c:v>
                </c:pt>
                <c:pt idx="485">
                  <c:v>44914</c:v>
                </c:pt>
                <c:pt idx="486">
                  <c:v>44915</c:v>
                </c:pt>
                <c:pt idx="487">
                  <c:v>44916</c:v>
                </c:pt>
                <c:pt idx="488">
                  <c:v>44917</c:v>
                </c:pt>
                <c:pt idx="489">
                  <c:v>44918</c:v>
                </c:pt>
                <c:pt idx="490">
                  <c:v>44921</c:v>
                </c:pt>
                <c:pt idx="491">
                  <c:v>44922</c:v>
                </c:pt>
                <c:pt idx="492">
                  <c:v>44923</c:v>
                </c:pt>
                <c:pt idx="493">
                  <c:v>44924</c:v>
                </c:pt>
                <c:pt idx="494">
                  <c:v>44925</c:v>
                </c:pt>
                <c:pt idx="495">
                  <c:v>44928</c:v>
                </c:pt>
                <c:pt idx="496">
                  <c:v>44929</c:v>
                </c:pt>
                <c:pt idx="497">
                  <c:v>44930</c:v>
                </c:pt>
                <c:pt idx="498">
                  <c:v>44931</c:v>
                </c:pt>
                <c:pt idx="499">
                  <c:v>44932</c:v>
                </c:pt>
                <c:pt idx="500">
                  <c:v>44935</c:v>
                </c:pt>
                <c:pt idx="501">
                  <c:v>44936</c:v>
                </c:pt>
                <c:pt idx="502">
                  <c:v>44937</c:v>
                </c:pt>
                <c:pt idx="503">
                  <c:v>44938</c:v>
                </c:pt>
                <c:pt idx="504">
                  <c:v>44939</c:v>
                </c:pt>
                <c:pt idx="505">
                  <c:v>44942</c:v>
                </c:pt>
                <c:pt idx="506">
                  <c:v>44943</c:v>
                </c:pt>
                <c:pt idx="507">
                  <c:v>44944</c:v>
                </c:pt>
                <c:pt idx="508">
                  <c:v>44945</c:v>
                </c:pt>
                <c:pt idx="509">
                  <c:v>44946</c:v>
                </c:pt>
                <c:pt idx="510">
                  <c:v>44949</c:v>
                </c:pt>
                <c:pt idx="511">
                  <c:v>44950</c:v>
                </c:pt>
                <c:pt idx="512">
                  <c:v>44951</c:v>
                </c:pt>
                <c:pt idx="513">
                  <c:v>44953</c:v>
                </c:pt>
                <c:pt idx="514">
                  <c:v>44956</c:v>
                </c:pt>
                <c:pt idx="515">
                  <c:v>44957</c:v>
                </c:pt>
                <c:pt idx="516">
                  <c:v>44958</c:v>
                </c:pt>
                <c:pt idx="517">
                  <c:v>44959</c:v>
                </c:pt>
                <c:pt idx="518">
                  <c:v>44960</c:v>
                </c:pt>
                <c:pt idx="519">
                  <c:v>44963</c:v>
                </c:pt>
                <c:pt idx="520">
                  <c:v>44964</c:v>
                </c:pt>
                <c:pt idx="521">
                  <c:v>44965</c:v>
                </c:pt>
                <c:pt idx="522">
                  <c:v>44966</c:v>
                </c:pt>
                <c:pt idx="523">
                  <c:v>44967</c:v>
                </c:pt>
                <c:pt idx="524">
                  <c:v>44970</c:v>
                </c:pt>
                <c:pt idx="525">
                  <c:v>44971</c:v>
                </c:pt>
                <c:pt idx="526">
                  <c:v>44972</c:v>
                </c:pt>
                <c:pt idx="527">
                  <c:v>44973</c:v>
                </c:pt>
                <c:pt idx="528">
                  <c:v>44974</c:v>
                </c:pt>
                <c:pt idx="529">
                  <c:v>44977</c:v>
                </c:pt>
                <c:pt idx="530">
                  <c:v>44978</c:v>
                </c:pt>
                <c:pt idx="531">
                  <c:v>44979</c:v>
                </c:pt>
                <c:pt idx="532">
                  <c:v>44980</c:v>
                </c:pt>
                <c:pt idx="533">
                  <c:v>44981</c:v>
                </c:pt>
                <c:pt idx="534">
                  <c:v>44984</c:v>
                </c:pt>
                <c:pt idx="535">
                  <c:v>44985</c:v>
                </c:pt>
                <c:pt idx="536">
                  <c:v>44986</c:v>
                </c:pt>
                <c:pt idx="537">
                  <c:v>44987</c:v>
                </c:pt>
                <c:pt idx="538">
                  <c:v>44988</c:v>
                </c:pt>
                <c:pt idx="539">
                  <c:v>44991</c:v>
                </c:pt>
                <c:pt idx="540">
                  <c:v>44993</c:v>
                </c:pt>
                <c:pt idx="541">
                  <c:v>44994</c:v>
                </c:pt>
                <c:pt idx="542">
                  <c:v>44995</c:v>
                </c:pt>
                <c:pt idx="543">
                  <c:v>44998</c:v>
                </c:pt>
                <c:pt idx="544">
                  <c:v>44999</c:v>
                </c:pt>
                <c:pt idx="545">
                  <c:v>45000</c:v>
                </c:pt>
                <c:pt idx="546">
                  <c:v>45001</c:v>
                </c:pt>
                <c:pt idx="547">
                  <c:v>45002</c:v>
                </c:pt>
                <c:pt idx="548">
                  <c:v>45005</c:v>
                </c:pt>
                <c:pt idx="549">
                  <c:v>45006</c:v>
                </c:pt>
                <c:pt idx="550">
                  <c:v>45007</c:v>
                </c:pt>
                <c:pt idx="551">
                  <c:v>45008</c:v>
                </c:pt>
                <c:pt idx="552">
                  <c:v>45009</c:v>
                </c:pt>
                <c:pt idx="553">
                  <c:v>45012</c:v>
                </c:pt>
                <c:pt idx="554">
                  <c:v>45013</c:v>
                </c:pt>
                <c:pt idx="555">
                  <c:v>45014</c:v>
                </c:pt>
                <c:pt idx="556">
                  <c:v>45016</c:v>
                </c:pt>
                <c:pt idx="557">
                  <c:v>45019</c:v>
                </c:pt>
                <c:pt idx="558">
                  <c:v>45021</c:v>
                </c:pt>
                <c:pt idx="559">
                  <c:v>45022</c:v>
                </c:pt>
                <c:pt idx="560">
                  <c:v>45026</c:v>
                </c:pt>
                <c:pt idx="561">
                  <c:v>45027</c:v>
                </c:pt>
                <c:pt idx="562">
                  <c:v>45028</c:v>
                </c:pt>
                <c:pt idx="563">
                  <c:v>45029</c:v>
                </c:pt>
                <c:pt idx="564">
                  <c:v>45033</c:v>
                </c:pt>
                <c:pt idx="565">
                  <c:v>45034</c:v>
                </c:pt>
                <c:pt idx="566">
                  <c:v>45035</c:v>
                </c:pt>
                <c:pt idx="567">
                  <c:v>45036</c:v>
                </c:pt>
                <c:pt idx="568">
                  <c:v>45037</c:v>
                </c:pt>
                <c:pt idx="569">
                  <c:v>45040</c:v>
                </c:pt>
                <c:pt idx="570">
                  <c:v>45041</c:v>
                </c:pt>
                <c:pt idx="571">
                  <c:v>45042</c:v>
                </c:pt>
                <c:pt idx="572">
                  <c:v>45043</c:v>
                </c:pt>
                <c:pt idx="573">
                  <c:v>45044</c:v>
                </c:pt>
                <c:pt idx="574">
                  <c:v>45048</c:v>
                </c:pt>
                <c:pt idx="575">
                  <c:v>45049</c:v>
                </c:pt>
                <c:pt idx="576">
                  <c:v>45050</c:v>
                </c:pt>
                <c:pt idx="577">
                  <c:v>45051</c:v>
                </c:pt>
                <c:pt idx="578">
                  <c:v>45054</c:v>
                </c:pt>
                <c:pt idx="579">
                  <c:v>45055</c:v>
                </c:pt>
                <c:pt idx="580">
                  <c:v>45056</c:v>
                </c:pt>
                <c:pt idx="581">
                  <c:v>45057</c:v>
                </c:pt>
                <c:pt idx="582">
                  <c:v>45058</c:v>
                </c:pt>
                <c:pt idx="583">
                  <c:v>45061</c:v>
                </c:pt>
                <c:pt idx="584">
                  <c:v>45062</c:v>
                </c:pt>
                <c:pt idx="585">
                  <c:v>45063</c:v>
                </c:pt>
                <c:pt idx="586">
                  <c:v>45064</c:v>
                </c:pt>
                <c:pt idx="587">
                  <c:v>45065</c:v>
                </c:pt>
                <c:pt idx="588">
                  <c:v>45068</c:v>
                </c:pt>
                <c:pt idx="589">
                  <c:v>45069</c:v>
                </c:pt>
                <c:pt idx="590">
                  <c:v>45070</c:v>
                </c:pt>
                <c:pt idx="591">
                  <c:v>45071</c:v>
                </c:pt>
                <c:pt idx="592">
                  <c:v>45072</c:v>
                </c:pt>
                <c:pt idx="593">
                  <c:v>45075</c:v>
                </c:pt>
                <c:pt idx="594">
                  <c:v>45076</c:v>
                </c:pt>
                <c:pt idx="595">
                  <c:v>45077</c:v>
                </c:pt>
                <c:pt idx="596">
                  <c:v>45078</c:v>
                </c:pt>
                <c:pt idx="597">
                  <c:v>45079</c:v>
                </c:pt>
                <c:pt idx="598">
                  <c:v>45082</c:v>
                </c:pt>
                <c:pt idx="599">
                  <c:v>45083</c:v>
                </c:pt>
                <c:pt idx="600">
                  <c:v>45084</c:v>
                </c:pt>
                <c:pt idx="601">
                  <c:v>45085</c:v>
                </c:pt>
                <c:pt idx="602">
                  <c:v>45086</c:v>
                </c:pt>
                <c:pt idx="603">
                  <c:v>45089</c:v>
                </c:pt>
                <c:pt idx="604">
                  <c:v>45090</c:v>
                </c:pt>
                <c:pt idx="605">
                  <c:v>45091</c:v>
                </c:pt>
                <c:pt idx="606">
                  <c:v>45092</c:v>
                </c:pt>
                <c:pt idx="607">
                  <c:v>45093</c:v>
                </c:pt>
                <c:pt idx="608">
                  <c:v>45096</c:v>
                </c:pt>
                <c:pt idx="609">
                  <c:v>45097</c:v>
                </c:pt>
                <c:pt idx="610">
                  <c:v>45098</c:v>
                </c:pt>
                <c:pt idx="611">
                  <c:v>45099</c:v>
                </c:pt>
                <c:pt idx="612">
                  <c:v>45100</c:v>
                </c:pt>
                <c:pt idx="613">
                  <c:v>45103</c:v>
                </c:pt>
                <c:pt idx="614">
                  <c:v>45104</c:v>
                </c:pt>
                <c:pt idx="615">
                  <c:v>45105</c:v>
                </c:pt>
                <c:pt idx="616">
                  <c:v>45107</c:v>
                </c:pt>
                <c:pt idx="617">
                  <c:v>45110</c:v>
                </c:pt>
                <c:pt idx="618">
                  <c:v>45111</c:v>
                </c:pt>
                <c:pt idx="619">
                  <c:v>45112</c:v>
                </c:pt>
                <c:pt idx="620">
                  <c:v>45113</c:v>
                </c:pt>
                <c:pt idx="621">
                  <c:v>45114</c:v>
                </c:pt>
                <c:pt idx="622">
                  <c:v>45117</c:v>
                </c:pt>
                <c:pt idx="623">
                  <c:v>45118</c:v>
                </c:pt>
                <c:pt idx="624">
                  <c:v>45119</c:v>
                </c:pt>
                <c:pt idx="625">
                  <c:v>45120</c:v>
                </c:pt>
                <c:pt idx="626">
                  <c:v>45121</c:v>
                </c:pt>
                <c:pt idx="627">
                  <c:v>45124</c:v>
                </c:pt>
                <c:pt idx="628">
                  <c:v>45125</c:v>
                </c:pt>
                <c:pt idx="629">
                  <c:v>45126</c:v>
                </c:pt>
                <c:pt idx="630">
                  <c:v>45127</c:v>
                </c:pt>
                <c:pt idx="631">
                  <c:v>45128</c:v>
                </c:pt>
                <c:pt idx="632">
                  <c:v>45131</c:v>
                </c:pt>
                <c:pt idx="633">
                  <c:v>45132</c:v>
                </c:pt>
                <c:pt idx="634">
                  <c:v>45133</c:v>
                </c:pt>
                <c:pt idx="635">
                  <c:v>45134</c:v>
                </c:pt>
                <c:pt idx="636">
                  <c:v>45135</c:v>
                </c:pt>
                <c:pt idx="637">
                  <c:v>45138</c:v>
                </c:pt>
                <c:pt idx="638">
                  <c:v>45139</c:v>
                </c:pt>
                <c:pt idx="639">
                  <c:v>45140</c:v>
                </c:pt>
                <c:pt idx="640">
                  <c:v>45141</c:v>
                </c:pt>
                <c:pt idx="641">
                  <c:v>45142</c:v>
                </c:pt>
                <c:pt idx="642">
                  <c:v>45145</c:v>
                </c:pt>
                <c:pt idx="643">
                  <c:v>45146</c:v>
                </c:pt>
                <c:pt idx="644">
                  <c:v>45147</c:v>
                </c:pt>
                <c:pt idx="645">
                  <c:v>45148</c:v>
                </c:pt>
                <c:pt idx="646">
                  <c:v>45149</c:v>
                </c:pt>
                <c:pt idx="647">
                  <c:v>45152</c:v>
                </c:pt>
                <c:pt idx="648">
                  <c:v>45154</c:v>
                </c:pt>
                <c:pt idx="649">
                  <c:v>45155</c:v>
                </c:pt>
                <c:pt idx="650">
                  <c:v>45156</c:v>
                </c:pt>
                <c:pt idx="651">
                  <c:v>45159</c:v>
                </c:pt>
                <c:pt idx="652">
                  <c:v>45160</c:v>
                </c:pt>
                <c:pt idx="653">
                  <c:v>45161</c:v>
                </c:pt>
                <c:pt idx="654">
                  <c:v>45162</c:v>
                </c:pt>
                <c:pt idx="655">
                  <c:v>45163</c:v>
                </c:pt>
                <c:pt idx="656">
                  <c:v>45166</c:v>
                </c:pt>
                <c:pt idx="657">
                  <c:v>45167</c:v>
                </c:pt>
                <c:pt idx="658">
                  <c:v>45168</c:v>
                </c:pt>
                <c:pt idx="659">
                  <c:v>45169</c:v>
                </c:pt>
                <c:pt idx="660">
                  <c:v>45170</c:v>
                </c:pt>
                <c:pt idx="661">
                  <c:v>45173</c:v>
                </c:pt>
                <c:pt idx="662">
                  <c:v>45174</c:v>
                </c:pt>
                <c:pt idx="663">
                  <c:v>45175</c:v>
                </c:pt>
                <c:pt idx="664">
                  <c:v>45176</c:v>
                </c:pt>
                <c:pt idx="665">
                  <c:v>45177</c:v>
                </c:pt>
                <c:pt idx="666">
                  <c:v>45180</c:v>
                </c:pt>
                <c:pt idx="667">
                  <c:v>45181</c:v>
                </c:pt>
                <c:pt idx="668">
                  <c:v>45182</c:v>
                </c:pt>
                <c:pt idx="669">
                  <c:v>45183</c:v>
                </c:pt>
                <c:pt idx="670">
                  <c:v>45184</c:v>
                </c:pt>
                <c:pt idx="671">
                  <c:v>45187</c:v>
                </c:pt>
                <c:pt idx="672">
                  <c:v>45189</c:v>
                </c:pt>
                <c:pt idx="673">
                  <c:v>45190</c:v>
                </c:pt>
                <c:pt idx="674">
                  <c:v>45191</c:v>
                </c:pt>
                <c:pt idx="675">
                  <c:v>45194</c:v>
                </c:pt>
                <c:pt idx="676">
                  <c:v>45195</c:v>
                </c:pt>
                <c:pt idx="677">
                  <c:v>45196</c:v>
                </c:pt>
                <c:pt idx="678">
                  <c:v>45197</c:v>
                </c:pt>
                <c:pt idx="679">
                  <c:v>45198</c:v>
                </c:pt>
                <c:pt idx="680">
                  <c:v>45202</c:v>
                </c:pt>
                <c:pt idx="681">
                  <c:v>45203</c:v>
                </c:pt>
                <c:pt idx="682">
                  <c:v>45204</c:v>
                </c:pt>
                <c:pt idx="683">
                  <c:v>45205</c:v>
                </c:pt>
                <c:pt idx="684">
                  <c:v>45208</c:v>
                </c:pt>
                <c:pt idx="685">
                  <c:v>45209</c:v>
                </c:pt>
                <c:pt idx="686">
                  <c:v>45210</c:v>
                </c:pt>
                <c:pt idx="687">
                  <c:v>45211</c:v>
                </c:pt>
                <c:pt idx="688">
                  <c:v>45212</c:v>
                </c:pt>
                <c:pt idx="689">
                  <c:v>45215</c:v>
                </c:pt>
                <c:pt idx="690">
                  <c:v>45216</c:v>
                </c:pt>
                <c:pt idx="691">
                  <c:v>45217</c:v>
                </c:pt>
                <c:pt idx="692">
                  <c:v>45218</c:v>
                </c:pt>
                <c:pt idx="693">
                  <c:v>45219</c:v>
                </c:pt>
                <c:pt idx="694">
                  <c:v>45222</c:v>
                </c:pt>
                <c:pt idx="695">
                  <c:v>45224</c:v>
                </c:pt>
                <c:pt idx="696">
                  <c:v>45225</c:v>
                </c:pt>
                <c:pt idx="697">
                  <c:v>45226</c:v>
                </c:pt>
                <c:pt idx="698">
                  <c:v>45229</c:v>
                </c:pt>
                <c:pt idx="699">
                  <c:v>45230</c:v>
                </c:pt>
                <c:pt idx="700">
                  <c:v>45231</c:v>
                </c:pt>
                <c:pt idx="701">
                  <c:v>45232</c:v>
                </c:pt>
                <c:pt idx="702">
                  <c:v>45233</c:v>
                </c:pt>
                <c:pt idx="703">
                  <c:v>45236</c:v>
                </c:pt>
                <c:pt idx="704">
                  <c:v>45237</c:v>
                </c:pt>
                <c:pt idx="705">
                  <c:v>45238</c:v>
                </c:pt>
                <c:pt idx="706">
                  <c:v>45239</c:v>
                </c:pt>
                <c:pt idx="707">
                  <c:v>45240</c:v>
                </c:pt>
                <c:pt idx="708">
                  <c:v>45242</c:v>
                </c:pt>
                <c:pt idx="709">
                  <c:v>45243</c:v>
                </c:pt>
                <c:pt idx="710">
                  <c:v>45245</c:v>
                </c:pt>
                <c:pt idx="711">
                  <c:v>45246</c:v>
                </c:pt>
                <c:pt idx="712">
                  <c:v>45247</c:v>
                </c:pt>
                <c:pt idx="713">
                  <c:v>45250</c:v>
                </c:pt>
                <c:pt idx="714">
                  <c:v>45251</c:v>
                </c:pt>
                <c:pt idx="715">
                  <c:v>45252</c:v>
                </c:pt>
                <c:pt idx="716">
                  <c:v>45253</c:v>
                </c:pt>
                <c:pt idx="717">
                  <c:v>45254</c:v>
                </c:pt>
                <c:pt idx="718">
                  <c:v>45258</c:v>
                </c:pt>
                <c:pt idx="719">
                  <c:v>45259</c:v>
                </c:pt>
                <c:pt idx="720">
                  <c:v>45260</c:v>
                </c:pt>
                <c:pt idx="721">
                  <c:v>45261</c:v>
                </c:pt>
                <c:pt idx="722">
                  <c:v>45264</c:v>
                </c:pt>
                <c:pt idx="723">
                  <c:v>45265</c:v>
                </c:pt>
                <c:pt idx="724">
                  <c:v>45266</c:v>
                </c:pt>
                <c:pt idx="725">
                  <c:v>45267</c:v>
                </c:pt>
                <c:pt idx="726">
                  <c:v>45268</c:v>
                </c:pt>
                <c:pt idx="727">
                  <c:v>45271</c:v>
                </c:pt>
                <c:pt idx="728">
                  <c:v>45272</c:v>
                </c:pt>
                <c:pt idx="729">
                  <c:v>45273</c:v>
                </c:pt>
                <c:pt idx="730">
                  <c:v>45274</c:v>
                </c:pt>
                <c:pt idx="731">
                  <c:v>45275</c:v>
                </c:pt>
                <c:pt idx="732">
                  <c:v>45278</c:v>
                </c:pt>
                <c:pt idx="733">
                  <c:v>45279</c:v>
                </c:pt>
                <c:pt idx="734">
                  <c:v>45280</c:v>
                </c:pt>
                <c:pt idx="735">
                  <c:v>45281</c:v>
                </c:pt>
                <c:pt idx="736">
                  <c:v>45282</c:v>
                </c:pt>
                <c:pt idx="737">
                  <c:v>45286</c:v>
                </c:pt>
                <c:pt idx="738">
                  <c:v>45287</c:v>
                </c:pt>
                <c:pt idx="739">
                  <c:v>45288</c:v>
                </c:pt>
                <c:pt idx="740">
                  <c:v>45289</c:v>
                </c:pt>
                <c:pt idx="741">
                  <c:v>45292</c:v>
                </c:pt>
                <c:pt idx="742">
                  <c:v>45293</c:v>
                </c:pt>
                <c:pt idx="743">
                  <c:v>45294</c:v>
                </c:pt>
                <c:pt idx="744">
                  <c:v>45295</c:v>
                </c:pt>
                <c:pt idx="745">
                  <c:v>45296</c:v>
                </c:pt>
                <c:pt idx="746">
                  <c:v>45299</c:v>
                </c:pt>
                <c:pt idx="747">
                  <c:v>45300</c:v>
                </c:pt>
                <c:pt idx="748">
                  <c:v>45301</c:v>
                </c:pt>
                <c:pt idx="749">
                  <c:v>45302</c:v>
                </c:pt>
                <c:pt idx="750">
                  <c:v>45303</c:v>
                </c:pt>
                <c:pt idx="751">
                  <c:v>45306</c:v>
                </c:pt>
                <c:pt idx="752">
                  <c:v>45307</c:v>
                </c:pt>
                <c:pt idx="753">
                  <c:v>45308</c:v>
                </c:pt>
                <c:pt idx="754">
                  <c:v>45309</c:v>
                </c:pt>
                <c:pt idx="755">
                  <c:v>45310</c:v>
                </c:pt>
                <c:pt idx="756">
                  <c:v>45311</c:v>
                </c:pt>
                <c:pt idx="757">
                  <c:v>45314</c:v>
                </c:pt>
                <c:pt idx="758">
                  <c:v>45315</c:v>
                </c:pt>
                <c:pt idx="759">
                  <c:v>45316</c:v>
                </c:pt>
                <c:pt idx="760">
                  <c:v>45320</c:v>
                </c:pt>
                <c:pt idx="761">
                  <c:v>45321</c:v>
                </c:pt>
                <c:pt idx="762">
                  <c:v>45322</c:v>
                </c:pt>
                <c:pt idx="763">
                  <c:v>45323</c:v>
                </c:pt>
                <c:pt idx="764">
                  <c:v>45324</c:v>
                </c:pt>
                <c:pt idx="765">
                  <c:v>45327</c:v>
                </c:pt>
                <c:pt idx="766">
                  <c:v>45328</c:v>
                </c:pt>
                <c:pt idx="767">
                  <c:v>45329</c:v>
                </c:pt>
                <c:pt idx="768">
                  <c:v>45330</c:v>
                </c:pt>
                <c:pt idx="769">
                  <c:v>45331</c:v>
                </c:pt>
                <c:pt idx="770">
                  <c:v>45334</c:v>
                </c:pt>
                <c:pt idx="771">
                  <c:v>45335</c:v>
                </c:pt>
                <c:pt idx="772">
                  <c:v>45336</c:v>
                </c:pt>
                <c:pt idx="773">
                  <c:v>45337</c:v>
                </c:pt>
                <c:pt idx="774">
                  <c:v>45338</c:v>
                </c:pt>
                <c:pt idx="775">
                  <c:v>45341</c:v>
                </c:pt>
                <c:pt idx="776">
                  <c:v>45342</c:v>
                </c:pt>
                <c:pt idx="777">
                  <c:v>45343</c:v>
                </c:pt>
                <c:pt idx="778">
                  <c:v>45344</c:v>
                </c:pt>
                <c:pt idx="779">
                  <c:v>45345</c:v>
                </c:pt>
                <c:pt idx="780">
                  <c:v>45348</c:v>
                </c:pt>
                <c:pt idx="781">
                  <c:v>45349</c:v>
                </c:pt>
                <c:pt idx="782">
                  <c:v>45350</c:v>
                </c:pt>
                <c:pt idx="783">
                  <c:v>45351</c:v>
                </c:pt>
                <c:pt idx="784">
                  <c:v>45352</c:v>
                </c:pt>
                <c:pt idx="785">
                  <c:v>45353</c:v>
                </c:pt>
                <c:pt idx="786">
                  <c:v>45355</c:v>
                </c:pt>
                <c:pt idx="787">
                  <c:v>45356</c:v>
                </c:pt>
                <c:pt idx="788">
                  <c:v>45357</c:v>
                </c:pt>
                <c:pt idx="789">
                  <c:v>45358</c:v>
                </c:pt>
                <c:pt idx="790">
                  <c:v>45362</c:v>
                </c:pt>
                <c:pt idx="791">
                  <c:v>45363</c:v>
                </c:pt>
                <c:pt idx="792">
                  <c:v>45364</c:v>
                </c:pt>
                <c:pt idx="793">
                  <c:v>45365</c:v>
                </c:pt>
                <c:pt idx="794">
                  <c:v>45366</c:v>
                </c:pt>
                <c:pt idx="795">
                  <c:v>45369</c:v>
                </c:pt>
                <c:pt idx="796">
                  <c:v>45370</c:v>
                </c:pt>
                <c:pt idx="797">
                  <c:v>45371</c:v>
                </c:pt>
                <c:pt idx="798">
                  <c:v>45372</c:v>
                </c:pt>
                <c:pt idx="799">
                  <c:v>45373</c:v>
                </c:pt>
                <c:pt idx="800">
                  <c:v>45377</c:v>
                </c:pt>
                <c:pt idx="801">
                  <c:v>45378</c:v>
                </c:pt>
                <c:pt idx="802">
                  <c:v>45379</c:v>
                </c:pt>
                <c:pt idx="803">
                  <c:v>45383</c:v>
                </c:pt>
                <c:pt idx="804">
                  <c:v>45384</c:v>
                </c:pt>
                <c:pt idx="805">
                  <c:v>45385</c:v>
                </c:pt>
                <c:pt idx="806">
                  <c:v>45386</c:v>
                </c:pt>
                <c:pt idx="807">
                  <c:v>45387</c:v>
                </c:pt>
                <c:pt idx="808">
                  <c:v>45390</c:v>
                </c:pt>
                <c:pt idx="809">
                  <c:v>45391</c:v>
                </c:pt>
                <c:pt idx="810">
                  <c:v>45392</c:v>
                </c:pt>
                <c:pt idx="811">
                  <c:v>45394</c:v>
                </c:pt>
                <c:pt idx="812">
                  <c:v>45397</c:v>
                </c:pt>
                <c:pt idx="813">
                  <c:v>45398</c:v>
                </c:pt>
                <c:pt idx="814">
                  <c:v>45400</c:v>
                </c:pt>
                <c:pt idx="815">
                  <c:v>45401</c:v>
                </c:pt>
                <c:pt idx="816">
                  <c:v>45404</c:v>
                </c:pt>
                <c:pt idx="817">
                  <c:v>45405</c:v>
                </c:pt>
                <c:pt idx="818">
                  <c:v>45406</c:v>
                </c:pt>
                <c:pt idx="819">
                  <c:v>45407</c:v>
                </c:pt>
                <c:pt idx="820">
                  <c:v>45408</c:v>
                </c:pt>
                <c:pt idx="821">
                  <c:v>45411</c:v>
                </c:pt>
                <c:pt idx="822">
                  <c:v>45412</c:v>
                </c:pt>
                <c:pt idx="823">
                  <c:v>45414</c:v>
                </c:pt>
                <c:pt idx="824">
                  <c:v>45415</c:v>
                </c:pt>
                <c:pt idx="825">
                  <c:v>45418</c:v>
                </c:pt>
                <c:pt idx="826">
                  <c:v>45419</c:v>
                </c:pt>
                <c:pt idx="827">
                  <c:v>45420</c:v>
                </c:pt>
                <c:pt idx="828">
                  <c:v>45421</c:v>
                </c:pt>
                <c:pt idx="829">
                  <c:v>45422</c:v>
                </c:pt>
                <c:pt idx="830">
                  <c:v>45425</c:v>
                </c:pt>
                <c:pt idx="831">
                  <c:v>45426</c:v>
                </c:pt>
                <c:pt idx="832">
                  <c:v>45427</c:v>
                </c:pt>
                <c:pt idx="833">
                  <c:v>45428</c:v>
                </c:pt>
                <c:pt idx="834">
                  <c:v>45429</c:v>
                </c:pt>
                <c:pt idx="835">
                  <c:v>45430</c:v>
                </c:pt>
                <c:pt idx="836">
                  <c:v>45433</c:v>
                </c:pt>
                <c:pt idx="837">
                  <c:v>45434</c:v>
                </c:pt>
                <c:pt idx="838">
                  <c:v>45435</c:v>
                </c:pt>
                <c:pt idx="839">
                  <c:v>45436</c:v>
                </c:pt>
                <c:pt idx="840">
                  <c:v>45439</c:v>
                </c:pt>
                <c:pt idx="841">
                  <c:v>45440</c:v>
                </c:pt>
                <c:pt idx="842">
                  <c:v>45441</c:v>
                </c:pt>
                <c:pt idx="843">
                  <c:v>45442</c:v>
                </c:pt>
                <c:pt idx="844">
                  <c:v>45443</c:v>
                </c:pt>
                <c:pt idx="845">
                  <c:v>45446</c:v>
                </c:pt>
                <c:pt idx="846">
                  <c:v>45447</c:v>
                </c:pt>
                <c:pt idx="847">
                  <c:v>45448</c:v>
                </c:pt>
                <c:pt idx="848">
                  <c:v>45449</c:v>
                </c:pt>
                <c:pt idx="849">
                  <c:v>45450</c:v>
                </c:pt>
                <c:pt idx="850">
                  <c:v>45453</c:v>
                </c:pt>
                <c:pt idx="851">
                  <c:v>45454</c:v>
                </c:pt>
                <c:pt idx="852">
                  <c:v>45455</c:v>
                </c:pt>
                <c:pt idx="853">
                  <c:v>45456</c:v>
                </c:pt>
                <c:pt idx="854">
                  <c:v>45457</c:v>
                </c:pt>
                <c:pt idx="855">
                  <c:v>45461</c:v>
                </c:pt>
                <c:pt idx="856">
                  <c:v>45462</c:v>
                </c:pt>
                <c:pt idx="857">
                  <c:v>45463</c:v>
                </c:pt>
                <c:pt idx="858">
                  <c:v>45464</c:v>
                </c:pt>
                <c:pt idx="859">
                  <c:v>45467</c:v>
                </c:pt>
                <c:pt idx="860">
                  <c:v>45468</c:v>
                </c:pt>
                <c:pt idx="861">
                  <c:v>45469</c:v>
                </c:pt>
                <c:pt idx="862">
                  <c:v>45470</c:v>
                </c:pt>
                <c:pt idx="863">
                  <c:v>45471</c:v>
                </c:pt>
                <c:pt idx="864">
                  <c:v>45474</c:v>
                </c:pt>
                <c:pt idx="865">
                  <c:v>45475</c:v>
                </c:pt>
                <c:pt idx="866">
                  <c:v>45476</c:v>
                </c:pt>
                <c:pt idx="867">
                  <c:v>45477</c:v>
                </c:pt>
                <c:pt idx="868">
                  <c:v>45478</c:v>
                </c:pt>
                <c:pt idx="869">
                  <c:v>45481</c:v>
                </c:pt>
                <c:pt idx="870">
                  <c:v>45482</c:v>
                </c:pt>
                <c:pt idx="871">
                  <c:v>45483</c:v>
                </c:pt>
                <c:pt idx="872">
                  <c:v>45484</c:v>
                </c:pt>
                <c:pt idx="873">
                  <c:v>45485</c:v>
                </c:pt>
                <c:pt idx="874">
                  <c:v>45488</c:v>
                </c:pt>
                <c:pt idx="875">
                  <c:v>45489</c:v>
                </c:pt>
                <c:pt idx="876">
                  <c:v>45491</c:v>
                </c:pt>
                <c:pt idx="877">
                  <c:v>45492</c:v>
                </c:pt>
                <c:pt idx="878">
                  <c:v>45495</c:v>
                </c:pt>
                <c:pt idx="879">
                  <c:v>45496</c:v>
                </c:pt>
                <c:pt idx="880">
                  <c:v>45497</c:v>
                </c:pt>
                <c:pt idx="881">
                  <c:v>45498</c:v>
                </c:pt>
                <c:pt idx="882">
                  <c:v>45499</c:v>
                </c:pt>
                <c:pt idx="883">
                  <c:v>45502</c:v>
                </c:pt>
                <c:pt idx="884">
                  <c:v>45503</c:v>
                </c:pt>
                <c:pt idx="885">
                  <c:v>45504</c:v>
                </c:pt>
                <c:pt idx="886">
                  <c:v>45505</c:v>
                </c:pt>
                <c:pt idx="887">
                  <c:v>45506</c:v>
                </c:pt>
                <c:pt idx="888">
                  <c:v>45509</c:v>
                </c:pt>
                <c:pt idx="889">
                  <c:v>45510</c:v>
                </c:pt>
                <c:pt idx="890">
                  <c:v>45511</c:v>
                </c:pt>
                <c:pt idx="891">
                  <c:v>45512</c:v>
                </c:pt>
                <c:pt idx="892">
                  <c:v>45513</c:v>
                </c:pt>
                <c:pt idx="893">
                  <c:v>45516</c:v>
                </c:pt>
                <c:pt idx="894">
                  <c:v>45517</c:v>
                </c:pt>
                <c:pt idx="895">
                  <c:v>45518</c:v>
                </c:pt>
                <c:pt idx="896">
                  <c:v>45520</c:v>
                </c:pt>
                <c:pt idx="897">
                  <c:v>45523</c:v>
                </c:pt>
                <c:pt idx="898">
                  <c:v>45524</c:v>
                </c:pt>
                <c:pt idx="899">
                  <c:v>45525</c:v>
                </c:pt>
                <c:pt idx="900">
                  <c:v>45526</c:v>
                </c:pt>
                <c:pt idx="901">
                  <c:v>45527</c:v>
                </c:pt>
                <c:pt idx="902">
                  <c:v>45530</c:v>
                </c:pt>
                <c:pt idx="903">
                  <c:v>45531</c:v>
                </c:pt>
                <c:pt idx="904">
                  <c:v>45532</c:v>
                </c:pt>
                <c:pt idx="905">
                  <c:v>45533</c:v>
                </c:pt>
                <c:pt idx="906">
                  <c:v>45534</c:v>
                </c:pt>
                <c:pt idx="907">
                  <c:v>45537</c:v>
                </c:pt>
                <c:pt idx="908">
                  <c:v>45538</c:v>
                </c:pt>
                <c:pt idx="909">
                  <c:v>45539</c:v>
                </c:pt>
                <c:pt idx="910">
                  <c:v>45540</c:v>
                </c:pt>
                <c:pt idx="911">
                  <c:v>45541</c:v>
                </c:pt>
                <c:pt idx="912">
                  <c:v>45544</c:v>
                </c:pt>
                <c:pt idx="913">
                  <c:v>45545</c:v>
                </c:pt>
                <c:pt idx="914">
                  <c:v>45546</c:v>
                </c:pt>
                <c:pt idx="915">
                  <c:v>45547</c:v>
                </c:pt>
                <c:pt idx="916">
                  <c:v>45548</c:v>
                </c:pt>
                <c:pt idx="917">
                  <c:v>45551</c:v>
                </c:pt>
                <c:pt idx="918">
                  <c:v>45552</c:v>
                </c:pt>
                <c:pt idx="919">
                  <c:v>45553</c:v>
                </c:pt>
                <c:pt idx="920">
                  <c:v>45554</c:v>
                </c:pt>
                <c:pt idx="921">
                  <c:v>45555</c:v>
                </c:pt>
                <c:pt idx="922">
                  <c:v>45558</c:v>
                </c:pt>
                <c:pt idx="923">
                  <c:v>45559</c:v>
                </c:pt>
                <c:pt idx="924">
                  <c:v>45560</c:v>
                </c:pt>
                <c:pt idx="925">
                  <c:v>45561</c:v>
                </c:pt>
                <c:pt idx="926">
                  <c:v>45562</c:v>
                </c:pt>
                <c:pt idx="927">
                  <c:v>45565</c:v>
                </c:pt>
                <c:pt idx="928">
                  <c:v>45566</c:v>
                </c:pt>
                <c:pt idx="929">
                  <c:v>45568</c:v>
                </c:pt>
                <c:pt idx="930">
                  <c:v>45569</c:v>
                </c:pt>
                <c:pt idx="931">
                  <c:v>45572</c:v>
                </c:pt>
                <c:pt idx="932">
                  <c:v>45573</c:v>
                </c:pt>
                <c:pt idx="933">
                  <c:v>45574</c:v>
                </c:pt>
                <c:pt idx="934">
                  <c:v>45575</c:v>
                </c:pt>
                <c:pt idx="935">
                  <c:v>45576</c:v>
                </c:pt>
                <c:pt idx="936">
                  <c:v>45579</c:v>
                </c:pt>
                <c:pt idx="937">
                  <c:v>45580</c:v>
                </c:pt>
                <c:pt idx="938">
                  <c:v>45581</c:v>
                </c:pt>
                <c:pt idx="939">
                  <c:v>45582</c:v>
                </c:pt>
                <c:pt idx="940">
                  <c:v>45583</c:v>
                </c:pt>
                <c:pt idx="941">
                  <c:v>45586</c:v>
                </c:pt>
                <c:pt idx="942">
                  <c:v>45587</c:v>
                </c:pt>
                <c:pt idx="943">
                  <c:v>45588</c:v>
                </c:pt>
                <c:pt idx="944">
                  <c:v>45589</c:v>
                </c:pt>
                <c:pt idx="945">
                  <c:v>45590</c:v>
                </c:pt>
                <c:pt idx="946">
                  <c:v>45593</c:v>
                </c:pt>
                <c:pt idx="947">
                  <c:v>45594</c:v>
                </c:pt>
                <c:pt idx="948">
                  <c:v>45595</c:v>
                </c:pt>
                <c:pt idx="949">
                  <c:v>45596</c:v>
                </c:pt>
                <c:pt idx="950">
                  <c:v>45597</c:v>
                </c:pt>
                <c:pt idx="951">
                  <c:v>45600</c:v>
                </c:pt>
                <c:pt idx="952">
                  <c:v>45601</c:v>
                </c:pt>
                <c:pt idx="953">
                  <c:v>45602</c:v>
                </c:pt>
                <c:pt idx="954">
                  <c:v>45603</c:v>
                </c:pt>
                <c:pt idx="955">
                  <c:v>45604</c:v>
                </c:pt>
                <c:pt idx="956">
                  <c:v>45607</c:v>
                </c:pt>
                <c:pt idx="957">
                  <c:v>45608</c:v>
                </c:pt>
                <c:pt idx="958">
                  <c:v>45609</c:v>
                </c:pt>
                <c:pt idx="959">
                  <c:v>45610</c:v>
                </c:pt>
                <c:pt idx="960">
                  <c:v>45614</c:v>
                </c:pt>
                <c:pt idx="961">
                  <c:v>45615</c:v>
                </c:pt>
                <c:pt idx="962">
                  <c:v>45617</c:v>
                </c:pt>
                <c:pt idx="963">
                  <c:v>45618</c:v>
                </c:pt>
                <c:pt idx="964">
                  <c:v>45621</c:v>
                </c:pt>
                <c:pt idx="965">
                  <c:v>45622</c:v>
                </c:pt>
                <c:pt idx="966">
                  <c:v>45623</c:v>
                </c:pt>
                <c:pt idx="967">
                  <c:v>45624</c:v>
                </c:pt>
                <c:pt idx="968">
                  <c:v>45625</c:v>
                </c:pt>
                <c:pt idx="969">
                  <c:v>45628</c:v>
                </c:pt>
                <c:pt idx="970">
                  <c:v>45629</c:v>
                </c:pt>
                <c:pt idx="971">
                  <c:v>45630</c:v>
                </c:pt>
                <c:pt idx="972">
                  <c:v>45631</c:v>
                </c:pt>
                <c:pt idx="973">
                  <c:v>45632</c:v>
                </c:pt>
                <c:pt idx="974">
                  <c:v>45635</c:v>
                </c:pt>
                <c:pt idx="975">
                  <c:v>45636</c:v>
                </c:pt>
                <c:pt idx="976">
                  <c:v>45637</c:v>
                </c:pt>
                <c:pt idx="977">
                  <c:v>45638</c:v>
                </c:pt>
                <c:pt idx="978">
                  <c:v>45639</c:v>
                </c:pt>
                <c:pt idx="979">
                  <c:v>45642</c:v>
                </c:pt>
                <c:pt idx="980">
                  <c:v>45643</c:v>
                </c:pt>
                <c:pt idx="981">
                  <c:v>45644</c:v>
                </c:pt>
                <c:pt idx="982">
                  <c:v>45645</c:v>
                </c:pt>
                <c:pt idx="983">
                  <c:v>45646</c:v>
                </c:pt>
                <c:pt idx="984">
                  <c:v>45649</c:v>
                </c:pt>
                <c:pt idx="985">
                  <c:v>45650</c:v>
                </c:pt>
                <c:pt idx="986">
                  <c:v>45652</c:v>
                </c:pt>
                <c:pt idx="987">
                  <c:v>45653</c:v>
                </c:pt>
                <c:pt idx="988">
                  <c:v>45656</c:v>
                </c:pt>
                <c:pt idx="989">
                  <c:v>45657</c:v>
                </c:pt>
                <c:pt idx="990">
                  <c:v>45658</c:v>
                </c:pt>
                <c:pt idx="991">
                  <c:v>45659</c:v>
                </c:pt>
                <c:pt idx="992">
                  <c:v>45660</c:v>
                </c:pt>
                <c:pt idx="993">
                  <c:v>45663</c:v>
                </c:pt>
                <c:pt idx="994">
                  <c:v>45664</c:v>
                </c:pt>
                <c:pt idx="995">
                  <c:v>45665</c:v>
                </c:pt>
                <c:pt idx="996">
                  <c:v>45666</c:v>
                </c:pt>
                <c:pt idx="997">
                  <c:v>45667</c:v>
                </c:pt>
                <c:pt idx="998">
                  <c:v>45670</c:v>
                </c:pt>
                <c:pt idx="999">
                  <c:v>45671</c:v>
                </c:pt>
                <c:pt idx="1000">
                  <c:v>45672</c:v>
                </c:pt>
                <c:pt idx="1001">
                  <c:v>45673</c:v>
                </c:pt>
                <c:pt idx="1002">
                  <c:v>45674</c:v>
                </c:pt>
                <c:pt idx="1003">
                  <c:v>45677</c:v>
                </c:pt>
                <c:pt idx="1004">
                  <c:v>45678</c:v>
                </c:pt>
                <c:pt idx="1005">
                  <c:v>45679</c:v>
                </c:pt>
                <c:pt idx="1006">
                  <c:v>45680</c:v>
                </c:pt>
                <c:pt idx="1007">
                  <c:v>45681</c:v>
                </c:pt>
                <c:pt idx="1008">
                  <c:v>45684</c:v>
                </c:pt>
                <c:pt idx="1009">
                  <c:v>45685</c:v>
                </c:pt>
                <c:pt idx="1010">
                  <c:v>45686</c:v>
                </c:pt>
                <c:pt idx="1011">
                  <c:v>45687</c:v>
                </c:pt>
                <c:pt idx="1012">
                  <c:v>45688</c:v>
                </c:pt>
                <c:pt idx="1013">
                  <c:v>45689</c:v>
                </c:pt>
                <c:pt idx="1014">
                  <c:v>45691</c:v>
                </c:pt>
                <c:pt idx="1015">
                  <c:v>45692</c:v>
                </c:pt>
                <c:pt idx="1016">
                  <c:v>45693</c:v>
                </c:pt>
                <c:pt idx="1017">
                  <c:v>45694</c:v>
                </c:pt>
                <c:pt idx="1018">
                  <c:v>45695</c:v>
                </c:pt>
                <c:pt idx="1019">
                  <c:v>45698</c:v>
                </c:pt>
                <c:pt idx="1020">
                  <c:v>45699</c:v>
                </c:pt>
                <c:pt idx="1021">
                  <c:v>45700</c:v>
                </c:pt>
                <c:pt idx="1022">
                  <c:v>45701</c:v>
                </c:pt>
                <c:pt idx="1023">
                  <c:v>45702</c:v>
                </c:pt>
                <c:pt idx="1024">
                  <c:v>45705</c:v>
                </c:pt>
                <c:pt idx="1025">
                  <c:v>45706</c:v>
                </c:pt>
                <c:pt idx="1026">
                  <c:v>45707</c:v>
                </c:pt>
                <c:pt idx="1027">
                  <c:v>45708</c:v>
                </c:pt>
                <c:pt idx="1028">
                  <c:v>45709</c:v>
                </c:pt>
                <c:pt idx="1029">
                  <c:v>45712</c:v>
                </c:pt>
                <c:pt idx="1030">
                  <c:v>45713</c:v>
                </c:pt>
                <c:pt idx="1031">
                  <c:v>45715</c:v>
                </c:pt>
                <c:pt idx="1032">
                  <c:v>45716</c:v>
                </c:pt>
                <c:pt idx="1033">
                  <c:v>45719</c:v>
                </c:pt>
                <c:pt idx="1034">
                  <c:v>45720</c:v>
                </c:pt>
                <c:pt idx="1035">
                  <c:v>45721</c:v>
                </c:pt>
                <c:pt idx="1036">
                  <c:v>45722</c:v>
                </c:pt>
                <c:pt idx="1037">
                  <c:v>45723</c:v>
                </c:pt>
                <c:pt idx="1038">
                  <c:v>45726</c:v>
                </c:pt>
                <c:pt idx="1039">
                  <c:v>45727</c:v>
                </c:pt>
                <c:pt idx="1040">
                  <c:v>45728</c:v>
                </c:pt>
                <c:pt idx="1041">
                  <c:v>45729</c:v>
                </c:pt>
                <c:pt idx="1042">
                  <c:v>45733</c:v>
                </c:pt>
                <c:pt idx="1043">
                  <c:v>45734</c:v>
                </c:pt>
                <c:pt idx="1044">
                  <c:v>45735</c:v>
                </c:pt>
                <c:pt idx="1045">
                  <c:v>45736</c:v>
                </c:pt>
                <c:pt idx="1046">
                  <c:v>45737</c:v>
                </c:pt>
                <c:pt idx="1047">
                  <c:v>45740</c:v>
                </c:pt>
                <c:pt idx="1048">
                  <c:v>45741</c:v>
                </c:pt>
                <c:pt idx="1049">
                  <c:v>45742</c:v>
                </c:pt>
                <c:pt idx="1050">
                  <c:v>45743</c:v>
                </c:pt>
                <c:pt idx="1051">
                  <c:v>45744</c:v>
                </c:pt>
                <c:pt idx="1052">
                  <c:v>45748</c:v>
                </c:pt>
                <c:pt idx="1053">
                  <c:v>45749</c:v>
                </c:pt>
                <c:pt idx="1054">
                  <c:v>45750</c:v>
                </c:pt>
                <c:pt idx="1055">
                  <c:v>45751</c:v>
                </c:pt>
                <c:pt idx="1056">
                  <c:v>45754</c:v>
                </c:pt>
                <c:pt idx="1057">
                  <c:v>45755</c:v>
                </c:pt>
                <c:pt idx="1058">
                  <c:v>45756</c:v>
                </c:pt>
                <c:pt idx="1059">
                  <c:v>45758</c:v>
                </c:pt>
                <c:pt idx="1060">
                  <c:v>45762</c:v>
                </c:pt>
                <c:pt idx="1061">
                  <c:v>45763</c:v>
                </c:pt>
                <c:pt idx="1062">
                  <c:v>45764</c:v>
                </c:pt>
                <c:pt idx="1063">
                  <c:v>45768</c:v>
                </c:pt>
                <c:pt idx="1064">
                  <c:v>45769</c:v>
                </c:pt>
                <c:pt idx="1065">
                  <c:v>45770</c:v>
                </c:pt>
                <c:pt idx="1066">
                  <c:v>45771</c:v>
                </c:pt>
                <c:pt idx="1067">
                  <c:v>45772</c:v>
                </c:pt>
                <c:pt idx="1068">
                  <c:v>45775</c:v>
                </c:pt>
                <c:pt idx="1069">
                  <c:v>45776</c:v>
                </c:pt>
                <c:pt idx="1070">
                  <c:v>45777</c:v>
                </c:pt>
                <c:pt idx="1071">
                  <c:v>45779</c:v>
                </c:pt>
                <c:pt idx="1072">
                  <c:v>45782</c:v>
                </c:pt>
                <c:pt idx="1073">
                  <c:v>45783</c:v>
                </c:pt>
                <c:pt idx="1074">
                  <c:v>45784</c:v>
                </c:pt>
                <c:pt idx="1075">
                  <c:v>45785</c:v>
                </c:pt>
                <c:pt idx="1076">
                  <c:v>45786</c:v>
                </c:pt>
                <c:pt idx="1077">
                  <c:v>45789</c:v>
                </c:pt>
                <c:pt idx="1078">
                  <c:v>45790</c:v>
                </c:pt>
                <c:pt idx="1079">
                  <c:v>45791</c:v>
                </c:pt>
                <c:pt idx="1080">
                  <c:v>45792</c:v>
                </c:pt>
                <c:pt idx="1081">
                  <c:v>45793</c:v>
                </c:pt>
                <c:pt idx="1082">
                  <c:v>45796</c:v>
                </c:pt>
                <c:pt idx="1083">
                  <c:v>45797</c:v>
                </c:pt>
                <c:pt idx="1084">
                  <c:v>45798</c:v>
                </c:pt>
                <c:pt idx="1085">
                  <c:v>45799</c:v>
                </c:pt>
                <c:pt idx="1086">
                  <c:v>45800</c:v>
                </c:pt>
                <c:pt idx="1087">
                  <c:v>45803</c:v>
                </c:pt>
                <c:pt idx="1088">
                  <c:v>45804</c:v>
                </c:pt>
                <c:pt idx="1089">
                  <c:v>45805</c:v>
                </c:pt>
                <c:pt idx="1090">
                  <c:v>45806</c:v>
                </c:pt>
                <c:pt idx="1091">
                  <c:v>45807</c:v>
                </c:pt>
                <c:pt idx="1092">
                  <c:v>45810</c:v>
                </c:pt>
                <c:pt idx="1093">
                  <c:v>45811</c:v>
                </c:pt>
                <c:pt idx="1094">
                  <c:v>45812</c:v>
                </c:pt>
                <c:pt idx="1095">
                  <c:v>45813</c:v>
                </c:pt>
                <c:pt idx="1096">
                  <c:v>45814</c:v>
                </c:pt>
                <c:pt idx="1097">
                  <c:v>45817</c:v>
                </c:pt>
                <c:pt idx="1098">
                  <c:v>45818</c:v>
                </c:pt>
                <c:pt idx="1099">
                  <c:v>45819</c:v>
                </c:pt>
                <c:pt idx="1100">
                  <c:v>45820</c:v>
                </c:pt>
                <c:pt idx="1101">
                  <c:v>45821</c:v>
                </c:pt>
                <c:pt idx="1102">
                  <c:v>45824</c:v>
                </c:pt>
                <c:pt idx="1103">
                  <c:v>45825</c:v>
                </c:pt>
                <c:pt idx="1104">
                  <c:v>45826</c:v>
                </c:pt>
                <c:pt idx="1105">
                  <c:v>45827</c:v>
                </c:pt>
                <c:pt idx="1106">
                  <c:v>45828</c:v>
                </c:pt>
                <c:pt idx="1107">
                  <c:v>45831</c:v>
                </c:pt>
                <c:pt idx="1108">
                  <c:v>45832</c:v>
                </c:pt>
                <c:pt idx="1109">
                  <c:v>45833</c:v>
                </c:pt>
                <c:pt idx="1110">
                  <c:v>45834</c:v>
                </c:pt>
                <c:pt idx="1111">
                  <c:v>45835</c:v>
                </c:pt>
                <c:pt idx="1112">
                  <c:v>45838</c:v>
                </c:pt>
                <c:pt idx="1113">
                  <c:v>45839</c:v>
                </c:pt>
                <c:pt idx="1114">
                  <c:v>45840</c:v>
                </c:pt>
                <c:pt idx="1115">
                  <c:v>45841</c:v>
                </c:pt>
                <c:pt idx="1116">
                  <c:v>45842</c:v>
                </c:pt>
                <c:pt idx="1117">
                  <c:v>45845</c:v>
                </c:pt>
                <c:pt idx="1118">
                  <c:v>45846</c:v>
                </c:pt>
                <c:pt idx="1119">
                  <c:v>45847</c:v>
                </c:pt>
                <c:pt idx="1120">
                  <c:v>45848</c:v>
                </c:pt>
                <c:pt idx="1121">
                  <c:v>45849</c:v>
                </c:pt>
                <c:pt idx="1122">
                  <c:v>45852</c:v>
                </c:pt>
                <c:pt idx="1123">
                  <c:v>45853</c:v>
                </c:pt>
                <c:pt idx="1124">
                  <c:v>45854</c:v>
                </c:pt>
                <c:pt idx="1125">
                  <c:v>45855</c:v>
                </c:pt>
                <c:pt idx="1126">
                  <c:v>45856</c:v>
                </c:pt>
                <c:pt idx="1127">
                  <c:v>45859</c:v>
                </c:pt>
                <c:pt idx="1128">
                  <c:v>45860</c:v>
                </c:pt>
                <c:pt idx="1129">
                  <c:v>45861</c:v>
                </c:pt>
                <c:pt idx="1130">
                  <c:v>45862</c:v>
                </c:pt>
                <c:pt idx="1131">
                  <c:v>45863</c:v>
                </c:pt>
                <c:pt idx="1132">
                  <c:v>45866</c:v>
                </c:pt>
                <c:pt idx="1133">
                  <c:v>45867</c:v>
                </c:pt>
                <c:pt idx="1134">
                  <c:v>45868</c:v>
                </c:pt>
                <c:pt idx="1135">
                  <c:v>45869</c:v>
                </c:pt>
                <c:pt idx="1136">
                  <c:v>45870</c:v>
                </c:pt>
                <c:pt idx="1137">
                  <c:v>45873</c:v>
                </c:pt>
                <c:pt idx="1138">
                  <c:v>45874</c:v>
                </c:pt>
                <c:pt idx="1139">
                  <c:v>45875</c:v>
                </c:pt>
                <c:pt idx="1140">
                  <c:v>45876</c:v>
                </c:pt>
                <c:pt idx="1141">
                  <c:v>45877</c:v>
                </c:pt>
                <c:pt idx="1142">
                  <c:v>45880</c:v>
                </c:pt>
                <c:pt idx="1143">
                  <c:v>45881</c:v>
                </c:pt>
                <c:pt idx="1144">
                  <c:v>45882</c:v>
                </c:pt>
                <c:pt idx="1145">
                  <c:v>45883</c:v>
                </c:pt>
                <c:pt idx="1146">
                  <c:v>45887</c:v>
                </c:pt>
                <c:pt idx="1147">
                  <c:v>45888</c:v>
                </c:pt>
                <c:pt idx="1148">
                  <c:v>45889</c:v>
                </c:pt>
                <c:pt idx="1149">
                  <c:v>45890</c:v>
                </c:pt>
                <c:pt idx="1150">
                  <c:v>45891</c:v>
                </c:pt>
                <c:pt idx="1151">
                  <c:v>45894</c:v>
                </c:pt>
                <c:pt idx="1152">
                  <c:v>45895</c:v>
                </c:pt>
                <c:pt idx="1153">
                  <c:v>45897</c:v>
                </c:pt>
                <c:pt idx="1154">
                  <c:v>45898</c:v>
                </c:pt>
                <c:pt idx="1155">
                  <c:v>45901</c:v>
                </c:pt>
                <c:pt idx="1156">
                  <c:v>45902</c:v>
                </c:pt>
                <c:pt idx="1157">
                  <c:v>45903</c:v>
                </c:pt>
                <c:pt idx="1158">
                  <c:v>45904</c:v>
                </c:pt>
                <c:pt idx="1159">
                  <c:v>45905</c:v>
                </c:pt>
                <c:pt idx="1160">
                  <c:v>45908</c:v>
                </c:pt>
                <c:pt idx="1161">
                  <c:v>45909</c:v>
                </c:pt>
                <c:pt idx="1162">
                  <c:v>45910</c:v>
                </c:pt>
                <c:pt idx="1163">
                  <c:v>45911</c:v>
                </c:pt>
                <c:pt idx="1164">
                  <c:v>45912</c:v>
                </c:pt>
                <c:pt idx="1165">
                  <c:v>45915</c:v>
                </c:pt>
                <c:pt idx="1166">
                  <c:v>45916</c:v>
                </c:pt>
                <c:pt idx="1167">
                  <c:v>45917</c:v>
                </c:pt>
                <c:pt idx="1168">
                  <c:v>45918</c:v>
                </c:pt>
                <c:pt idx="1169">
                  <c:v>45919</c:v>
                </c:pt>
                <c:pt idx="1170">
                  <c:v>45922</c:v>
                </c:pt>
                <c:pt idx="1171">
                  <c:v>45923</c:v>
                </c:pt>
                <c:pt idx="1172">
                  <c:v>45924</c:v>
                </c:pt>
                <c:pt idx="1173">
                  <c:v>45925</c:v>
                </c:pt>
                <c:pt idx="1174">
                  <c:v>45926</c:v>
                </c:pt>
                <c:pt idx="1175">
                  <c:v>45929</c:v>
                </c:pt>
                <c:pt idx="1176">
                  <c:v>45930</c:v>
                </c:pt>
                <c:pt idx="1177">
                  <c:v>45931</c:v>
                </c:pt>
                <c:pt idx="1178">
                  <c:v>45933</c:v>
                </c:pt>
                <c:pt idx="1179">
                  <c:v>45936</c:v>
                </c:pt>
                <c:pt idx="1180">
                  <c:v>45937</c:v>
                </c:pt>
                <c:pt idx="1181">
                  <c:v>45938</c:v>
                </c:pt>
                <c:pt idx="1182">
                  <c:v>45939</c:v>
                </c:pt>
                <c:pt idx="1183">
                  <c:v>45940</c:v>
                </c:pt>
                <c:pt idx="1184">
                  <c:v>45943</c:v>
                </c:pt>
                <c:pt idx="1185">
                  <c:v>45944</c:v>
                </c:pt>
                <c:pt idx="1186">
                  <c:v>45945</c:v>
                </c:pt>
                <c:pt idx="1187">
                  <c:v>45946</c:v>
                </c:pt>
                <c:pt idx="1188">
                  <c:v>45947</c:v>
                </c:pt>
                <c:pt idx="1189">
                  <c:v>45950</c:v>
                </c:pt>
                <c:pt idx="1190">
                  <c:v>45951</c:v>
                </c:pt>
                <c:pt idx="1191">
                  <c:v>45953</c:v>
                </c:pt>
                <c:pt idx="1192">
                  <c:v>45954</c:v>
                </c:pt>
                <c:pt idx="1193">
                  <c:v>45957</c:v>
                </c:pt>
                <c:pt idx="1194">
                  <c:v>45958</c:v>
                </c:pt>
                <c:pt idx="1195">
                  <c:v>45959</c:v>
                </c:pt>
                <c:pt idx="1196">
                  <c:v>45960</c:v>
                </c:pt>
                <c:pt idx="1197">
                  <c:v>45961</c:v>
                </c:pt>
                <c:pt idx="1198">
                  <c:v>45964</c:v>
                </c:pt>
                <c:pt idx="1199">
                  <c:v>45965</c:v>
                </c:pt>
                <c:pt idx="1200">
                  <c:v>45967</c:v>
                </c:pt>
                <c:pt idx="1201">
                  <c:v>45968</c:v>
                </c:pt>
                <c:pt idx="1202">
                  <c:v>45971</c:v>
                </c:pt>
                <c:pt idx="1203">
                  <c:v>45972</c:v>
                </c:pt>
                <c:pt idx="1204">
                  <c:v>45973</c:v>
                </c:pt>
                <c:pt idx="1205">
                  <c:v>45974</c:v>
                </c:pt>
                <c:pt idx="1206">
                  <c:v>45975</c:v>
                </c:pt>
                <c:pt idx="1207">
                  <c:v>45978</c:v>
                </c:pt>
                <c:pt idx="1208">
                  <c:v>45979</c:v>
                </c:pt>
                <c:pt idx="1209">
                  <c:v>45980</c:v>
                </c:pt>
                <c:pt idx="1210">
                  <c:v>45981</c:v>
                </c:pt>
                <c:pt idx="1211">
                  <c:v>45982</c:v>
                </c:pt>
                <c:pt idx="1212">
                  <c:v>45985</c:v>
                </c:pt>
                <c:pt idx="1213">
                  <c:v>45986</c:v>
                </c:pt>
                <c:pt idx="1214">
                  <c:v>45987</c:v>
                </c:pt>
                <c:pt idx="1215">
                  <c:v>45988</c:v>
                </c:pt>
                <c:pt idx="1216">
                  <c:v>45989</c:v>
                </c:pt>
                <c:pt idx="1217">
                  <c:v>45992</c:v>
                </c:pt>
                <c:pt idx="1218">
                  <c:v>45993</c:v>
                </c:pt>
                <c:pt idx="1219">
                  <c:v>45994</c:v>
                </c:pt>
                <c:pt idx="1220">
                  <c:v>45995</c:v>
                </c:pt>
                <c:pt idx="1221">
                  <c:v>45996</c:v>
                </c:pt>
                <c:pt idx="1222">
                  <c:v>45999</c:v>
                </c:pt>
                <c:pt idx="1223">
                  <c:v>46000</c:v>
                </c:pt>
                <c:pt idx="1224">
                  <c:v>46001</c:v>
                </c:pt>
                <c:pt idx="1225">
                  <c:v>46002</c:v>
                </c:pt>
                <c:pt idx="1226">
                  <c:v>46003</c:v>
                </c:pt>
                <c:pt idx="1227">
                  <c:v>46006</c:v>
                </c:pt>
                <c:pt idx="1228">
                  <c:v>46007</c:v>
                </c:pt>
                <c:pt idx="1229">
                  <c:v>46008</c:v>
                </c:pt>
                <c:pt idx="1230">
                  <c:v>46009</c:v>
                </c:pt>
                <c:pt idx="1231">
                  <c:v>46010</c:v>
                </c:pt>
                <c:pt idx="1232">
                  <c:v>46013</c:v>
                </c:pt>
                <c:pt idx="1233">
                  <c:v>46014</c:v>
                </c:pt>
                <c:pt idx="1234">
                  <c:v>46015</c:v>
                </c:pt>
                <c:pt idx="1235">
                  <c:v>46017</c:v>
                </c:pt>
                <c:pt idx="1236">
                  <c:v>46020</c:v>
                </c:pt>
                <c:pt idx="1237">
                  <c:v>46021</c:v>
                </c:pt>
                <c:pt idx="1238">
                  <c:v>46022</c:v>
                </c:pt>
                <c:pt idx="1239">
                  <c:v>46023</c:v>
                </c:pt>
                <c:pt idx="1240">
                  <c:v>46024</c:v>
                </c:pt>
              </c:numCache>
            </c:numRef>
          </c:cat>
          <c:val>
            <c:numRef>
              <c:f>UltraTech_Beta!$AB$4:$AB$1244</c:f>
              <c:numCache>
                <c:formatCode>#,##0.0</c:formatCode>
                <c:ptCount val="1241"/>
                <c:pt idx="0">
                  <c:v>5327.2</c:v>
                </c:pt>
                <c:pt idx="1">
                  <c:v>5341.2</c:v>
                </c:pt>
                <c:pt idx="2">
                  <c:v>5448.35</c:v>
                </c:pt>
                <c:pt idx="3">
                  <c:v>5397.95</c:v>
                </c:pt>
                <c:pt idx="4">
                  <c:v>5591.75</c:v>
                </c:pt>
                <c:pt idx="5">
                  <c:v>5623.7</c:v>
                </c:pt>
                <c:pt idx="6">
                  <c:v>5639</c:v>
                </c:pt>
                <c:pt idx="7">
                  <c:v>5650.75</c:v>
                </c:pt>
                <c:pt idx="8">
                  <c:v>5582.35</c:v>
                </c:pt>
                <c:pt idx="9">
                  <c:v>5452.25</c:v>
                </c:pt>
                <c:pt idx="10">
                  <c:v>5386</c:v>
                </c:pt>
                <c:pt idx="11">
                  <c:v>5490.1</c:v>
                </c:pt>
                <c:pt idx="12">
                  <c:v>5547.1</c:v>
                </c:pt>
                <c:pt idx="13">
                  <c:v>5543.45</c:v>
                </c:pt>
                <c:pt idx="14">
                  <c:v>5534.8</c:v>
                </c:pt>
                <c:pt idx="15">
                  <c:v>5368.4</c:v>
                </c:pt>
                <c:pt idx="16">
                  <c:v>5404.85</c:v>
                </c:pt>
                <c:pt idx="17">
                  <c:v>5443.7</c:v>
                </c:pt>
                <c:pt idx="18">
                  <c:v>5327.25</c:v>
                </c:pt>
                <c:pt idx="19">
                  <c:v>5744.15</c:v>
                </c:pt>
                <c:pt idx="20">
                  <c:v>6123.55</c:v>
                </c:pt>
                <c:pt idx="21">
                  <c:v>6074.7</c:v>
                </c:pt>
                <c:pt idx="22">
                  <c:v>6182.8</c:v>
                </c:pt>
                <c:pt idx="23">
                  <c:v>6352.1</c:v>
                </c:pt>
                <c:pt idx="24">
                  <c:v>6368.15</c:v>
                </c:pt>
                <c:pt idx="25">
                  <c:v>6420.4</c:v>
                </c:pt>
                <c:pt idx="26">
                  <c:v>6392.15</c:v>
                </c:pt>
                <c:pt idx="27">
                  <c:v>6427.15</c:v>
                </c:pt>
                <c:pt idx="28">
                  <c:v>6397.25</c:v>
                </c:pt>
                <c:pt idx="29">
                  <c:v>6407.75</c:v>
                </c:pt>
                <c:pt idx="30">
                  <c:v>6457.8</c:v>
                </c:pt>
                <c:pt idx="31">
                  <c:v>6419.2</c:v>
                </c:pt>
                <c:pt idx="32">
                  <c:v>6325.85</c:v>
                </c:pt>
                <c:pt idx="33">
                  <c:v>6208.5</c:v>
                </c:pt>
                <c:pt idx="34">
                  <c:v>6175.1</c:v>
                </c:pt>
                <c:pt idx="35">
                  <c:v>6268.45</c:v>
                </c:pt>
                <c:pt idx="36">
                  <c:v>6414.55</c:v>
                </c:pt>
                <c:pt idx="37">
                  <c:v>6383.3</c:v>
                </c:pt>
                <c:pt idx="38">
                  <c:v>6115</c:v>
                </c:pt>
                <c:pt idx="39">
                  <c:v>6365.05</c:v>
                </c:pt>
                <c:pt idx="40">
                  <c:v>6423.1</c:v>
                </c:pt>
                <c:pt idx="41">
                  <c:v>6500.5</c:v>
                </c:pt>
                <c:pt idx="42">
                  <c:v>6775.55</c:v>
                </c:pt>
                <c:pt idx="43">
                  <c:v>6810.3</c:v>
                </c:pt>
                <c:pt idx="44">
                  <c:v>6668.15</c:v>
                </c:pt>
                <c:pt idx="45">
                  <c:v>6697.4</c:v>
                </c:pt>
                <c:pt idx="46">
                  <c:v>6764.05</c:v>
                </c:pt>
                <c:pt idx="47">
                  <c:v>6638.15</c:v>
                </c:pt>
                <c:pt idx="48">
                  <c:v>6561.45</c:v>
                </c:pt>
                <c:pt idx="49">
                  <c:v>6639.95</c:v>
                </c:pt>
                <c:pt idx="50">
                  <c:v>6520.25</c:v>
                </c:pt>
                <c:pt idx="51">
                  <c:v>6510.05</c:v>
                </c:pt>
                <c:pt idx="52">
                  <c:v>6672</c:v>
                </c:pt>
                <c:pt idx="53">
                  <c:v>6728</c:v>
                </c:pt>
                <c:pt idx="54">
                  <c:v>6939.1</c:v>
                </c:pt>
                <c:pt idx="55">
                  <c:v>6858.65</c:v>
                </c:pt>
                <c:pt idx="56">
                  <c:v>6666.5</c:v>
                </c:pt>
                <c:pt idx="57">
                  <c:v>6735.25</c:v>
                </c:pt>
                <c:pt idx="58">
                  <c:v>6785.6</c:v>
                </c:pt>
                <c:pt idx="59">
                  <c:v>6737.95</c:v>
                </c:pt>
                <c:pt idx="60">
                  <c:v>6898.85</c:v>
                </c:pt>
                <c:pt idx="61">
                  <c:v>6795.8</c:v>
                </c:pt>
                <c:pt idx="62">
                  <c:v>6736.65</c:v>
                </c:pt>
                <c:pt idx="63">
                  <c:v>6760.05</c:v>
                </c:pt>
                <c:pt idx="64">
                  <c:v>6971.25</c:v>
                </c:pt>
                <c:pt idx="65">
                  <c:v>6825.85</c:v>
                </c:pt>
                <c:pt idx="66">
                  <c:v>6509.4</c:v>
                </c:pt>
                <c:pt idx="67">
                  <c:v>6604.45</c:v>
                </c:pt>
                <c:pt idx="68">
                  <c:v>6539.3</c:v>
                </c:pt>
                <c:pt idx="69">
                  <c:v>6715.2</c:v>
                </c:pt>
                <c:pt idx="70">
                  <c:v>6509.75</c:v>
                </c:pt>
                <c:pt idx="71">
                  <c:v>6200.85</c:v>
                </c:pt>
                <c:pt idx="72">
                  <c:v>6092.3</c:v>
                </c:pt>
                <c:pt idx="73">
                  <c:v>6067.9</c:v>
                </c:pt>
                <c:pt idx="74">
                  <c:v>6275.9</c:v>
                </c:pt>
                <c:pt idx="75">
                  <c:v>6326.8</c:v>
                </c:pt>
                <c:pt idx="76">
                  <c:v>6360.8</c:v>
                </c:pt>
                <c:pt idx="77">
                  <c:v>6382.45</c:v>
                </c:pt>
                <c:pt idx="78">
                  <c:v>6278.95</c:v>
                </c:pt>
                <c:pt idx="79">
                  <c:v>6350.15</c:v>
                </c:pt>
                <c:pt idx="80">
                  <c:v>6296.45</c:v>
                </c:pt>
                <c:pt idx="81">
                  <c:v>6380.35</c:v>
                </c:pt>
                <c:pt idx="82">
                  <c:v>6405.45</c:v>
                </c:pt>
                <c:pt idx="83">
                  <c:v>6481.9</c:v>
                </c:pt>
                <c:pt idx="84">
                  <c:v>6403.1</c:v>
                </c:pt>
                <c:pt idx="85">
                  <c:v>6490.6</c:v>
                </c:pt>
                <c:pt idx="86">
                  <c:v>6388.85</c:v>
                </c:pt>
                <c:pt idx="87">
                  <c:v>6368.1</c:v>
                </c:pt>
                <c:pt idx="88">
                  <c:v>6532.35</c:v>
                </c:pt>
                <c:pt idx="89">
                  <c:v>6653</c:v>
                </c:pt>
                <c:pt idx="90">
                  <c:v>6561.2</c:v>
                </c:pt>
                <c:pt idx="91">
                  <c:v>6573.85</c:v>
                </c:pt>
                <c:pt idx="92">
                  <c:v>6637.6</c:v>
                </c:pt>
                <c:pt idx="93">
                  <c:v>6562.4</c:v>
                </c:pt>
                <c:pt idx="94">
                  <c:v>6556.6</c:v>
                </c:pt>
                <c:pt idx="95">
                  <c:v>6580.9</c:v>
                </c:pt>
                <c:pt idx="96">
                  <c:v>6673.25</c:v>
                </c:pt>
                <c:pt idx="97">
                  <c:v>6598.5</c:v>
                </c:pt>
                <c:pt idx="98">
                  <c:v>6708</c:v>
                </c:pt>
                <c:pt idx="99">
                  <c:v>6601.35</c:v>
                </c:pt>
                <c:pt idx="100">
                  <c:v>6594.2</c:v>
                </c:pt>
                <c:pt idx="101">
                  <c:v>6641.7</c:v>
                </c:pt>
                <c:pt idx="102">
                  <c:v>6664.3</c:v>
                </c:pt>
                <c:pt idx="103">
                  <c:v>6849.65</c:v>
                </c:pt>
                <c:pt idx="104">
                  <c:v>6794.4</c:v>
                </c:pt>
                <c:pt idx="105">
                  <c:v>6724.75</c:v>
                </c:pt>
                <c:pt idx="106">
                  <c:v>6709.65</c:v>
                </c:pt>
                <c:pt idx="107">
                  <c:v>6662.85</c:v>
                </c:pt>
                <c:pt idx="108">
                  <c:v>6678.5</c:v>
                </c:pt>
                <c:pt idx="109">
                  <c:v>6668.3</c:v>
                </c:pt>
                <c:pt idx="110">
                  <c:v>6587.4</c:v>
                </c:pt>
                <c:pt idx="111">
                  <c:v>6704.85</c:v>
                </c:pt>
                <c:pt idx="112">
                  <c:v>6693.9</c:v>
                </c:pt>
                <c:pt idx="113">
                  <c:v>6775.5</c:v>
                </c:pt>
                <c:pt idx="114">
                  <c:v>6858.95</c:v>
                </c:pt>
                <c:pt idx="115">
                  <c:v>6903.35</c:v>
                </c:pt>
                <c:pt idx="116">
                  <c:v>6961.95</c:v>
                </c:pt>
                <c:pt idx="117">
                  <c:v>6923</c:v>
                </c:pt>
                <c:pt idx="118">
                  <c:v>6869.45</c:v>
                </c:pt>
                <c:pt idx="119">
                  <c:v>6824.7</c:v>
                </c:pt>
                <c:pt idx="120">
                  <c:v>6776</c:v>
                </c:pt>
                <c:pt idx="121">
                  <c:v>6707.25</c:v>
                </c:pt>
                <c:pt idx="122">
                  <c:v>6719.9</c:v>
                </c:pt>
                <c:pt idx="123">
                  <c:v>6719.85</c:v>
                </c:pt>
                <c:pt idx="124">
                  <c:v>6933.05</c:v>
                </c:pt>
                <c:pt idx="125">
                  <c:v>6925.1</c:v>
                </c:pt>
                <c:pt idx="126">
                  <c:v>6901.9</c:v>
                </c:pt>
                <c:pt idx="127">
                  <c:v>6899.55</c:v>
                </c:pt>
                <c:pt idx="128">
                  <c:v>7093.75</c:v>
                </c:pt>
                <c:pt idx="129">
                  <c:v>7128.85</c:v>
                </c:pt>
                <c:pt idx="130">
                  <c:v>7118.05</c:v>
                </c:pt>
                <c:pt idx="131">
                  <c:v>7189.65</c:v>
                </c:pt>
                <c:pt idx="132">
                  <c:v>7334.55</c:v>
                </c:pt>
                <c:pt idx="133">
                  <c:v>7312.35</c:v>
                </c:pt>
                <c:pt idx="134">
                  <c:v>7424.7</c:v>
                </c:pt>
                <c:pt idx="135">
                  <c:v>7459</c:v>
                </c:pt>
                <c:pt idx="136">
                  <c:v>7490.3</c:v>
                </c:pt>
                <c:pt idx="137">
                  <c:v>7616.7</c:v>
                </c:pt>
                <c:pt idx="138">
                  <c:v>7596.25</c:v>
                </c:pt>
                <c:pt idx="139">
                  <c:v>7654.65</c:v>
                </c:pt>
                <c:pt idx="140">
                  <c:v>7700.45</c:v>
                </c:pt>
                <c:pt idx="141">
                  <c:v>7619.2</c:v>
                </c:pt>
                <c:pt idx="142">
                  <c:v>7642.05</c:v>
                </c:pt>
                <c:pt idx="143">
                  <c:v>7843.25</c:v>
                </c:pt>
                <c:pt idx="144">
                  <c:v>7750</c:v>
                </c:pt>
                <c:pt idx="145">
                  <c:v>7659</c:v>
                </c:pt>
                <c:pt idx="146">
                  <c:v>7527.65</c:v>
                </c:pt>
                <c:pt idx="147">
                  <c:v>7495.65</c:v>
                </c:pt>
                <c:pt idx="148">
                  <c:v>7474.15</c:v>
                </c:pt>
                <c:pt idx="149">
                  <c:v>7452.45</c:v>
                </c:pt>
                <c:pt idx="150">
                  <c:v>7468.7</c:v>
                </c:pt>
                <c:pt idx="151">
                  <c:v>7460.7</c:v>
                </c:pt>
                <c:pt idx="152">
                  <c:v>7346.65</c:v>
                </c:pt>
                <c:pt idx="153">
                  <c:v>7409.05</c:v>
                </c:pt>
                <c:pt idx="154">
                  <c:v>7601.45</c:v>
                </c:pt>
                <c:pt idx="155">
                  <c:v>7493.35</c:v>
                </c:pt>
                <c:pt idx="156">
                  <c:v>7351</c:v>
                </c:pt>
                <c:pt idx="157">
                  <c:v>7455.35</c:v>
                </c:pt>
                <c:pt idx="158">
                  <c:v>7382.35</c:v>
                </c:pt>
                <c:pt idx="159">
                  <c:v>7307.1</c:v>
                </c:pt>
                <c:pt idx="160">
                  <c:v>7565.6</c:v>
                </c:pt>
                <c:pt idx="161">
                  <c:v>7703.8</c:v>
                </c:pt>
                <c:pt idx="162">
                  <c:v>7832.45</c:v>
                </c:pt>
                <c:pt idx="163">
                  <c:v>7766.95</c:v>
                </c:pt>
                <c:pt idx="164">
                  <c:v>7952.75</c:v>
                </c:pt>
                <c:pt idx="165">
                  <c:v>7929.85</c:v>
                </c:pt>
                <c:pt idx="166">
                  <c:v>7952.6</c:v>
                </c:pt>
                <c:pt idx="167">
                  <c:v>8026.25</c:v>
                </c:pt>
                <c:pt idx="168">
                  <c:v>7992.9</c:v>
                </c:pt>
                <c:pt idx="169">
                  <c:v>7939.65</c:v>
                </c:pt>
                <c:pt idx="170">
                  <c:v>7944.45</c:v>
                </c:pt>
                <c:pt idx="171">
                  <c:v>7856.45</c:v>
                </c:pt>
                <c:pt idx="172">
                  <c:v>7820.85</c:v>
                </c:pt>
                <c:pt idx="173">
                  <c:v>7765.45</c:v>
                </c:pt>
                <c:pt idx="174">
                  <c:v>7711.85</c:v>
                </c:pt>
                <c:pt idx="175">
                  <c:v>7576</c:v>
                </c:pt>
                <c:pt idx="176">
                  <c:v>7592.7</c:v>
                </c:pt>
                <c:pt idx="177">
                  <c:v>7625.6</c:v>
                </c:pt>
                <c:pt idx="178">
                  <c:v>7619.7</c:v>
                </c:pt>
                <c:pt idx="179">
                  <c:v>7521.5</c:v>
                </c:pt>
                <c:pt idx="180">
                  <c:v>7622.9</c:v>
                </c:pt>
                <c:pt idx="181">
                  <c:v>7588.3</c:v>
                </c:pt>
                <c:pt idx="182">
                  <c:v>7464.55</c:v>
                </c:pt>
                <c:pt idx="183">
                  <c:v>7396.1</c:v>
                </c:pt>
                <c:pt idx="184">
                  <c:v>7483.55</c:v>
                </c:pt>
                <c:pt idx="185">
                  <c:v>7515.6</c:v>
                </c:pt>
                <c:pt idx="186">
                  <c:v>7464</c:v>
                </c:pt>
                <c:pt idx="187">
                  <c:v>7363</c:v>
                </c:pt>
                <c:pt idx="188">
                  <c:v>7354.6</c:v>
                </c:pt>
                <c:pt idx="189">
                  <c:v>7335.75</c:v>
                </c:pt>
                <c:pt idx="190">
                  <c:v>7330.25</c:v>
                </c:pt>
                <c:pt idx="191">
                  <c:v>7250.15</c:v>
                </c:pt>
                <c:pt idx="192">
                  <c:v>7350.4</c:v>
                </c:pt>
                <c:pt idx="193">
                  <c:v>7395.5</c:v>
                </c:pt>
                <c:pt idx="194">
                  <c:v>7399.3</c:v>
                </c:pt>
                <c:pt idx="195">
                  <c:v>7170.1</c:v>
                </c:pt>
                <c:pt idx="196">
                  <c:v>7129.6</c:v>
                </c:pt>
                <c:pt idx="197">
                  <c:v>7129</c:v>
                </c:pt>
                <c:pt idx="198">
                  <c:v>7149.6</c:v>
                </c:pt>
                <c:pt idx="199">
                  <c:v>7149.8</c:v>
                </c:pt>
                <c:pt idx="200">
                  <c:v>7269.1</c:v>
                </c:pt>
                <c:pt idx="201">
                  <c:v>7354.2</c:v>
                </c:pt>
                <c:pt idx="202">
                  <c:v>7446.65</c:v>
                </c:pt>
                <c:pt idx="203">
                  <c:v>7636.05</c:v>
                </c:pt>
                <c:pt idx="204">
                  <c:v>7775.1</c:v>
                </c:pt>
                <c:pt idx="205">
                  <c:v>7713.35</c:v>
                </c:pt>
                <c:pt idx="206">
                  <c:v>7887.85</c:v>
                </c:pt>
                <c:pt idx="207">
                  <c:v>7880.8</c:v>
                </c:pt>
                <c:pt idx="208">
                  <c:v>8214.0499999999993</c:v>
                </c:pt>
                <c:pt idx="209">
                  <c:v>8166</c:v>
                </c:pt>
                <c:pt idx="210">
                  <c:v>8106.8</c:v>
                </c:pt>
                <c:pt idx="211">
                  <c:v>8050.65</c:v>
                </c:pt>
                <c:pt idx="212">
                  <c:v>8080.75</c:v>
                </c:pt>
                <c:pt idx="213">
                  <c:v>8050.8</c:v>
                </c:pt>
                <c:pt idx="214">
                  <c:v>7882.4</c:v>
                </c:pt>
                <c:pt idx="215">
                  <c:v>7857.7</c:v>
                </c:pt>
                <c:pt idx="216">
                  <c:v>7767.7</c:v>
                </c:pt>
                <c:pt idx="217">
                  <c:v>7653.8</c:v>
                </c:pt>
                <c:pt idx="218">
                  <c:v>7657.95</c:v>
                </c:pt>
                <c:pt idx="219">
                  <c:v>7577.3</c:v>
                </c:pt>
                <c:pt idx="220">
                  <c:v>7608.8</c:v>
                </c:pt>
                <c:pt idx="221">
                  <c:v>7394.75</c:v>
                </c:pt>
                <c:pt idx="222">
                  <c:v>7388.25</c:v>
                </c:pt>
                <c:pt idx="223">
                  <c:v>7433.75</c:v>
                </c:pt>
                <c:pt idx="224">
                  <c:v>7322.6</c:v>
                </c:pt>
                <c:pt idx="225">
                  <c:v>7323.2</c:v>
                </c:pt>
                <c:pt idx="226">
                  <c:v>7332.45</c:v>
                </c:pt>
                <c:pt idx="227">
                  <c:v>7214.6</c:v>
                </c:pt>
                <c:pt idx="228">
                  <c:v>7299.4</c:v>
                </c:pt>
                <c:pt idx="229">
                  <c:v>7423.95</c:v>
                </c:pt>
                <c:pt idx="230">
                  <c:v>7433.85</c:v>
                </c:pt>
                <c:pt idx="231">
                  <c:v>7440.45</c:v>
                </c:pt>
                <c:pt idx="232">
                  <c:v>7414.45</c:v>
                </c:pt>
                <c:pt idx="233">
                  <c:v>7386.4</c:v>
                </c:pt>
                <c:pt idx="234">
                  <c:v>7371.35</c:v>
                </c:pt>
                <c:pt idx="235">
                  <c:v>7413.75</c:v>
                </c:pt>
                <c:pt idx="236">
                  <c:v>7337.35</c:v>
                </c:pt>
                <c:pt idx="237">
                  <c:v>7160.85</c:v>
                </c:pt>
                <c:pt idx="238">
                  <c:v>7327.35</c:v>
                </c:pt>
                <c:pt idx="239">
                  <c:v>7377.25</c:v>
                </c:pt>
                <c:pt idx="240">
                  <c:v>7340.6</c:v>
                </c:pt>
                <c:pt idx="241">
                  <c:v>7224.8</c:v>
                </c:pt>
                <c:pt idx="242">
                  <c:v>7245.05</c:v>
                </c:pt>
                <c:pt idx="243">
                  <c:v>7406.1</c:v>
                </c:pt>
                <c:pt idx="244">
                  <c:v>7420.95</c:v>
                </c:pt>
                <c:pt idx="245">
                  <c:v>7397.2</c:v>
                </c:pt>
                <c:pt idx="246">
                  <c:v>7591.05</c:v>
                </c:pt>
                <c:pt idx="247">
                  <c:v>7723.9</c:v>
                </c:pt>
                <c:pt idx="248">
                  <c:v>7650.35</c:v>
                </c:pt>
                <c:pt idx="249">
                  <c:v>7659.55</c:v>
                </c:pt>
                <c:pt idx="250">
                  <c:v>7458.55</c:v>
                </c:pt>
                <c:pt idx="251">
                  <c:v>7557.95</c:v>
                </c:pt>
                <c:pt idx="252">
                  <c:v>7585.15</c:v>
                </c:pt>
                <c:pt idx="253">
                  <c:v>7606.3</c:v>
                </c:pt>
                <c:pt idx="254">
                  <c:v>7658.7</c:v>
                </c:pt>
                <c:pt idx="255">
                  <c:v>7606.8</c:v>
                </c:pt>
                <c:pt idx="256">
                  <c:v>7660.55</c:v>
                </c:pt>
                <c:pt idx="257">
                  <c:v>7870.1</c:v>
                </c:pt>
                <c:pt idx="258">
                  <c:v>7555.9</c:v>
                </c:pt>
                <c:pt idx="259">
                  <c:v>7434.4</c:v>
                </c:pt>
                <c:pt idx="260">
                  <c:v>7465.5</c:v>
                </c:pt>
                <c:pt idx="261">
                  <c:v>7357.65</c:v>
                </c:pt>
                <c:pt idx="262">
                  <c:v>7156</c:v>
                </c:pt>
                <c:pt idx="263">
                  <c:v>7098.35</c:v>
                </c:pt>
                <c:pt idx="264">
                  <c:v>7100.7</c:v>
                </c:pt>
                <c:pt idx="265">
                  <c:v>7109.85</c:v>
                </c:pt>
                <c:pt idx="266">
                  <c:v>7216.4</c:v>
                </c:pt>
                <c:pt idx="267">
                  <c:v>7516.25</c:v>
                </c:pt>
                <c:pt idx="268">
                  <c:v>7441</c:v>
                </c:pt>
                <c:pt idx="269">
                  <c:v>7375.35</c:v>
                </c:pt>
                <c:pt idx="270">
                  <c:v>7439.65</c:v>
                </c:pt>
                <c:pt idx="271">
                  <c:v>7469.35</c:v>
                </c:pt>
                <c:pt idx="272">
                  <c:v>7421.35</c:v>
                </c:pt>
                <c:pt idx="273">
                  <c:v>7504.05</c:v>
                </c:pt>
                <c:pt idx="274">
                  <c:v>7474.5</c:v>
                </c:pt>
                <c:pt idx="275">
                  <c:v>7323.6</c:v>
                </c:pt>
                <c:pt idx="276">
                  <c:v>7089.1</c:v>
                </c:pt>
                <c:pt idx="277">
                  <c:v>7290.3</c:v>
                </c:pt>
                <c:pt idx="278">
                  <c:v>7178.9</c:v>
                </c:pt>
                <c:pt idx="279">
                  <c:v>7045.95</c:v>
                </c:pt>
                <c:pt idx="280">
                  <c:v>6916.6</c:v>
                </c:pt>
                <c:pt idx="281">
                  <c:v>6813.45</c:v>
                </c:pt>
                <c:pt idx="282">
                  <c:v>6749.55</c:v>
                </c:pt>
                <c:pt idx="283">
                  <c:v>6780.2</c:v>
                </c:pt>
                <c:pt idx="284">
                  <c:v>6418.45</c:v>
                </c:pt>
                <c:pt idx="285">
                  <c:v>6570.25</c:v>
                </c:pt>
                <c:pt idx="286">
                  <c:v>6567.9</c:v>
                </c:pt>
                <c:pt idx="287">
                  <c:v>6399.35</c:v>
                </c:pt>
                <c:pt idx="288">
                  <c:v>5980.7</c:v>
                </c:pt>
                <c:pt idx="289">
                  <c:v>6050.3</c:v>
                </c:pt>
                <c:pt idx="290">
                  <c:v>5698.1</c:v>
                </c:pt>
                <c:pt idx="291">
                  <c:v>5833.45</c:v>
                </c:pt>
                <c:pt idx="292">
                  <c:v>6017.35</c:v>
                </c:pt>
                <c:pt idx="293">
                  <c:v>6052.55</c:v>
                </c:pt>
                <c:pt idx="294">
                  <c:v>6021</c:v>
                </c:pt>
                <c:pt idx="295">
                  <c:v>6035.9</c:v>
                </c:pt>
                <c:pt idx="296">
                  <c:v>6021.25</c:v>
                </c:pt>
                <c:pt idx="297">
                  <c:v>6305.9</c:v>
                </c:pt>
                <c:pt idx="298">
                  <c:v>6373.6</c:v>
                </c:pt>
                <c:pt idx="299">
                  <c:v>6191.25</c:v>
                </c:pt>
                <c:pt idx="300">
                  <c:v>6211.6</c:v>
                </c:pt>
                <c:pt idx="301">
                  <c:v>6234</c:v>
                </c:pt>
                <c:pt idx="302">
                  <c:v>6351.85</c:v>
                </c:pt>
                <c:pt idx="303">
                  <c:v>6312.7</c:v>
                </c:pt>
                <c:pt idx="304">
                  <c:v>6359.95</c:v>
                </c:pt>
                <c:pt idx="305">
                  <c:v>6526.6</c:v>
                </c:pt>
                <c:pt idx="306">
                  <c:v>6642.7</c:v>
                </c:pt>
                <c:pt idx="307">
                  <c:v>6602.3</c:v>
                </c:pt>
                <c:pt idx="308">
                  <c:v>6670.55</c:v>
                </c:pt>
                <c:pt idx="309">
                  <c:v>6743.9</c:v>
                </c:pt>
                <c:pt idx="310">
                  <c:v>6726.15</c:v>
                </c:pt>
                <c:pt idx="311">
                  <c:v>6736.15</c:v>
                </c:pt>
                <c:pt idx="312">
                  <c:v>6736.65</c:v>
                </c:pt>
                <c:pt idx="313">
                  <c:v>6837</c:v>
                </c:pt>
                <c:pt idx="314">
                  <c:v>6858.75</c:v>
                </c:pt>
                <c:pt idx="315">
                  <c:v>6775.55</c:v>
                </c:pt>
                <c:pt idx="316">
                  <c:v>6730.05</c:v>
                </c:pt>
                <c:pt idx="317">
                  <c:v>6639.6</c:v>
                </c:pt>
                <c:pt idx="318">
                  <c:v>6585.7</c:v>
                </c:pt>
                <c:pt idx="319">
                  <c:v>6807.15</c:v>
                </c:pt>
                <c:pt idx="320">
                  <c:v>6846.5</c:v>
                </c:pt>
                <c:pt idx="321">
                  <c:v>6744.1</c:v>
                </c:pt>
                <c:pt idx="322">
                  <c:v>6595.05</c:v>
                </c:pt>
                <c:pt idx="323">
                  <c:v>6660.2</c:v>
                </c:pt>
                <c:pt idx="324">
                  <c:v>6548.45</c:v>
                </c:pt>
                <c:pt idx="325">
                  <c:v>6616.95</c:v>
                </c:pt>
                <c:pt idx="326">
                  <c:v>6630.25</c:v>
                </c:pt>
                <c:pt idx="327">
                  <c:v>6679</c:v>
                </c:pt>
                <c:pt idx="328">
                  <c:v>6521.95</c:v>
                </c:pt>
                <c:pt idx="329">
                  <c:v>6355.7</c:v>
                </c:pt>
                <c:pt idx="330">
                  <c:v>6200.2</c:v>
                </c:pt>
                <c:pt idx="331">
                  <c:v>6224.6</c:v>
                </c:pt>
                <c:pt idx="332">
                  <c:v>6366.45</c:v>
                </c:pt>
                <c:pt idx="333">
                  <c:v>6340.2</c:v>
                </c:pt>
                <c:pt idx="334">
                  <c:v>6185.45</c:v>
                </c:pt>
                <c:pt idx="335">
                  <c:v>6196.55</c:v>
                </c:pt>
                <c:pt idx="336">
                  <c:v>6012.8</c:v>
                </c:pt>
                <c:pt idx="337">
                  <c:v>6107.75</c:v>
                </c:pt>
                <c:pt idx="338">
                  <c:v>6233.75</c:v>
                </c:pt>
                <c:pt idx="339">
                  <c:v>6072.6</c:v>
                </c:pt>
                <c:pt idx="340">
                  <c:v>6128.65</c:v>
                </c:pt>
                <c:pt idx="341">
                  <c:v>5916.3</c:v>
                </c:pt>
                <c:pt idx="342">
                  <c:v>5868.05</c:v>
                </c:pt>
                <c:pt idx="343">
                  <c:v>5792.2</c:v>
                </c:pt>
                <c:pt idx="344">
                  <c:v>5874.25</c:v>
                </c:pt>
                <c:pt idx="345">
                  <c:v>5948</c:v>
                </c:pt>
                <c:pt idx="346">
                  <c:v>6102.65</c:v>
                </c:pt>
                <c:pt idx="347">
                  <c:v>6082.6</c:v>
                </c:pt>
                <c:pt idx="348">
                  <c:v>5975.65</c:v>
                </c:pt>
                <c:pt idx="349">
                  <c:v>6007.85</c:v>
                </c:pt>
                <c:pt idx="350">
                  <c:v>5678.85</c:v>
                </c:pt>
                <c:pt idx="351">
                  <c:v>5581.35</c:v>
                </c:pt>
                <c:pt idx="352">
                  <c:v>5555.2</c:v>
                </c:pt>
                <c:pt idx="353">
                  <c:v>5531.85</c:v>
                </c:pt>
                <c:pt idx="354">
                  <c:v>5481.9</c:v>
                </c:pt>
                <c:pt idx="355">
                  <c:v>5511.05</c:v>
                </c:pt>
                <c:pt idx="356">
                  <c:v>5356.15</c:v>
                </c:pt>
                <c:pt idx="357">
                  <c:v>5428.6</c:v>
                </c:pt>
                <c:pt idx="358">
                  <c:v>5454.15</c:v>
                </c:pt>
                <c:pt idx="359">
                  <c:v>5305.25</c:v>
                </c:pt>
                <c:pt idx="360">
                  <c:v>5177.3</c:v>
                </c:pt>
                <c:pt idx="361">
                  <c:v>5333.3</c:v>
                </c:pt>
                <c:pt idx="362">
                  <c:v>5418.9</c:v>
                </c:pt>
                <c:pt idx="363">
                  <c:v>5409.95</c:v>
                </c:pt>
                <c:pt idx="364">
                  <c:v>5410.3</c:v>
                </c:pt>
                <c:pt idx="365">
                  <c:v>5468.3</c:v>
                </c:pt>
                <c:pt idx="366">
                  <c:v>5560.25</c:v>
                </c:pt>
                <c:pt idx="367">
                  <c:v>5572.75</c:v>
                </c:pt>
                <c:pt idx="368">
                  <c:v>5618.3</c:v>
                </c:pt>
                <c:pt idx="369">
                  <c:v>5607.3</c:v>
                </c:pt>
                <c:pt idx="370">
                  <c:v>5691.7</c:v>
                </c:pt>
                <c:pt idx="371">
                  <c:v>5709.05</c:v>
                </c:pt>
                <c:pt idx="372">
                  <c:v>5729.95</c:v>
                </c:pt>
                <c:pt idx="373">
                  <c:v>5828.05</c:v>
                </c:pt>
                <c:pt idx="374">
                  <c:v>5838.85</c:v>
                </c:pt>
                <c:pt idx="375">
                  <c:v>5839.1</c:v>
                </c:pt>
                <c:pt idx="376">
                  <c:v>5854.25</c:v>
                </c:pt>
                <c:pt idx="377">
                  <c:v>5778.85</c:v>
                </c:pt>
                <c:pt idx="378">
                  <c:v>5798.95</c:v>
                </c:pt>
                <c:pt idx="379">
                  <c:v>5735.05</c:v>
                </c:pt>
                <c:pt idx="380">
                  <c:v>5807.05</c:v>
                </c:pt>
                <c:pt idx="381">
                  <c:v>5982.4</c:v>
                </c:pt>
                <c:pt idx="382">
                  <c:v>6085.85</c:v>
                </c:pt>
                <c:pt idx="383">
                  <c:v>6089</c:v>
                </c:pt>
                <c:pt idx="384">
                  <c:v>6130.7</c:v>
                </c:pt>
                <c:pt idx="385">
                  <c:v>6458.7</c:v>
                </c:pt>
                <c:pt idx="386">
                  <c:v>6382.9</c:v>
                </c:pt>
                <c:pt idx="387">
                  <c:v>6399.65</c:v>
                </c:pt>
                <c:pt idx="388">
                  <c:v>6535.35</c:v>
                </c:pt>
                <c:pt idx="389">
                  <c:v>6471.25</c:v>
                </c:pt>
                <c:pt idx="390">
                  <c:v>6544.8</c:v>
                </c:pt>
                <c:pt idx="391">
                  <c:v>6657.65</c:v>
                </c:pt>
                <c:pt idx="392">
                  <c:v>6651.3</c:v>
                </c:pt>
                <c:pt idx="393">
                  <c:v>6602.7</c:v>
                </c:pt>
                <c:pt idx="394">
                  <c:v>6588.05</c:v>
                </c:pt>
                <c:pt idx="395">
                  <c:v>6775.2</c:v>
                </c:pt>
                <c:pt idx="396">
                  <c:v>6677.85</c:v>
                </c:pt>
                <c:pt idx="397">
                  <c:v>6595.65</c:v>
                </c:pt>
                <c:pt idx="398">
                  <c:v>6597.1</c:v>
                </c:pt>
                <c:pt idx="399">
                  <c:v>6559.3</c:v>
                </c:pt>
                <c:pt idx="400">
                  <c:v>6656</c:v>
                </c:pt>
                <c:pt idx="401">
                  <c:v>6609.85</c:v>
                </c:pt>
                <c:pt idx="402">
                  <c:v>6703.95</c:v>
                </c:pt>
                <c:pt idx="403">
                  <c:v>6647.55</c:v>
                </c:pt>
                <c:pt idx="404">
                  <c:v>6467.5</c:v>
                </c:pt>
                <c:pt idx="405">
                  <c:v>6495.4</c:v>
                </c:pt>
                <c:pt idx="406">
                  <c:v>6508.35</c:v>
                </c:pt>
                <c:pt idx="407">
                  <c:v>6475.05</c:v>
                </c:pt>
                <c:pt idx="408">
                  <c:v>6517.15</c:v>
                </c:pt>
                <c:pt idx="409">
                  <c:v>6506.3</c:v>
                </c:pt>
                <c:pt idx="410">
                  <c:v>6677.85</c:v>
                </c:pt>
                <c:pt idx="411">
                  <c:v>6632.5</c:v>
                </c:pt>
                <c:pt idx="412">
                  <c:v>6577.5</c:v>
                </c:pt>
                <c:pt idx="413">
                  <c:v>6521.95</c:v>
                </c:pt>
                <c:pt idx="414">
                  <c:v>6495.5</c:v>
                </c:pt>
                <c:pt idx="415">
                  <c:v>6770.8</c:v>
                </c:pt>
                <c:pt idx="416">
                  <c:v>6919.65</c:v>
                </c:pt>
                <c:pt idx="417">
                  <c:v>6783.65</c:v>
                </c:pt>
                <c:pt idx="418">
                  <c:v>6869.6</c:v>
                </c:pt>
                <c:pt idx="419">
                  <c:v>6896.3</c:v>
                </c:pt>
                <c:pt idx="420">
                  <c:v>6875.75</c:v>
                </c:pt>
                <c:pt idx="421">
                  <c:v>6790.05</c:v>
                </c:pt>
                <c:pt idx="422">
                  <c:v>6481.4</c:v>
                </c:pt>
                <c:pt idx="423">
                  <c:v>6459.85</c:v>
                </c:pt>
                <c:pt idx="424">
                  <c:v>6484.65</c:v>
                </c:pt>
                <c:pt idx="425">
                  <c:v>6313.75</c:v>
                </c:pt>
                <c:pt idx="426">
                  <c:v>6239.4</c:v>
                </c:pt>
                <c:pt idx="427">
                  <c:v>6139.95</c:v>
                </c:pt>
                <c:pt idx="428">
                  <c:v>6177.1</c:v>
                </c:pt>
                <c:pt idx="429">
                  <c:v>6192.85</c:v>
                </c:pt>
                <c:pt idx="430">
                  <c:v>6172.95</c:v>
                </c:pt>
                <c:pt idx="431">
                  <c:v>6175.9</c:v>
                </c:pt>
                <c:pt idx="432">
                  <c:v>6255.1</c:v>
                </c:pt>
                <c:pt idx="433">
                  <c:v>6242.55</c:v>
                </c:pt>
                <c:pt idx="434">
                  <c:v>6307.55</c:v>
                </c:pt>
                <c:pt idx="435">
                  <c:v>6287.25</c:v>
                </c:pt>
                <c:pt idx="436">
                  <c:v>6203.5</c:v>
                </c:pt>
                <c:pt idx="437">
                  <c:v>6149.9</c:v>
                </c:pt>
                <c:pt idx="438">
                  <c:v>6076.75</c:v>
                </c:pt>
                <c:pt idx="439">
                  <c:v>6177.7</c:v>
                </c:pt>
                <c:pt idx="440">
                  <c:v>6181.75</c:v>
                </c:pt>
                <c:pt idx="441">
                  <c:v>6192</c:v>
                </c:pt>
                <c:pt idx="442">
                  <c:v>6271.5</c:v>
                </c:pt>
                <c:pt idx="443">
                  <c:v>6346.75</c:v>
                </c:pt>
                <c:pt idx="444">
                  <c:v>6398.4</c:v>
                </c:pt>
                <c:pt idx="445">
                  <c:v>6302.3</c:v>
                </c:pt>
                <c:pt idx="446">
                  <c:v>6362.9</c:v>
                </c:pt>
                <c:pt idx="447">
                  <c:v>6394.6</c:v>
                </c:pt>
                <c:pt idx="448">
                  <c:v>6415.7</c:v>
                </c:pt>
                <c:pt idx="449">
                  <c:v>6436.8</c:v>
                </c:pt>
                <c:pt idx="450">
                  <c:v>6445.85</c:v>
                </c:pt>
                <c:pt idx="451">
                  <c:v>6714.95</c:v>
                </c:pt>
                <c:pt idx="452">
                  <c:v>6820.9</c:v>
                </c:pt>
                <c:pt idx="453">
                  <c:v>6779.9</c:v>
                </c:pt>
                <c:pt idx="454">
                  <c:v>6728.25</c:v>
                </c:pt>
                <c:pt idx="455">
                  <c:v>6893.05</c:v>
                </c:pt>
                <c:pt idx="456">
                  <c:v>6973.5</c:v>
                </c:pt>
                <c:pt idx="457">
                  <c:v>6903.5</c:v>
                </c:pt>
                <c:pt idx="458">
                  <c:v>6801.3</c:v>
                </c:pt>
                <c:pt idx="459">
                  <c:v>6813.2</c:v>
                </c:pt>
                <c:pt idx="460">
                  <c:v>6854.4</c:v>
                </c:pt>
                <c:pt idx="461">
                  <c:v>6964.55</c:v>
                </c:pt>
                <c:pt idx="462">
                  <c:v>6912</c:v>
                </c:pt>
                <c:pt idx="463">
                  <c:v>6871.85</c:v>
                </c:pt>
                <c:pt idx="464">
                  <c:v>6814.45</c:v>
                </c:pt>
                <c:pt idx="465">
                  <c:v>6754.85</c:v>
                </c:pt>
                <c:pt idx="466">
                  <c:v>6843.05</c:v>
                </c:pt>
                <c:pt idx="467">
                  <c:v>6824.05</c:v>
                </c:pt>
                <c:pt idx="468">
                  <c:v>6860.2</c:v>
                </c:pt>
                <c:pt idx="469">
                  <c:v>6874</c:v>
                </c:pt>
                <c:pt idx="470">
                  <c:v>6892.3</c:v>
                </c:pt>
                <c:pt idx="471">
                  <c:v>6928.9</c:v>
                </c:pt>
                <c:pt idx="472">
                  <c:v>7077</c:v>
                </c:pt>
                <c:pt idx="473">
                  <c:v>7274</c:v>
                </c:pt>
                <c:pt idx="474">
                  <c:v>7237.05</c:v>
                </c:pt>
                <c:pt idx="475">
                  <c:v>7198.6</c:v>
                </c:pt>
                <c:pt idx="476">
                  <c:v>7242.05</c:v>
                </c:pt>
                <c:pt idx="477">
                  <c:v>7162.2</c:v>
                </c:pt>
                <c:pt idx="478">
                  <c:v>7179.05</c:v>
                </c:pt>
                <c:pt idx="479">
                  <c:v>7077.4</c:v>
                </c:pt>
                <c:pt idx="480">
                  <c:v>7146.85</c:v>
                </c:pt>
                <c:pt idx="481">
                  <c:v>7225.3</c:v>
                </c:pt>
                <c:pt idx="482">
                  <c:v>7197.55</c:v>
                </c:pt>
                <c:pt idx="483">
                  <c:v>7113.9</c:v>
                </c:pt>
                <c:pt idx="484">
                  <c:v>7014.1</c:v>
                </c:pt>
                <c:pt idx="485">
                  <c:v>7076</c:v>
                </c:pt>
                <c:pt idx="486">
                  <c:v>7098</c:v>
                </c:pt>
                <c:pt idx="487">
                  <c:v>6950.7</c:v>
                </c:pt>
                <c:pt idx="488">
                  <c:v>7012.4</c:v>
                </c:pt>
                <c:pt idx="489">
                  <c:v>6909.4</c:v>
                </c:pt>
                <c:pt idx="490">
                  <c:v>7074</c:v>
                </c:pt>
                <c:pt idx="491">
                  <c:v>7107.2</c:v>
                </c:pt>
                <c:pt idx="492">
                  <c:v>7053.8</c:v>
                </c:pt>
                <c:pt idx="493">
                  <c:v>6982.2</c:v>
                </c:pt>
                <c:pt idx="494">
                  <c:v>6959.05</c:v>
                </c:pt>
                <c:pt idx="495">
                  <c:v>7017.95</c:v>
                </c:pt>
                <c:pt idx="496">
                  <c:v>6993.6</c:v>
                </c:pt>
                <c:pt idx="497">
                  <c:v>7005.35</c:v>
                </c:pt>
                <c:pt idx="498">
                  <c:v>7007</c:v>
                </c:pt>
                <c:pt idx="499">
                  <c:v>6982.2</c:v>
                </c:pt>
                <c:pt idx="500">
                  <c:v>7034.85</c:v>
                </c:pt>
                <c:pt idx="501">
                  <c:v>6920.3</c:v>
                </c:pt>
                <c:pt idx="502">
                  <c:v>7021.95</c:v>
                </c:pt>
                <c:pt idx="503">
                  <c:v>7153.35</c:v>
                </c:pt>
                <c:pt idx="504">
                  <c:v>7248.9</c:v>
                </c:pt>
                <c:pt idx="505">
                  <c:v>7284.85</c:v>
                </c:pt>
                <c:pt idx="506">
                  <c:v>7377.65</c:v>
                </c:pt>
                <c:pt idx="507">
                  <c:v>7283.45</c:v>
                </c:pt>
                <c:pt idx="508">
                  <c:v>7212.35</c:v>
                </c:pt>
                <c:pt idx="509">
                  <c:v>7177.15</c:v>
                </c:pt>
                <c:pt idx="510">
                  <c:v>6849.75</c:v>
                </c:pt>
                <c:pt idx="511">
                  <c:v>6809.7</c:v>
                </c:pt>
                <c:pt idx="512">
                  <c:v>6705.1</c:v>
                </c:pt>
                <c:pt idx="513">
                  <c:v>6715.6</c:v>
                </c:pt>
                <c:pt idx="514">
                  <c:v>6887.7</c:v>
                </c:pt>
                <c:pt idx="515">
                  <c:v>7085.55</c:v>
                </c:pt>
                <c:pt idx="516">
                  <c:v>7141.4</c:v>
                </c:pt>
                <c:pt idx="517">
                  <c:v>7167.65</c:v>
                </c:pt>
                <c:pt idx="518">
                  <c:v>7189.2</c:v>
                </c:pt>
                <c:pt idx="519">
                  <c:v>7127.25</c:v>
                </c:pt>
                <c:pt idx="520">
                  <c:v>7071.8</c:v>
                </c:pt>
                <c:pt idx="521">
                  <c:v>7250.35</c:v>
                </c:pt>
                <c:pt idx="522">
                  <c:v>7179.75</c:v>
                </c:pt>
                <c:pt idx="523">
                  <c:v>7206.05</c:v>
                </c:pt>
                <c:pt idx="524">
                  <c:v>7179.25</c:v>
                </c:pt>
                <c:pt idx="525">
                  <c:v>7139.2</c:v>
                </c:pt>
                <c:pt idx="526">
                  <c:v>7151.85</c:v>
                </c:pt>
                <c:pt idx="527">
                  <c:v>7171.75</c:v>
                </c:pt>
                <c:pt idx="528">
                  <c:v>7297.85</c:v>
                </c:pt>
                <c:pt idx="529">
                  <c:v>7426.85</c:v>
                </c:pt>
                <c:pt idx="530">
                  <c:v>7340.55</c:v>
                </c:pt>
                <c:pt idx="531">
                  <c:v>7205.75</c:v>
                </c:pt>
                <c:pt idx="532">
                  <c:v>7176.95</c:v>
                </c:pt>
                <c:pt idx="533">
                  <c:v>7216.7</c:v>
                </c:pt>
                <c:pt idx="534">
                  <c:v>7186.65</c:v>
                </c:pt>
                <c:pt idx="535">
                  <c:v>7261.3</c:v>
                </c:pt>
                <c:pt idx="536">
                  <c:v>7274.15</c:v>
                </c:pt>
                <c:pt idx="537">
                  <c:v>7289.2</c:v>
                </c:pt>
                <c:pt idx="538">
                  <c:v>7215.95</c:v>
                </c:pt>
                <c:pt idx="539">
                  <c:v>7200.6</c:v>
                </c:pt>
                <c:pt idx="540">
                  <c:v>7267.25</c:v>
                </c:pt>
                <c:pt idx="541">
                  <c:v>7242.95</c:v>
                </c:pt>
                <c:pt idx="542">
                  <c:v>7226.4</c:v>
                </c:pt>
                <c:pt idx="543">
                  <c:v>7075.6</c:v>
                </c:pt>
                <c:pt idx="544">
                  <c:v>7063.95</c:v>
                </c:pt>
                <c:pt idx="545">
                  <c:v>7100.75</c:v>
                </c:pt>
                <c:pt idx="546">
                  <c:v>7104.6</c:v>
                </c:pt>
                <c:pt idx="547">
                  <c:v>7289.95</c:v>
                </c:pt>
                <c:pt idx="548">
                  <c:v>7243.2</c:v>
                </c:pt>
                <c:pt idx="549">
                  <c:v>7352.75</c:v>
                </c:pt>
                <c:pt idx="550">
                  <c:v>7396.65</c:v>
                </c:pt>
                <c:pt idx="551">
                  <c:v>7407.95</c:v>
                </c:pt>
                <c:pt idx="552">
                  <c:v>7405.65</c:v>
                </c:pt>
                <c:pt idx="553">
                  <c:v>7450.2</c:v>
                </c:pt>
                <c:pt idx="554">
                  <c:v>7403.1</c:v>
                </c:pt>
                <c:pt idx="555">
                  <c:v>7570.75</c:v>
                </c:pt>
                <c:pt idx="556">
                  <c:v>7622.15</c:v>
                </c:pt>
                <c:pt idx="557">
                  <c:v>7640.5</c:v>
                </c:pt>
                <c:pt idx="558">
                  <c:v>7691.95</c:v>
                </c:pt>
                <c:pt idx="559">
                  <c:v>7701.85</c:v>
                </c:pt>
                <c:pt idx="560">
                  <c:v>7696.25</c:v>
                </c:pt>
                <c:pt idx="561">
                  <c:v>7741.45</c:v>
                </c:pt>
                <c:pt idx="562">
                  <c:v>7682.85</c:v>
                </c:pt>
                <c:pt idx="563">
                  <c:v>7655.25</c:v>
                </c:pt>
                <c:pt idx="564">
                  <c:v>7742.45</c:v>
                </c:pt>
                <c:pt idx="565">
                  <c:v>7595.3</c:v>
                </c:pt>
                <c:pt idx="566">
                  <c:v>7515.9</c:v>
                </c:pt>
                <c:pt idx="567">
                  <c:v>7475.8</c:v>
                </c:pt>
                <c:pt idx="568">
                  <c:v>7358.5</c:v>
                </c:pt>
                <c:pt idx="569">
                  <c:v>7440.55</c:v>
                </c:pt>
                <c:pt idx="570">
                  <c:v>7439.2</c:v>
                </c:pt>
                <c:pt idx="571">
                  <c:v>7456.9</c:v>
                </c:pt>
                <c:pt idx="572">
                  <c:v>7500.9</c:v>
                </c:pt>
                <c:pt idx="573">
                  <c:v>7556.2</c:v>
                </c:pt>
                <c:pt idx="574">
                  <c:v>7456.6</c:v>
                </c:pt>
                <c:pt idx="575">
                  <c:v>7507.2</c:v>
                </c:pt>
                <c:pt idx="576">
                  <c:v>7502.25</c:v>
                </c:pt>
                <c:pt idx="577">
                  <c:v>7628.8</c:v>
                </c:pt>
                <c:pt idx="578">
                  <c:v>7735.45</c:v>
                </c:pt>
                <c:pt idx="579">
                  <c:v>7716.25</c:v>
                </c:pt>
                <c:pt idx="580">
                  <c:v>7743.2</c:v>
                </c:pt>
                <c:pt idx="581">
                  <c:v>7835.45</c:v>
                </c:pt>
                <c:pt idx="582">
                  <c:v>7702.95</c:v>
                </c:pt>
                <c:pt idx="583">
                  <c:v>7760.95</c:v>
                </c:pt>
                <c:pt idx="584">
                  <c:v>7698.7</c:v>
                </c:pt>
                <c:pt idx="585">
                  <c:v>7700.45</c:v>
                </c:pt>
                <c:pt idx="586">
                  <c:v>7604.15</c:v>
                </c:pt>
                <c:pt idx="587">
                  <c:v>7681.3</c:v>
                </c:pt>
                <c:pt idx="588">
                  <c:v>7715.65</c:v>
                </c:pt>
                <c:pt idx="589">
                  <c:v>7654.25</c:v>
                </c:pt>
                <c:pt idx="590">
                  <c:v>7653.8</c:v>
                </c:pt>
                <c:pt idx="591">
                  <c:v>7621.75</c:v>
                </c:pt>
                <c:pt idx="592">
                  <c:v>7721.85</c:v>
                </c:pt>
                <c:pt idx="593">
                  <c:v>7840.55</c:v>
                </c:pt>
                <c:pt idx="594">
                  <c:v>7901.95</c:v>
                </c:pt>
                <c:pt idx="595">
                  <c:v>7870.05</c:v>
                </c:pt>
                <c:pt idx="596">
                  <c:v>7842.8</c:v>
                </c:pt>
                <c:pt idx="597">
                  <c:v>7850.65</c:v>
                </c:pt>
                <c:pt idx="598">
                  <c:v>7882</c:v>
                </c:pt>
                <c:pt idx="599">
                  <c:v>8109.55</c:v>
                </c:pt>
                <c:pt idx="600">
                  <c:v>8157.6</c:v>
                </c:pt>
                <c:pt idx="601">
                  <c:v>8100.15</c:v>
                </c:pt>
                <c:pt idx="602">
                  <c:v>8153.25</c:v>
                </c:pt>
                <c:pt idx="603">
                  <c:v>8198.6</c:v>
                </c:pt>
                <c:pt idx="604">
                  <c:v>8276.2999999999993</c:v>
                </c:pt>
                <c:pt idx="605">
                  <c:v>8358.2999999999993</c:v>
                </c:pt>
                <c:pt idx="606">
                  <c:v>8333.2000000000007</c:v>
                </c:pt>
                <c:pt idx="607">
                  <c:v>8333.25</c:v>
                </c:pt>
                <c:pt idx="608">
                  <c:v>8268.6</c:v>
                </c:pt>
                <c:pt idx="609">
                  <c:v>8243.4500000000007</c:v>
                </c:pt>
                <c:pt idx="610">
                  <c:v>8241.5499999999993</c:v>
                </c:pt>
                <c:pt idx="611">
                  <c:v>8162.75</c:v>
                </c:pt>
                <c:pt idx="612">
                  <c:v>8080.2</c:v>
                </c:pt>
                <c:pt idx="613">
                  <c:v>8167.1</c:v>
                </c:pt>
                <c:pt idx="614">
                  <c:v>8208.5</c:v>
                </c:pt>
                <c:pt idx="615">
                  <c:v>8260.65</c:v>
                </c:pt>
                <c:pt idx="616">
                  <c:v>8294.75</c:v>
                </c:pt>
                <c:pt idx="617">
                  <c:v>8463.7999999999993</c:v>
                </c:pt>
                <c:pt idx="618">
                  <c:v>8411.7000000000007</c:v>
                </c:pt>
                <c:pt idx="619">
                  <c:v>8377.2000000000007</c:v>
                </c:pt>
                <c:pt idx="620">
                  <c:v>8410.2000000000007</c:v>
                </c:pt>
                <c:pt idx="621">
                  <c:v>8336.4500000000007</c:v>
                </c:pt>
                <c:pt idx="622">
                  <c:v>8351.35</c:v>
                </c:pt>
                <c:pt idx="623">
                  <c:v>8325.9</c:v>
                </c:pt>
                <c:pt idx="624">
                  <c:v>8220.5</c:v>
                </c:pt>
                <c:pt idx="625">
                  <c:v>8234</c:v>
                </c:pt>
                <c:pt idx="626">
                  <c:v>8182.55</c:v>
                </c:pt>
                <c:pt idx="627">
                  <c:v>8251</c:v>
                </c:pt>
                <c:pt idx="628">
                  <c:v>8176</c:v>
                </c:pt>
                <c:pt idx="629">
                  <c:v>8329.2000000000007</c:v>
                </c:pt>
                <c:pt idx="630">
                  <c:v>8224.15</c:v>
                </c:pt>
                <c:pt idx="631">
                  <c:v>8119.2</c:v>
                </c:pt>
                <c:pt idx="632">
                  <c:v>8219.85</c:v>
                </c:pt>
                <c:pt idx="633">
                  <c:v>8393.2999999999993</c:v>
                </c:pt>
                <c:pt idx="634">
                  <c:v>8352.35</c:v>
                </c:pt>
                <c:pt idx="635">
                  <c:v>8288.25</c:v>
                </c:pt>
                <c:pt idx="636">
                  <c:v>8306.75</c:v>
                </c:pt>
                <c:pt idx="637">
                  <c:v>8318.15</c:v>
                </c:pt>
                <c:pt idx="638">
                  <c:v>8281.7999999999993</c:v>
                </c:pt>
                <c:pt idx="639">
                  <c:v>8287.7000000000007</c:v>
                </c:pt>
                <c:pt idx="640">
                  <c:v>8136.15</c:v>
                </c:pt>
                <c:pt idx="641">
                  <c:v>8158.15</c:v>
                </c:pt>
                <c:pt idx="642">
                  <c:v>8175.45</c:v>
                </c:pt>
                <c:pt idx="643">
                  <c:v>8156.85</c:v>
                </c:pt>
                <c:pt idx="644">
                  <c:v>8111.25</c:v>
                </c:pt>
                <c:pt idx="645">
                  <c:v>8102.2</c:v>
                </c:pt>
                <c:pt idx="646">
                  <c:v>8132.95</c:v>
                </c:pt>
                <c:pt idx="647">
                  <c:v>8054.3</c:v>
                </c:pt>
                <c:pt idx="648">
                  <c:v>8251.9</c:v>
                </c:pt>
                <c:pt idx="649">
                  <c:v>8207.35</c:v>
                </c:pt>
                <c:pt idx="650">
                  <c:v>8214.85</c:v>
                </c:pt>
                <c:pt idx="651">
                  <c:v>8219.2999999999993</c:v>
                </c:pt>
                <c:pt idx="652">
                  <c:v>8203.5</c:v>
                </c:pt>
                <c:pt idx="653">
                  <c:v>8161.9</c:v>
                </c:pt>
                <c:pt idx="654">
                  <c:v>8211.4</c:v>
                </c:pt>
                <c:pt idx="655">
                  <c:v>8071.45</c:v>
                </c:pt>
                <c:pt idx="656">
                  <c:v>8117.65</c:v>
                </c:pt>
                <c:pt idx="657">
                  <c:v>8199.7000000000007</c:v>
                </c:pt>
                <c:pt idx="658">
                  <c:v>8265.9500000000007</c:v>
                </c:pt>
                <c:pt idx="659">
                  <c:v>8297.4500000000007</c:v>
                </c:pt>
                <c:pt idx="660">
                  <c:v>8262.4</c:v>
                </c:pt>
                <c:pt idx="661">
                  <c:v>8582.5499999999993</c:v>
                </c:pt>
                <c:pt idx="662">
                  <c:v>8454.85</c:v>
                </c:pt>
                <c:pt idx="663">
                  <c:v>8537.4</c:v>
                </c:pt>
                <c:pt idx="664">
                  <c:v>8495.15</c:v>
                </c:pt>
                <c:pt idx="665">
                  <c:v>8430.5499999999993</c:v>
                </c:pt>
                <c:pt idx="666">
                  <c:v>8461.7000000000007</c:v>
                </c:pt>
                <c:pt idx="667">
                  <c:v>8571.65</c:v>
                </c:pt>
                <c:pt idx="668">
                  <c:v>8636.35</c:v>
                </c:pt>
                <c:pt idx="669">
                  <c:v>8687.9500000000007</c:v>
                </c:pt>
                <c:pt idx="670">
                  <c:v>8728.35</c:v>
                </c:pt>
                <c:pt idx="671">
                  <c:v>8628</c:v>
                </c:pt>
                <c:pt idx="672">
                  <c:v>8458.15</c:v>
                </c:pt>
                <c:pt idx="673">
                  <c:v>8313.5499999999993</c:v>
                </c:pt>
                <c:pt idx="674">
                  <c:v>8187.4</c:v>
                </c:pt>
                <c:pt idx="675">
                  <c:v>8206.2000000000007</c:v>
                </c:pt>
                <c:pt idx="676">
                  <c:v>8228.9</c:v>
                </c:pt>
                <c:pt idx="677">
                  <c:v>8262.7000000000007</c:v>
                </c:pt>
                <c:pt idx="678">
                  <c:v>8154.35</c:v>
                </c:pt>
                <c:pt idx="679">
                  <c:v>8254.85</c:v>
                </c:pt>
                <c:pt idx="680">
                  <c:v>8304.9</c:v>
                </c:pt>
                <c:pt idx="681">
                  <c:v>8120.85</c:v>
                </c:pt>
                <c:pt idx="682">
                  <c:v>8177.45</c:v>
                </c:pt>
                <c:pt idx="683">
                  <c:v>8195.4500000000007</c:v>
                </c:pt>
                <c:pt idx="684">
                  <c:v>8110.1</c:v>
                </c:pt>
                <c:pt idx="685">
                  <c:v>8158.3</c:v>
                </c:pt>
                <c:pt idx="686">
                  <c:v>8343</c:v>
                </c:pt>
                <c:pt idx="687">
                  <c:v>8351.75</c:v>
                </c:pt>
                <c:pt idx="688">
                  <c:v>8369</c:v>
                </c:pt>
                <c:pt idx="689">
                  <c:v>8292.2000000000007</c:v>
                </c:pt>
                <c:pt idx="690">
                  <c:v>8301.4</c:v>
                </c:pt>
                <c:pt idx="691">
                  <c:v>8278.2999999999993</c:v>
                </c:pt>
                <c:pt idx="692">
                  <c:v>8518.5499999999993</c:v>
                </c:pt>
                <c:pt idx="693">
                  <c:v>8461.0499999999993</c:v>
                </c:pt>
                <c:pt idx="694">
                  <c:v>8325.25</c:v>
                </c:pt>
                <c:pt idx="695">
                  <c:v>8256.35</c:v>
                </c:pt>
                <c:pt idx="696">
                  <c:v>8205.2999999999993</c:v>
                </c:pt>
                <c:pt idx="697">
                  <c:v>8210.15</c:v>
                </c:pt>
                <c:pt idx="698">
                  <c:v>8401.6</c:v>
                </c:pt>
                <c:pt idx="699">
                  <c:v>8422.25</c:v>
                </c:pt>
                <c:pt idx="700">
                  <c:v>8381.4500000000007</c:v>
                </c:pt>
                <c:pt idx="701">
                  <c:v>8459</c:v>
                </c:pt>
                <c:pt idx="702">
                  <c:v>8522.6</c:v>
                </c:pt>
                <c:pt idx="703">
                  <c:v>8640.9500000000007</c:v>
                </c:pt>
                <c:pt idx="704">
                  <c:v>8685.75</c:v>
                </c:pt>
                <c:pt idx="705">
                  <c:v>8698.85</c:v>
                </c:pt>
                <c:pt idx="706">
                  <c:v>8627.0499999999993</c:v>
                </c:pt>
                <c:pt idx="707">
                  <c:v>8710.85</c:v>
                </c:pt>
                <c:pt idx="708">
                  <c:v>8722.9500000000007</c:v>
                </c:pt>
                <c:pt idx="709">
                  <c:v>8677.4</c:v>
                </c:pt>
                <c:pt idx="710">
                  <c:v>8766.9</c:v>
                </c:pt>
                <c:pt idx="711">
                  <c:v>8775.0499999999993</c:v>
                </c:pt>
                <c:pt idx="712">
                  <c:v>8790.9500000000007</c:v>
                </c:pt>
                <c:pt idx="713">
                  <c:v>8661.5</c:v>
                </c:pt>
                <c:pt idx="714">
                  <c:v>8708.35</c:v>
                </c:pt>
                <c:pt idx="715">
                  <c:v>8759.9</c:v>
                </c:pt>
                <c:pt idx="716">
                  <c:v>8605.25</c:v>
                </c:pt>
                <c:pt idx="717">
                  <c:v>8556.2000000000007</c:v>
                </c:pt>
                <c:pt idx="718">
                  <c:v>8726.5</c:v>
                </c:pt>
                <c:pt idx="719">
                  <c:v>8732.75</c:v>
                </c:pt>
                <c:pt idx="720">
                  <c:v>9003.65</c:v>
                </c:pt>
                <c:pt idx="721">
                  <c:v>9033.85</c:v>
                </c:pt>
                <c:pt idx="722">
                  <c:v>9317.75</c:v>
                </c:pt>
                <c:pt idx="723">
                  <c:v>9329.75</c:v>
                </c:pt>
                <c:pt idx="724">
                  <c:v>9213</c:v>
                </c:pt>
                <c:pt idx="725">
                  <c:v>9354.5499999999993</c:v>
                </c:pt>
                <c:pt idx="726">
                  <c:v>9413.5499999999993</c:v>
                </c:pt>
                <c:pt idx="727">
                  <c:v>9670.9</c:v>
                </c:pt>
                <c:pt idx="728">
                  <c:v>9863.5</c:v>
                </c:pt>
                <c:pt idx="729">
                  <c:v>9739.15</c:v>
                </c:pt>
                <c:pt idx="730">
                  <c:v>9963.2999999999993</c:v>
                </c:pt>
                <c:pt idx="731">
                  <c:v>10029.450000000001</c:v>
                </c:pt>
                <c:pt idx="732">
                  <c:v>9970.35</c:v>
                </c:pt>
                <c:pt idx="733">
                  <c:v>10017.1</c:v>
                </c:pt>
                <c:pt idx="734">
                  <c:v>9887.4500000000007</c:v>
                </c:pt>
                <c:pt idx="735">
                  <c:v>9954.4500000000007</c:v>
                </c:pt>
                <c:pt idx="736">
                  <c:v>9969</c:v>
                </c:pt>
                <c:pt idx="737">
                  <c:v>10018.65</c:v>
                </c:pt>
                <c:pt idx="738">
                  <c:v>10436.1</c:v>
                </c:pt>
                <c:pt idx="739">
                  <c:v>10426.299999999999</c:v>
                </c:pt>
                <c:pt idx="740">
                  <c:v>10503.05</c:v>
                </c:pt>
                <c:pt idx="741">
                  <c:v>10464</c:v>
                </c:pt>
                <c:pt idx="742">
                  <c:v>10204.700000000001</c:v>
                </c:pt>
                <c:pt idx="743">
                  <c:v>10111.549999999999</c:v>
                </c:pt>
                <c:pt idx="744">
                  <c:v>10014.799999999999</c:v>
                </c:pt>
                <c:pt idx="745">
                  <c:v>10016.049999999999</c:v>
                </c:pt>
                <c:pt idx="746">
                  <c:v>9934.5</c:v>
                </c:pt>
                <c:pt idx="747">
                  <c:v>9899.1</c:v>
                </c:pt>
                <c:pt idx="748">
                  <c:v>9776.2000000000007</c:v>
                </c:pt>
                <c:pt idx="749">
                  <c:v>9920.4500000000007</c:v>
                </c:pt>
                <c:pt idx="750">
                  <c:v>9808.4500000000007</c:v>
                </c:pt>
                <c:pt idx="751">
                  <c:v>9954.5499999999993</c:v>
                </c:pt>
                <c:pt idx="752">
                  <c:v>9969.6</c:v>
                </c:pt>
                <c:pt idx="753">
                  <c:v>9854.65</c:v>
                </c:pt>
                <c:pt idx="754">
                  <c:v>9892.25</c:v>
                </c:pt>
                <c:pt idx="755">
                  <c:v>10093.700000000001</c:v>
                </c:pt>
                <c:pt idx="756">
                  <c:v>9997.4</c:v>
                </c:pt>
                <c:pt idx="757">
                  <c:v>9831</c:v>
                </c:pt>
                <c:pt idx="758">
                  <c:v>9990.5</c:v>
                </c:pt>
                <c:pt idx="759">
                  <c:v>9969.35</c:v>
                </c:pt>
                <c:pt idx="760">
                  <c:v>10274.049999999999</c:v>
                </c:pt>
                <c:pt idx="761">
                  <c:v>9963.6</c:v>
                </c:pt>
                <c:pt idx="762">
                  <c:v>10167.35</c:v>
                </c:pt>
                <c:pt idx="763">
                  <c:v>9922.2999999999993</c:v>
                </c:pt>
                <c:pt idx="764">
                  <c:v>10098.549999999999</c:v>
                </c:pt>
                <c:pt idx="765">
                  <c:v>9916.35</c:v>
                </c:pt>
                <c:pt idx="766">
                  <c:v>10048.75</c:v>
                </c:pt>
                <c:pt idx="767">
                  <c:v>10226.5</c:v>
                </c:pt>
                <c:pt idx="768">
                  <c:v>9997.65</c:v>
                </c:pt>
                <c:pt idx="769">
                  <c:v>9945.75</c:v>
                </c:pt>
                <c:pt idx="770">
                  <c:v>9963.85</c:v>
                </c:pt>
                <c:pt idx="771">
                  <c:v>9852.4</c:v>
                </c:pt>
                <c:pt idx="772">
                  <c:v>9787.7999999999993</c:v>
                </c:pt>
                <c:pt idx="773">
                  <c:v>9814.2999999999993</c:v>
                </c:pt>
                <c:pt idx="774">
                  <c:v>9916.2000000000007</c:v>
                </c:pt>
                <c:pt idx="775">
                  <c:v>9902.2000000000007</c:v>
                </c:pt>
                <c:pt idx="776">
                  <c:v>9978.9500000000007</c:v>
                </c:pt>
                <c:pt idx="777">
                  <c:v>9968.4</c:v>
                </c:pt>
                <c:pt idx="778">
                  <c:v>9961.2000000000007</c:v>
                </c:pt>
                <c:pt idx="779">
                  <c:v>10000.9</c:v>
                </c:pt>
                <c:pt idx="780">
                  <c:v>9930.0499999999993</c:v>
                </c:pt>
                <c:pt idx="781">
                  <c:v>9951.1</c:v>
                </c:pt>
                <c:pt idx="782">
                  <c:v>9804.9500000000007</c:v>
                </c:pt>
                <c:pt idx="783">
                  <c:v>9892.4</c:v>
                </c:pt>
                <c:pt idx="784">
                  <c:v>10135.5</c:v>
                </c:pt>
                <c:pt idx="785">
                  <c:v>10106.35</c:v>
                </c:pt>
                <c:pt idx="786">
                  <c:v>9978.4</c:v>
                </c:pt>
                <c:pt idx="787">
                  <c:v>9838.35</c:v>
                </c:pt>
                <c:pt idx="788">
                  <c:v>9641.0499999999993</c:v>
                </c:pt>
                <c:pt idx="789">
                  <c:v>9673.15</c:v>
                </c:pt>
                <c:pt idx="790">
                  <c:v>9697.9</c:v>
                </c:pt>
                <c:pt idx="791">
                  <c:v>9615.5</c:v>
                </c:pt>
                <c:pt idx="792">
                  <c:v>9593.5499999999993</c:v>
                </c:pt>
                <c:pt idx="793">
                  <c:v>9696.9500000000007</c:v>
                </c:pt>
                <c:pt idx="794">
                  <c:v>9632.9500000000007</c:v>
                </c:pt>
                <c:pt idx="795">
                  <c:v>9611.35</c:v>
                </c:pt>
                <c:pt idx="796">
                  <c:v>9453.25</c:v>
                </c:pt>
                <c:pt idx="797">
                  <c:v>9484.5499999999993</c:v>
                </c:pt>
                <c:pt idx="798">
                  <c:v>9600.75</c:v>
                </c:pt>
                <c:pt idx="799">
                  <c:v>9681.75</c:v>
                </c:pt>
                <c:pt idx="800">
                  <c:v>9600.7000000000007</c:v>
                </c:pt>
                <c:pt idx="801">
                  <c:v>9623.4500000000007</c:v>
                </c:pt>
                <c:pt idx="802">
                  <c:v>9749.15</c:v>
                </c:pt>
                <c:pt idx="803">
                  <c:v>9954.4</c:v>
                </c:pt>
                <c:pt idx="804">
                  <c:v>10038.15</c:v>
                </c:pt>
                <c:pt idx="805">
                  <c:v>10001.9</c:v>
                </c:pt>
                <c:pt idx="806">
                  <c:v>10005.1</c:v>
                </c:pt>
                <c:pt idx="807">
                  <c:v>9823.6</c:v>
                </c:pt>
                <c:pt idx="808">
                  <c:v>9863.75</c:v>
                </c:pt>
                <c:pt idx="809">
                  <c:v>9769.15</c:v>
                </c:pt>
                <c:pt idx="810">
                  <c:v>9817.85</c:v>
                </c:pt>
                <c:pt idx="811">
                  <c:v>9652.5499999999993</c:v>
                </c:pt>
                <c:pt idx="812">
                  <c:v>9506.25</c:v>
                </c:pt>
                <c:pt idx="813">
                  <c:v>9463.7999999999993</c:v>
                </c:pt>
                <c:pt idx="814">
                  <c:v>9382.75</c:v>
                </c:pt>
                <c:pt idx="815">
                  <c:v>9363.9500000000007</c:v>
                </c:pt>
                <c:pt idx="816">
                  <c:v>9565.25</c:v>
                </c:pt>
                <c:pt idx="817">
                  <c:v>9533.5499999999993</c:v>
                </c:pt>
                <c:pt idx="818">
                  <c:v>9658.85</c:v>
                </c:pt>
                <c:pt idx="819">
                  <c:v>9683.75</c:v>
                </c:pt>
                <c:pt idx="820">
                  <c:v>9700.9</c:v>
                </c:pt>
                <c:pt idx="821">
                  <c:v>9964.4500000000007</c:v>
                </c:pt>
                <c:pt idx="822">
                  <c:v>9971.85</c:v>
                </c:pt>
                <c:pt idx="823">
                  <c:v>9983.4500000000007</c:v>
                </c:pt>
                <c:pt idx="824">
                  <c:v>9816.2999999999993</c:v>
                </c:pt>
                <c:pt idx="825">
                  <c:v>9776.9</c:v>
                </c:pt>
                <c:pt idx="826">
                  <c:v>9682.4</c:v>
                </c:pt>
                <c:pt idx="827">
                  <c:v>9519.4</c:v>
                </c:pt>
                <c:pt idx="828">
                  <c:v>9446.1</c:v>
                </c:pt>
                <c:pt idx="829">
                  <c:v>9491.7000000000007</c:v>
                </c:pt>
                <c:pt idx="830">
                  <c:v>9551.5</c:v>
                </c:pt>
                <c:pt idx="831">
                  <c:v>9660.65</c:v>
                </c:pt>
                <c:pt idx="832">
                  <c:v>9614.1</c:v>
                </c:pt>
                <c:pt idx="833">
                  <c:v>9709.1</c:v>
                </c:pt>
                <c:pt idx="834">
                  <c:v>9890.35</c:v>
                </c:pt>
                <c:pt idx="835">
                  <c:v>9865.6</c:v>
                </c:pt>
                <c:pt idx="836">
                  <c:v>9789.4</c:v>
                </c:pt>
                <c:pt idx="837">
                  <c:v>9894.85</c:v>
                </c:pt>
                <c:pt idx="838">
                  <c:v>10170.549999999999</c:v>
                </c:pt>
                <c:pt idx="839">
                  <c:v>10231.1</c:v>
                </c:pt>
                <c:pt idx="840">
                  <c:v>10225.5</c:v>
                </c:pt>
                <c:pt idx="841">
                  <c:v>10178.9</c:v>
                </c:pt>
                <c:pt idx="842">
                  <c:v>10023.4</c:v>
                </c:pt>
                <c:pt idx="843">
                  <c:v>9868.85</c:v>
                </c:pt>
                <c:pt idx="844">
                  <c:v>9915.5</c:v>
                </c:pt>
                <c:pt idx="845">
                  <c:v>10470.049999999999</c:v>
                </c:pt>
                <c:pt idx="846">
                  <c:v>9918.2999999999993</c:v>
                </c:pt>
                <c:pt idx="847">
                  <c:v>10038.1</c:v>
                </c:pt>
                <c:pt idx="848">
                  <c:v>10054.950000000001</c:v>
                </c:pt>
                <c:pt idx="849">
                  <c:v>10463.15</c:v>
                </c:pt>
                <c:pt idx="850">
                  <c:v>10826.25</c:v>
                </c:pt>
                <c:pt idx="851">
                  <c:v>10933.55</c:v>
                </c:pt>
                <c:pt idx="852">
                  <c:v>11044.8</c:v>
                </c:pt>
                <c:pt idx="853">
                  <c:v>11173.8</c:v>
                </c:pt>
                <c:pt idx="854">
                  <c:v>11242.8</c:v>
                </c:pt>
                <c:pt idx="855">
                  <c:v>11119.05</c:v>
                </c:pt>
                <c:pt idx="856">
                  <c:v>10995.55</c:v>
                </c:pt>
                <c:pt idx="857">
                  <c:v>10903.2</c:v>
                </c:pt>
                <c:pt idx="858">
                  <c:v>10662.4</c:v>
                </c:pt>
                <c:pt idx="859">
                  <c:v>10786</c:v>
                </c:pt>
                <c:pt idx="860">
                  <c:v>10846.2</c:v>
                </c:pt>
                <c:pt idx="861">
                  <c:v>11143.1</c:v>
                </c:pt>
                <c:pt idx="862">
                  <c:v>11716.7</c:v>
                </c:pt>
                <c:pt idx="863">
                  <c:v>11667.9</c:v>
                </c:pt>
                <c:pt idx="864">
                  <c:v>11904.65</c:v>
                </c:pt>
                <c:pt idx="865">
                  <c:v>11853.95</c:v>
                </c:pt>
                <c:pt idx="866">
                  <c:v>11872.1</c:v>
                </c:pt>
                <c:pt idx="867">
                  <c:v>11760.05</c:v>
                </c:pt>
                <c:pt idx="868">
                  <c:v>11690.15</c:v>
                </c:pt>
                <c:pt idx="869">
                  <c:v>11582.9</c:v>
                </c:pt>
                <c:pt idx="870">
                  <c:v>11679.8</c:v>
                </c:pt>
                <c:pt idx="871">
                  <c:v>11634.25</c:v>
                </c:pt>
                <c:pt idx="872">
                  <c:v>11554.95</c:v>
                </c:pt>
                <c:pt idx="873">
                  <c:v>11602.3</c:v>
                </c:pt>
                <c:pt idx="874">
                  <c:v>11833.65</c:v>
                </c:pt>
                <c:pt idx="875">
                  <c:v>11658.7</c:v>
                </c:pt>
                <c:pt idx="876">
                  <c:v>11647.25</c:v>
                </c:pt>
                <c:pt idx="877">
                  <c:v>11258.3</c:v>
                </c:pt>
                <c:pt idx="878">
                  <c:v>11515.7</c:v>
                </c:pt>
                <c:pt idx="879">
                  <c:v>11545.8</c:v>
                </c:pt>
                <c:pt idx="880">
                  <c:v>11453.4</c:v>
                </c:pt>
                <c:pt idx="881">
                  <c:v>11441.5</c:v>
                </c:pt>
                <c:pt idx="882">
                  <c:v>11673.05</c:v>
                </c:pt>
                <c:pt idx="883">
                  <c:v>11873.8</c:v>
                </c:pt>
                <c:pt idx="884">
                  <c:v>11806.45</c:v>
                </c:pt>
                <c:pt idx="885">
                  <c:v>11887.2</c:v>
                </c:pt>
                <c:pt idx="886">
                  <c:v>11984.5</c:v>
                </c:pt>
                <c:pt idx="887">
                  <c:v>11764.5</c:v>
                </c:pt>
                <c:pt idx="888">
                  <c:v>11417.25</c:v>
                </c:pt>
                <c:pt idx="889">
                  <c:v>11325.3</c:v>
                </c:pt>
                <c:pt idx="890">
                  <c:v>11543.2</c:v>
                </c:pt>
                <c:pt idx="891">
                  <c:v>11258</c:v>
                </c:pt>
                <c:pt idx="892">
                  <c:v>11300.35</c:v>
                </c:pt>
                <c:pt idx="893">
                  <c:v>11302.85</c:v>
                </c:pt>
                <c:pt idx="894">
                  <c:v>11271.2</c:v>
                </c:pt>
                <c:pt idx="895">
                  <c:v>11002.6</c:v>
                </c:pt>
                <c:pt idx="896">
                  <c:v>11295.7</c:v>
                </c:pt>
                <c:pt idx="897">
                  <c:v>11315.35</c:v>
                </c:pt>
                <c:pt idx="898">
                  <c:v>11349.7</c:v>
                </c:pt>
                <c:pt idx="899">
                  <c:v>11200.9</c:v>
                </c:pt>
                <c:pt idx="900">
                  <c:v>11309.4</c:v>
                </c:pt>
                <c:pt idx="901">
                  <c:v>11341.8</c:v>
                </c:pt>
                <c:pt idx="902">
                  <c:v>11337.1</c:v>
                </c:pt>
                <c:pt idx="903">
                  <c:v>11300.35</c:v>
                </c:pt>
                <c:pt idx="904">
                  <c:v>11234.8</c:v>
                </c:pt>
                <c:pt idx="905">
                  <c:v>11222</c:v>
                </c:pt>
                <c:pt idx="906">
                  <c:v>11301.9</c:v>
                </c:pt>
                <c:pt idx="907">
                  <c:v>11424.9</c:v>
                </c:pt>
                <c:pt idx="908">
                  <c:v>11460.8</c:v>
                </c:pt>
                <c:pt idx="909">
                  <c:v>11580.45</c:v>
                </c:pt>
                <c:pt idx="910">
                  <c:v>11542.65</c:v>
                </c:pt>
                <c:pt idx="911">
                  <c:v>11432.85</c:v>
                </c:pt>
                <c:pt idx="912">
                  <c:v>11494.35</c:v>
                </c:pt>
                <c:pt idx="913">
                  <c:v>11541.05</c:v>
                </c:pt>
                <c:pt idx="914">
                  <c:v>11487.45</c:v>
                </c:pt>
                <c:pt idx="915">
                  <c:v>11710.25</c:v>
                </c:pt>
                <c:pt idx="916">
                  <c:v>11717.95</c:v>
                </c:pt>
                <c:pt idx="917">
                  <c:v>11642.65</c:v>
                </c:pt>
                <c:pt idx="918">
                  <c:v>11645.65</c:v>
                </c:pt>
                <c:pt idx="919">
                  <c:v>11630.9</c:v>
                </c:pt>
                <c:pt idx="920">
                  <c:v>11627.5</c:v>
                </c:pt>
                <c:pt idx="921">
                  <c:v>11798.3</c:v>
                </c:pt>
                <c:pt idx="922">
                  <c:v>11962.05</c:v>
                </c:pt>
                <c:pt idx="923">
                  <c:v>11761.65</c:v>
                </c:pt>
                <c:pt idx="924">
                  <c:v>11816.3</c:v>
                </c:pt>
                <c:pt idx="925">
                  <c:v>12065</c:v>
                </c:pt>
                <c:pt idx="926">
                  <c:v>11952.3</c:v>
                </c:pt>
                <c:pt idx="927">
                  <c:v>11802</c:v>
                </c:pt>
                <c:pt idx="928">
                  <c:v>11837.15</c:v>
                </c:pt>
                <c:pt idx="929">
                  <c:v>11724.8</c:v>
                </c:pt>
                <c:pt idx="930">
                  <c:v>11450.25</c:v>
                </c:pt>
                <c:pt idx="931">
                  <c:v>11230.35</c:v>
                </c:pt>
                <c:pt idx="932">
                  <c:v>11389.8</c:v>
                </c:pt>
                <c:pt idx="933">
                  <c:v>11350.15</c:v>
                </c:pt>
                <c:pt idx="934">
                  <c:v>11430.05</c:v>
                </c:pt>
                <c:pt idx="935">
                  <c:v>11421.3</c:v>
                </c:pt>
                <c:pt idx="936">
                  <c:v>11300.3</c:v>
                </c:pt>
                <c:pt idx="937">
                  <c:v>11416.9</c:v>
                </c:pt>
                <c:pt idx="938">
                  <c:v>11322.3</c:v>
                </c:pt>
                <c:pt idx="939">
                  <c:v>11017.3</c:v>
                </c:pt>
                <c:pt idx="940">
                  <c:v>11069.3</c:v>
                </c:pt>
                <c:pt idx="941">
                  <c:v>10869.3</c:v>
                </c:pt>
                <c:pt idx="942">
                  <c:v>10825.15</c:v>
                </c:pt>
                <c:pt idx="943">
                  <c:v>10753.05</c:v>
                </c:pt>
                <c:pt idx="944">
                  <c:v>11043.6</c:v>
                </c:pt>
                <c:pt idx="945">
                  <c:v>10995.2</c:v>
                </c:pt>
                <c:pt idx="946">
                  <c:v>11092.6</c:v>
                </c:pt>
                <c:pt idx="947">
                  <c:v>11112.1</c:v>
                </c:pt>
                <c:pt idx="948">
                  <c:v>11205.1</c:v>
                </c:pt>
                <c:pt idx="949">
                  <c:v>11065.65</c:v>
                </c:pt>
                <c:pt idx="950">
                  <c:v>11145.8</c:v>
                </c:pt>
                <c:pt idx="951">
                  <c:v>11001.85</c:v>
                </c:pt>
                <c:pt idx="952">
                  <c:v>11176.35</c:v>
                </c:pt>
                <c:pt idx="953">
                  <c:v>11274.4</c:v>
                </c:pt>
                <c:pt idx="954">
                  <c:v>11050.8</c:v>
                </c:pt>
                <c:pt idx="955">
                  <c:v>11043.35</c:v>
                </c:pt>
                <c:pt idx="956">
                  <c:v>10970.45</c:v>
                </c:pt>
                <c:pt idx="957">
                  <c:v>10892</c:v>
                </c:pt>
                <c:pt idx="958">
                  <c:v>10782.2</c:v>
                </c:pt>
                <c:pt idx="959">
                  <c:v>10728.5</c:v>
                </c:pt>
                <c:pt idx="960">
                  <c:v>10630.9</c:v>
                </c:pt>
                <c:pt idx="961">
                  <c:v>10769.55</c:v>
                </c:pt>
                <c:pt idx="962">
                  <c:v>10954.85</c:v>
                </c:pt>
                <c:pt idx="963">
                  <c:v>11375.3</c:v>
                </c:pt>
                <c:pt idx="964">
                  <c:v>11457.45</c:v>
                </c:pt>
                <c:pt idx="965">
                  <c:v>11121.05</c:v>
                </c:pt>
                <c:pt idx="966">
                  <c:v>11139.9</c:v>
                </c:pt>
                <c:pt idx="967">
                  <c:v>10997.8</c:v>
                </c:pt>
                <c:pt idx="968">
                  <c:v>11202.15</c:v>
                </c:pt>
                <c:pt idx="969">
                  <c:v>11648.55</c:v>
                </c:pt>
                <c:pt idx="970">
                  <c:v>11852.35</c:v>
                </c:pt>
                <c:pt idx="971">
                  <c:v>11766.8</c:v>
                </c:pt>
                <c:pt idx="972">
                  <c:v>11932.8</c:v>
                </c:pt>
                <c:pt idx="973">
                  <c:v>11848.5</c:v>
                </c:pt>
                <c:pt idx="974">
                  <c:v>11814.8</c:v>
                </c:pt>
                <c:pt idx="975">
                  <c:v>11745.8</c:v>
                </c:pt>
                <c:pt idx="976">
                  <c:v>11898.5</c:v>
                </c:pt>
                <c:pt idx="977">
                  <c:v>11856.95</c:v>
                </c:pt>
                <c:pt idx="978">
                  <c:v>12083.9</c:v>
                </c:pt>
                <c:pt idx="979">
                  <c:v>11942.5</c:v>
                </c:pt>
                <c:pt idx="980">
                  <c:v>11774.95</c:v>
                </c:pt>
                <c:pt idx="981">
                  <c:v>11763.95</c:v>
                </c:pt>
                <c:pt idx="982">
                  <c:v>11670.8</c:v>
                </c:pt>
                <c:pt idx="983">
                  <c:v>11422.8</c:v>
                </c:pt>
                <c:pt idx="984">
                  <c:v>11472.6</c:v>
                </c:pt>
                <c:pt idx="985">
                  <c:v>11390.35</c:v>
                </c:pt>
                <c:pt idx="986">
                  <c:v>11460.65</c:v>
                </c:pt>
                <c:pt idx="987">
                  <c:v>11406.55</c:v>
                </c:pt>
                <c:pt idx="988">
                  <c:v>11288.35</c:v>
                </c:pt>
                <c:pt idx="989">
                  <c:v>11426.35</c:v>
                </c:pt>
                <c:pt idx="990">
                  <c:v>11447</c:v>
                </c:pt>
                <c:pt idx="991">
                  <c:v>11797.7</c:v>
                </c:pt>
                <c:pt idx="992">
                  <c:v>11786</c:v>
                </c:pt>
                <c:pt idx="993">
                  <c:v>11503.6</c:v>
                </c:pt>
                <c:pt idx="994">
                  <c:v>11618.55</c:v>
                </c:pt>
                <c:pt idx="995">
                  <c:v>11403.55</c:v>
                </c:pt>
                <c:pt idx="996">
                  <c:v>11259.8</c:v>
                </c:pt>
                <c:pt idx="997">
                  <c:v>10865.2</c:v>
                </c:pt>
                <c:pt idx="998">
                  <c:v>10615.15</c:v>
                </c:pt>
                <c:pt idx="999">
                  <c:v>10483.75</c:v>
                </c:pt>
                <c:pt idx="1000">
                  <c:v>10521.65</c:v>
                </c:pt>
                <c:pt idx="1001">
                  <c:v>10636.2</c:v>
                </c:pt>
                <c:pt idx="1002">
                  <c:v>10580</c:v>
                </c:pt>
                <c:pt idx="1003">
                  <c:v>10624.45</c:v>
                </c:pt>
                <c:pt idx="1004">
                  <c:v>10667.8</c:v>
                </c:pt>
                <c:pt idx="1005">
                  <c:v>10693.75</c:v>
                </c:pt>
                <c:pt idx="1006">
                  <c:v>11420.9</c:v>
                </c:pt>
                <c:pt idx="1007">
                  <c:v>11285.85</c:v>
                </c:pt>
                <c:pt idx="1008">
                  <c:v>11239.5</c:v>
                </c:pt>
                <c:pt idx="1009">
                  <c:v>11296.35</c:v>
                </c:pt>
                <c:pt idx="1010">
                  <c:v>11544.85</c:v>
                </c:pt>
                <c:pt idx="1011">
                  <c:v>11479.4</c:v>
                </c:pt>
                <c:pt idx="1012">
                  <c:v>11487.45</c:v>
                </c:pt>
                <c:pt idx="1013">
                  <c:v>11259.15</c:v>
                </c:pt>
                <c:pt idx="1014">
                  <c:v>11174.65</c:v>
                </c:pt>
                <c:pt idx="1015">
                  <c:v>11519.15</c:v>
                </c:pt>
                <c:pt idx="1016">
                  <c:v>11585.7</c:v>
                </c:pt>
                <c:pt idx="1017">
                  <c:v>11477.35</c:v>
                </c:pt>
                <c:pt idx="1018">
                  <c:v>11640.6</c:v>
                </c:pt>
                <c:pt idx="1019">
                  <c:v>11532.3</c:v>
                </c:pt>
                <c:pt idx="1020">
                  <c:v>11300.2</c:v>
                </c:pt>
                <c:pt idx="1021">
                  <c:v>11478.5</c:v>
                </c:pt>
                <c:pt idx="1022">
                  <c:v>11546.45</c:v>
                </c:pt>
                <c:pt idx="1023">
                  <c:v>11263.85</c:v>
                </c:pt>
                <c:pt idx="1024">
                  <c:v>11490.1</c:v>
                </c:pt>
                <c:pt idx="1025">
                  <c:v>11308.9</c:v>
                </c:pt>
                <c:pt idx="1026">
                  <c:v>11291.55</c:v>
                </c:pt>
                <c:pt idx="1027">
                  <c:v>11287.6</c:v>
                </c:pt>
                <c:pt idx="1028">
                  <c:v>11157.25</c:v>
                </c:pt>
                <c:pt idx="1029">
                  <c:v>11042.65</c:v>
                </c:pt>
                <c:pt idx="1030">
                  <c:v>10964.15</c:v>
                </c:pt>
                <c:pt idx="1031">
                  <c:v>10447.65</c:v>
                </c:pt>
                <c:pt idx="1032">
                  <c:v>10128.450000000001</c:v>
                </c:pt>
                <c:pt idx="1033">
                  <c:v>10340.799999999999</c:v>
                </c:pt>
                <c:pt idx="1034">
                  <c:v>10370.1</c:v>
                </c:pt>
                <c:pt idx="1035">
                  <c:v>10464.200000000001</c:v>
                </c:pt>
                <c:pt idx="1036">
                  <c:v>10493.5</c:v>
                </c:pt>
                <c:pt idx="1037">
                  <c:v>10582.4</c:v>
                </c:pt>
                <c:pt idx="1038">
                  <c:v>10520.1</c:v>
                </c:pt>
                <c:pt idx="1039">
                  <c:v>10439.25</c:v>
                </c:pt>
                <c:pt idx="1040">
                  <c:v>10520.4</c:v>
                </c:pt>
                <c:pt idx="1041">
                  <c:v>10452.1</c:v>
                </c:pt>
                <c:pt idx="1042">
                  <c:v>10547.1</c:v>
                </c:pt>
                <c:pt idx="1043">
                  <c:v>10698.1</c:v>
                </c:pt>
                <c:pt idx="1044">
                  <c:v>10933.25</c:v>
                </c:pt>
                <c:pt idx="1045">
                  <c:v>10948.15</c:v>
                </c:pt>
                <c:pt idx="1046">
                  <c:v>10976.75</c:v>
                </c:pt>
                <c:pt idx="1047">
                  <c:v>11051.2</c:v>
                </c:pt>
                <c:pt idx="1048">
                  <c:v>11421.2</c:v>
                </c:pt>
                <c:pt idx="1049">
                  <c:v>11402.1</c:v>
                </c:pt>
                <c:pt idx="1050">
                  <c:v>11599.6</c:v>
                </c:pt>
                <c:pt idx="1051">
                  <c:v>11509.55</c:v>
                </c:pt>
                <c:pt idx="1052">
                  <c:v>11378.65</c:v>
                </c:pt>
                <c:pt idx="1053">
                  <c:v>11250.95</c:v>
                </c:pt>
                <c:pt idx="1054">
                  <c:v>11606.6</c:v>
                </c:pt>
                <c:pt idx="1055">
                  <c:v>11498.65</c:v>
                </c:pt>
                <c:pt idx="1056">
                  <c:v>11191.6</c:v>
                </c:pt>
                <c:pt idx="1057">
                  <c:v>11270.45</c:v>
                </c:pt>
                <c:pt idx="1058">
                  <c:v>11397.05</c:v>
                </c:pt>
                <c:pt idx="1059">
                  <c:v>11502.65</c:v>
                </c:pt>
                <c:pt idx="1060">
                  <c:v>11719</c:v>
                </c:pt>
                <c:pt idx="1061">
                  <c:v>11728</c:v>
                </c:pt>
                <c:pt idx="1062">
                  <c:v>11901</c:v>
                </c:pt>
                <c:pt idx="1063">
                  <c:v>11934</c:v>
                </c:pt>
                <c:pt idx="1064">
                  <c:v>11959</c:v>
                </c:pt>
                <c:pt idx="1065">
                  <c:v>11949</c:v>
                </c:pt>
                <c:pt idx="1066">
                  <c:v>12159</c:v>
                </c:pt>
                <c:pt idx="1067">
                  <c:v>12237</c:v>
                </c:pt>
                <c:pt idx="1068">
                  <c:v>12114</c:v>
                </c:pt>
                <c:pt idx="1069">
                  <c:v>11869</c:v>
                </c:pt>
                <c:pt idx="1070">
                  <c:v>11641</c:v>
                </c:pt>
                <c:pt idx="1071">
                  <c:v>11644</c:v>
                </c:pt>
                <c:pt idx="1072">
                  <c:v>11670</c:v>
                </c:pt>
                <c:pt idx="1073">
                  <c:v>11693</c:v>
                </c:pt>
                <c:pt idx="1074">
                  <c:v>11658</c:v>
                </c:pt>
                <c:pt idx="1075">
                  <c:v>11631</c:v>
                </c:pt>
                <c:pt idx="1076">
                  <c:v>11364</c:v>
                </c:pt>
                <c:pt idx="1077">
                  <c:v>11736</c:v>
                </c:pt>
                <c:pt idx="1078">
                  <c:v>11661</c:v>
                </c:pt>
                <c:pt idx="1079">
                  <c:v>11672</c:v>
                </c:pt>
                <c:pt idx="1080">
                  <c:v>11894</c:v>
                </c:pt>
                <c:pt idx="1081">
                  <c:v>11905</c:v>
                </c:pt>
                <c:pt idx="1082">
                  <c:v>11929</c:v>
                </c:pt>
                <c:pt idx="1083">
                  <c:v>11697</c:v>
                </c:pt>
                <c:pt idx="1084">
                  <c:v>11666</c:v>
                </c:pt>
                <c:pt idx="1085">
                  <c:v>11680</c:v>
                </c:pt>
                <c:pt idx="1086">
                  <c:v>11746</c:v>
                </c:pt>
                <c:pt idx="1087">
                  <c:v>11689</c:v>
                </c:pt>
                <c:pt idx="1088">
                  <c:v>11421</c:v>
                </c:pt>
                <c:pt idx="1089">
                  <c:v>11238</c:v>
                </c:pt>
                <c:pt idx="1090">
                  <c:v>11269</c:v>
                </c:pt>
                <c:pt idx="1091">
                  <c:v>11210</c:v>
                </c:pt>
                <c:pt idx="1092">
                  <c:v>11195</c:v>
                </c:pt>
                <c:pt idx="1093">
                  <c:v>11035</c:v>
                </c:pt>
                <c:pt idx="1094">
                  <c:v>11033</c:v>
                </c:pt>
                <c:pt idx="1095">
                  <c:v>11159</c:v>
                </c:pt>
                <c:pt idx="1096">
                  <c:v>11253</c:v>
                </c:pt>
                <c:pt idx="1097">
                  <c:v>11260</c:v>
                </c:pt>
                <c:pt idx="1098">
                  <c:v>11391</c:v>
                </c:pt>
                <c:pt idx="1099">
                  <c:v>11464</c:v>
                </c:pt>
                <c:pt idx="1100">
                  <c:v>11323</c:v>
                </c:pt>
                <c:pt idx="1101">
                  <c:v>11224</c:v>
                </c:pt>
                <c:pt idx="1102">
                  <c:v>11495</c:v>
                </c:pt>
                <c:pt idx="1103">
                  <c:v>11383</c:v>
                </c:pt>
                <c:pt idx="1104">
                  <c:v>11406</c:v>
                </c:pt>
                <c:pt idx="1105">
                  <c:v>11420</c:v>
                </c:pt>
                <c:pt idx="1106">
                  <c:v>11458</c:v>
                </c:pt>
                <c:pt idx="1107">
                  <c:v>11449</c:v>
                </c:pt>
                <c:pt idx="1108">
                  <c:v>11579</c:v>
                </c:pt>
                <c:pt idx="1109">
                  <c:v>11733</c:v>
                </c:pt>
                <c:pt idx="1110">
                  <c:v>11951</c:v>
                </c:pt>
                <c:pt idx="1111">
                  <c:v>12213</c:v>
                </c:pt>
                <c:pt idx="1112">
                  <c:v>12093</c:v>
                </c:pt>
                <c:pt idx="1113">
                  <c:v>12210</c:v>
                </c:pt>
                <c:pt idx="1114">
                  <c:v>12436</c:v>
                </c:pt>
                <c:pt idx="1115">
                  <c:v>12398</c:v>
                </c:pt>
                <c:pt idx="1116">
                  <c:v>12506</c:v>
                </c:pt>
                <c:pt idx="1117">
                  <c:v>12345</c:v>
                </c:pt>
                <c:pt idx="1118">
                  <c:v>12445</c:v>
                </c:pt>
                <c:pt idx="1119">
                  <c:v>12562</c:v>
                </c:pt>
                <c:pt idx="1120">
                  <c:v>12516</c:v>
                </c:pt>
                <c:pt idx="1121">
                  <c:v>12495</c:v>
                </c:pt>
                <c:pt idx="1122">
                  <c:v>12516</c:v>
                </c:pt>
                <c:pt idx="1123">
                  <c:v>12502</c:v>
                </c:pt>
                <c:pt idx="1124">
                  <c:v>12453</c:v>
                </c:pt>
                <c:pt idx="1125">
                  <c:v>12495</c:v>
                </c:pt>
                <c:pt idx="1126">
                  <c:v>12498</c:v>
                </c:pt>
                <c:pt idx="1127">
                  <c:v>12577</c:v>
                </c:pt>
                <c:pt idx="1128">
                  <c:v>12452</c:v>
                </c:pt>
                <c:pt idx="1129">
                  <c:v>12372</c:v>
                </c:pt>
                <c:pt idx="1130">
                  <c:v>12304</c:v>
                </c:pt>
                <c:pt idx="1131">
                  <c:v>12250</c:v>
                </c:pt>
                <c:pt idx="1132">
                  <c:v>12240</c:v>
                </c:pt>
                <c:pt idx="1133">
                  <c:v>12221</c:v>
                </c:pt>
                <c:pt idx="1134">
                  <c:v>12268</c:v>
                </c:pt>
                <c:pt idx="1135">
                  <c:v>12249</c:v>
                </c:pt>
                <c:pt idx="1136">
                  <c:v>12113</c:v>
                </c:pt>
                <c:pt idx="1137">
                  <c:v>12257</c:v>
                </c:pt>
                <c:pt idx="1138">
                  <c:v>12298</c:v>
                </c:pt>
                <c:pt idx="1139">
                  <c:v>12226</c:v>
                </c:pt>
                <c:pt idx="1140">
                  <c:v>12273</c:v>
                </c:pt>
                <c:pt idx="1141">
                  <c:v>12157</c:v>
                </c:pt>
                <c:pt idx="1142">
                  <c:v>12405</c:v>
                </c:pt>
                <c:pt idx="1143">
                  <c:v>12449</c:v>
                </c:pt>
                <c:pt idx="1144">
                  <c:v>12401</c:v>
                </c:pt>
                <c:pt idx="1145">
                  <c:v>12317</c:v>
                </c:pt>
                <c:pt idx="1146">
                  <c:v>12765</c:v>
                </c:pt>
                <c:pt idx="1147">
                  <c:v>12863</c:v>
                </c:pt>
                <c:pt idx="1148">
                  <c:v>12874</c:v>
                </c:pt>
                <c:pt idx="1149">
                  <c:v>12870</c:v>
                </c:pt>
                <c:pt idx="1150">
                  <c:v>12589</c:v>
                </c:pt>
                <c:pt idx="1151">
                  <c:v>12606</c:v>
                </c:pt>
                <c:pt idx="1152">
                  <c:v>12610</c:v>
                </c:pt>
                <c:pt idx="1153">
                  <c:v>12521</c:v>
                </c:pt>
                <c:pt idx="1154">
                  <c:v>12640</c:v>
                </c:pt>
                <c:pt idx="1155">
                  <c:v>12826</c:v>
                </c:pt>
                <c:pt idx="1156">
                  <c:v>12730</c:v>
                </c:pt>
                <c:pt idx="1157">
                  <c:v>12733</c:v>
                </c:pt>
                <c:pt idx="1158">
                  <c:v>12651</c:v>
                </c:pt>
                <c:pt idx="1159">
                  <c:v>12601</c:v>
                </c:pt>
                <c:pt idx="1160">
                  <c:v>12664</c:v>
                </c:pt>
                <c:pt idx="1161">
                  <c:v>12572</c:v>
                </c:pt>
                <c:pt idx="1162">
                  <c:v>12478</c:v>
                </c:pt>
                <c:pt idx="1163">
                  <c:v>12392</c:v>
                </c:pt>
                <c:pt idx="1164">
                  <c:v>12370</c:v>
                </c:pt>
                <c:pt idx="1165">
                  <c:v>12435</c:v>
                </c:pt>
                <c:pt idx="1166">
                  <c:v>12578</c:v>
                </c:pt>
                <c:pt idx="1167">
                  <c:v>12721</c:v>
                </c:pt>
                <c:pt idx="1168">
                  <c:v>12626</c:v>
                </c:pt>
                <c:pt idx="1169">
                  <c:v>12508</c:v>
                </c:pt>
                <c:pt idx="1170">
                  <c:v>12650</c:v>
                </c:pt>
                <c:pt idx="1171">
                  <c:v>12401</c:v>
                </c:pt>
                <c:pt idx="1172">
                  <c:v>12214</c:v>
                </c:pt>
                <c:pt idx="1173">
                  <c:v>12141</c:v>
                </c:pt>
                <c:pt idx="1174">
                  <c:v>12070</c:v>
                </c:pt>
                <c:pt idx="1175">
                  <c:v>12041</c:v>
                </c:pt>
                <c:pt idx="1176">
                  <c:v>12222</c:v>
                </c:pt>
                <c:pt idx="1177">
                  <c:v>12095</c:v>
                </c:pt>
                <c:pt idx="1178">
                  <c:v>12019</c:v>
                </c:pt>
                <c:pt idx="1179">
                  <c:v>12055</c:v>
                </c:pt>
                <c:pt idx="1180">
                  <c:v>12184</c:v>
                </c:pt>
                <c:pt idx="1181">
                  <c:v>11991</c:v>
                </c:pt>
                <c:pt idx="1182">
                  <c:v>12192</c:v>
                </c:pt>
                <c:pt idx="1183">
                  <c:v>12281</c:v>
                </c:pt>
                <c:pt idx="1184">
                  <c:v>12172</c:v>
                </c:pt>
                <c:pt idx="1185">
                  <c:v>12070</c:v>
                </c:pt>
                <c:pt idx="1186">
                  <c:v>12311</c:v>
                </c:pt>
                <c:pt idx="1187">
                  <c:v>12358</c:v>
                </c:pt>
                <c:pt idx="1188">
                  <c:v>12370</c:v>
                </c:pt>
                <c:pt idx="1189">
                  <c:v>12346</c:v>
                </c:pt>
                <c:pt idx="1190">
                  <c:v>12342</c:v>
                </c:pt>
                <c:pt idx="1191">
                  <c:v>12145</c:v>
                </c:pt>
                <c:pt idx="1192">
                  <c:v>11918</c:v>
                </c:pt>
                <c:pt idx="1193">
                  <c:v>12015</c:v>
                </c:pt>
                <c:pt idx="1194">
                  <c:v>11931</c:v>
                </c:pt>
                <c:pt idx="1195">
                  <c:v>11999</c:v>
                </c:pt>
                <c:pt idx="1196">
                  <c:v>12053</c:v>
                </c:pt>
                <c:pt idx="1197">
                  <c:v>11947</c:v>
                </c:pt>
                <c:pt idx="1198">
                  <c:v>11950</c:v>
                </c:pt>
                <c:pt idx="1199">
                  <c:v>11819</c:v>
                </c:pt>
                <c:pt idx="1200">
                  <c:v>11910</c:v>
                </c:pt>
                <c:pt idx="1201">
                  <c:v>11849</c:v>
                </c:pt>
                <c:pt idx="1202">
                  <c:v>11728</c:v>
                </c:pt>
                <c:pt idx="1203">
                  <c:v>11825</c:v>
                </c:pt>
                <c:pt idx="1204">
                  <c:v>11921</c:v>
                </c:pt>
                <c:pt idx="1205">
                  <c:v>11934</c:v>
                </c:pt>
                <c:pt idx="1206">
                  <c:v>11874</c:v>
                </c:pt>
                <c:pt idx="1207">
                  <c:v>11778</c:v>
                </c:pt>
                <c:pt idx="1208">
                  <c:v>11707</c:v>
                </c:pt>
                <c:pt idx="1209">
                  <c:v>11666</c:v>
                </c:pt>
                <c:pt idx="1210">
                  <c:v>11753</c:v>
                </c:pt>
                <c:pt idx="1211">
                  <c:v>11729</c:v>
                </c:pt>
                <c:pt idx="1212">
                  <c:v>11584</c:v>
                </c:pt>
                <c:pt idx="1213">
                  <c:v>11580</c:v>
                </c:pt>
                <c:pt idx="1214">
                  <c:v>11759</c:v>
                </c:pt>
                <c:pt idx="1215">
                  <c:v>11617</c:v>
                </c:pt>
                <c:pt idx="1216">
                  <c:v>11600</c:v>
                </c:pt>
                <c:pt idx="1217">
                  <c:v>11662</c:v>
                </c:pt>
                <c:pt idx="1218">
                  <c:v>11666</c:v>
                </c:pt>
                <c:pt idx="1219">
                  <c:v>11591</c:v>
                </c:pt>
                <c:pt idx="1220">
                  <c:v>11608</c:v>
                </c:pt>
                <c:pt idx="1221">
                  <c:v>11597</c:v>
                </c:pt>
                <c:pt idx="1222">
                  <c:v>11540</c:v>
                </c:pt>
                <c:pt idx="1223">
                  <c:v>11414</c:v>
                </c:pt>
                <c:pt idx="1224">
                  <c:v>11317</c:v>
                </c:pt>
                <c:pt idx="1225">
                  <c:v>11472</c:v>
                </c:pt>
                <c:pt idx="1226">
                  <c:v>11723</c:v>
                </c:pt>
                <c:pt idx="1227">
                  <c:v>11728</c:v>
                </c:pt>
                <c:pt idx="1228">
                  <c:v>11528</c:v>
                </c:pt>
                <c:pt idx="1229">
                  <c:v>11540</c:v>
                </c:pt>
                <c:pt idx="1230">
                  <c:v>11461</c:v>
                </c:pt>
                <c:pt idx="1231">
                  <c:v>11496</c:v>
                </c:pt>
                <c:pt idx="1232">
                  <c:v>11532</c:v>
                </c:pt>
                <c:pt idx="1233">
                  <c:v>11678</c:v>
                </c:pt>
                <c:pt idx="1234">
                  <c:v>11764</c:v>
                </c:pt>
                <c:pt idx="1235">
                  <c:v>11794</c:v>
                </c:pt>
                <c:pt idx="1236">
                  <c:v>11799</c:v>
                </c:pt>
                <c:pt idx="1237">
                  <c:v>11705</c:v>
                </c:pt>
                <c:pt idx="1238">
                  <c:v>11784</c:v>
                </c:pt>
                <c:pt idx="1239">
                  <c:v>11901</c:v>
                </c:pt>
                <c:pt idx="1240">
                  <c:v>11899</c:v>
                </c:pt>
              </c:numCache>
            </c:numRef>
          </c:val>
          <c:smooth val="0"/>
          <c:extLst>
            <c:ext xmlns:c16="http://schemas.microsoft.com/office/drawing/2014/chart" uri="{C3380CC4-5D6E-409C-BE32-E72D297353CC}">
              <c16:uniqueId val="{00000000-75D9-475D-BC9D-916F5EE5F176}"/>
            </c:ext>
          </c:extLst>
        </c:ser>
        <c:dLbls>
          <c:showLegendKey val="0"/>
          <c:showVal val="0"/>
          <c:showCatName val="0"/>
          <c:showSerName val="0"/>
          <c:showPercent val="0"/>
          <c:showBubbleSize val="0"/>
        </c:dLbls>
        <c:smooth val="0"/>
        <c:axId val="326629631"/>
        <c:axId val="387627951"/>
      </c:lineChart>
      <c:dateAx>
        <c:axId val="326629631"/>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3000000" spcFirstLastPara="1" vertOverflow="ellipsis" wrap="square" anchor="ctr" anchorCtr="1"/>
          <a:lstStyle/>
          <a:p>
            <a:pPr>
              <a:defRPr sz="900" b="0" i="0" u="none" strike="noStrike" kern="1200" baseline="0">
                <a:solidFill>
                  <a:sysClr val="windowText" lastClr="000000"/>
                </a:solidFill>
                <a:latin typeface="+mn-lt"/>
                <a:ea typeface="+mn-ea"/>
                <a:cs typeface="+mn-cs"/>
              </a:defRPr>
            </a:pPr>
            <a:endParaRPr lang="en-US"/>
          </a:p>
        </c:txPr>
        <c:crossAx val="387627951"/>
        <c:crosses val="autoZero"/>
        <c:auto val="1"/>
        <c:lblOffset val="100"/>
        <c:baseTimeUnit val="days"/>
      </c:dateAx>
      <c:valAx>
        <c:axId val="387627951"/>
        <c:scaling>
          <c:orientation val="minMax"/>
          <c:max val="1600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26629631"/>
        <c:crosses val="autoZero"/>
        <c:crossBetween val="between"/>
        <c:majorUnit val="4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UltraTech_Beta!$AD$3</c:f>
              <c:strCache>
                <c:ptCount val="1"/>
                <c:pt idx="0">
                  <c:v>Vol.</c:v>
                </c:pt>
              </c:strCache>
            </c:strRef>
          </c:tx>
          <c:spPr>
            <a:solidFill>
              <a:schemeClr val="bg1">
                <a:lumMod val="65000"/>
              </a:schemeClr>
            </a:solidFill>
            <a:ln>
              <a:solidFill>
                <a:schemeClr val="accent3">
                  <a:lumMod val="50000"/>
                </a:schemeClr>
              </a:solidFill>
            </a:ln>
            <a:effectLst/>
          </c:spPr>
          <c:invertIfNegative val="0"/>
          <c:cat>
            <c:numRef>
              <c:f>UltraTech_Beta!$AA$4:$AA$1244</c:f>
              <c:numCache>
                <c:formatCode>m/d/yyyy</c:formatCode>
                <c:ptCount val="1241"/>
                <c:pt idx="0">
                  <c:v>44200</c:v>
                </c:pt>
                <c:pt idx="1">
                  <c:v>44201</c:v>
                </c:pt>
                <c:pt idx="2">
                  <c:v>44202</c:v>
                </c:pt>
                <c:pt idx="3">
                  <c:v>44203</c:v>
                </c:pt>
                <c:pt idx="4">
                  <c:v>44204</c:v>
                </c:pt>
                <c:pt idx="5">
                  <c:v>44207</c:v>
                </c:pt>
                <c:pt idx="6">
                  <c:v>44208</c:v>
                </c:pt>
                <c:pt idx="7">
                  <c:v>44209</c:v>
                </c:pt>
                <c:pt idx="8">
                  <c:v>44210</c:v>
                </c:pt>
                <c:pt idx="9">
                  <c:v>44211</c:v>
                </c:pt>
                <c:pt idx="10">
                  <c:v>44214</c:v>
                </c:pt>
                <c:pt idx="11">
                  <c:v>44215</c:v>
                </c:pt>
                <c:pt idx="12">
                  <c:v>44216</c:v>
                </c:pt>
                <c:pt idx="13">
                  <c:v>44217</c:v>
                </c:pt>
                <c:pt idx="14">
                  <c:v>44218</c:v>
                </c:pt>
                <c:pt idx="15">
                  <c:v>44221</c:v>
                </c:pt>
                <c:pt idx="16">
                  <c:v>44223</c:v>
                </c:pt>
                <c:pt idx="17">
                  <c:v>44224</c:v>
                </c:pt>
                <c:pt idx="18">
                  <c:v>44225</c:v>
                </c:pt>
                <c:pt idx="19">
                  <c:v>44228</c:v>
                </c:pt>
                <c:pt idx="20">
                  <c:v>44229</c:v>
                </c:pt>
                <c:pt idx="21">
                  <c:v>44230</c:v>
                </c:pt>
                <c:pt idx="22">
                  <c:v>44231</c:v>
                </c:pt>
                <c:pt idx="23">
                  <c:v>44232</c:v>
                </c:pt>
                <c:pt idx="24">
                  <c:v>44235</c:v>
                </c:pt>
                <c:pt idx="25">
                  <c:v>44236</c:v>
                </c:pt>
                <c:pt idx="26">
                  <c:v>44237</c:v>
                </c:pt>
                <c:pt idx="27">
                  <c:v>44238</c:v>
                </c:pt>
                <c:pt idx="28">
                  <c:v>44239</c:v>
                </c:pt>
                <c:pt idx="29">
                  <c:v>44242</c:v>
                </c:pt>
                <c:pt idx="30">
                  <c:v>44243</c:v>
                </c:pt>
                <c:pt idx="31">
                  <c:v>44244</c:v>
                </c:pt>
                <c:pt idx="32">
                  <c:v>44245</c:v>
                </c:pt>
                <c:pt idx="33">
                  <c:v>44246</c:v>
                </c:pt>
                <c:pt idx="34">
                  <c:v>44249</c:v>
                </c:pt>
                <c:pt idx="35">
                  <c:v>44250</c:v>
                </c:pt>
                <c:pt idx="36">
                  <c:v>44251</c:v>
                </c:pt>
                <c:pt idx="37">
                  <c:v>44252</c:v>
                </c:pt>
                <c:pt idx="38">
                  <c:v>44253</c:v>
                </c:pt>
                <c:pt idx="39">
                  <c:v>44256</c:v>
                </c:pt>
                <c:pt idx="40">
                  <c:v>44257</c:v>
                </c:pt>
                <c:pt idx="41">
                  <c:v>44258</c:v>
                </c:pt>
                <c:pt idx="42">
                  <c:v>44259</c:v>
                </c:pt>
                <c:pt idx="43">
                  <c:v>44260</c:v>
                </c:pt>
                <c:pt idx="44">
                  <c:v>44263</c:v>
                </c:pt>
                <c:pt idx="45">
                  <c:v>44264</c:v>
                </c:pt>
                <c:pt idx="46">
                  <c:v>44265</c:v>
                </c:pt>
                <c:pt idx="47">
                  <c:v>44267</c:v>
                </c:pt>
                <c:pt idx="48">
                  <c:v>44270</c:v>
                </c:pt>
                <c:pt idx="49">
                  <c:v>44271</c:v>
                </c:pt>
                <c:pt idx="50">
                  <c:v>44272</c:v>
                </c:pt>
                <c:pt idx="51">
                  <c:v>44273</c:v>
                </c:pt>
                <c:pt idx="52">
                  <c:v>44274</c:v>
                </c:pt>
                <c:pt idx="53">
                  <c:v>44277</c:v>
                </c:pt>
                <c:pt idx="54">
                  <c:v>44278</c:v>
                </c:pt>
                <c:pt idx="55">
                  <c:v>44279</c:v>
                </c:pt>
                <c:pt idx="56">
                  <c:v>44280</c:v>
                </c:pt>
                <c:pt idx="57">
                  <c:v>44281</c:v>
                </c:pt>
                <c:pt idx="58">
                  <c:v>44285</c:v>
                </c:pt>
                <c:pt idx="59">
                  <c:v>44286</c:v>
                </c:pt>
                <c:pt idx="60">
                  <c:v>44287</c:v>
                </c:pt>
                <c:pt idx="61">
                  <c:v>44291</c:v>
                </c:pt>
                <c:pt idx="62">
                  <c:v>44292</c:v>
                </c:pt>
                <c:pt idx="63">
                  <c:v>44293</c:v>
                </c:pt>
                <c:pt idx="64">
                  <c:v>44294</c:v>
                </c:pt>
                <c:pt idx="65">
                  <c:v>44295</c:v>
                </c:pt>
                <c:pt idx="66">
                  <c:v>44298</c:v>
                </c:pt>
                <c:pt idx="67">
                  <c:v>44299</c:v>
                </c:pt>
                <c:pt idx="68">
                  <c:v>44301</c:v>
                </c:pt>
                <c:pt idx="69">
                  <c:v>44302</c:v>
                </c:pt>
                <c:pt idx="70">
                  <c:v>44305</c:v>
                </c:pt>
                <c:pt idx="71">
                  <c:v>44306</c:v>
                </c:pt>
                <c:pt idx="72">
                  <c:v>44308</c:v>
                </c:pt>
                <c:pt idx="73">
                  <c:v>44309</c:v>
                </c:pt>
                <c:pt idx="74">
                  <c:v>44312</c:v>
                </c:pt>
                <c:pt idx="75">
                  <c:v>44313</c:v>
                </c:pt>
                <c:pt idx="76">
                  <c:v>44314</c:v>
                </c:pt>
                <c:pt idx="77">
                  <c:v>44315</c:v>
                </c:pt>
                <c:pt idx="78">
                  <c:v>44316</c:v>
                </c:pt>
                <c:pt idx="79">
                  <c:v>44319</c:v>
                </c:pt>
                <c:pt idx="80">
                  <c:v>44320</c:v>
                </c:pt>
                <c:pt idx="81">
                  <c:v>44321</c:v>
                </c:pt>
                <c:pt idx="82">
                  <c:v>44322</c:v>
                </c:pt>
                <c:pt idx="83">
                  <c:v>44323</c:v>
                </c:pt>
                <c:pt idx="84">
                  <c:v>44326</c:v>
                </c:pt>
                <c:pt idx="85">
                  <c:v>44327</c:v>
                </c:pt>
                <c:pt idx="86">
                  <c:v>44328</c:v>
                </c:pt>
                <c:pt idx="87">
                  <c:v>44330</c:v>
                </c:pt>
                <c:pt idx="88">
                  <c:v>44333</c:v>
                </c:pt>
                <c:pt idx="89">
                  <c:v>44334</c:v>
                </c:pt>
                <c:pt idx="90">
                  <c:v>44335</c:v>
                </c:pt>
                <c:pt idx="91">
                  <c:v>44336</c:v>
                </c:pt>
                <c:pt idx="92">
                  <c:v>44337</c:v>
                </c:pt>
                <c:pt idx="93">
                  <c:v>44340</c:v>
                </c:pt>
                <c:pt idx="94">
                  <c:v>44341</c:v>
                </c:pt>
                <c:pt idx="95">
                  <c:v>44342</c:v>
                </c:pt>
                <c:pt idx="96">
                  <c:v>44343</c:v>
                </c:pt>
                <c:pt idx="97">
                  <c:v>44344</c:v>
                </c:pt>
                <c:pt idx="98">
                  <c:v>44347</c:v>
                </c:pt>
                <c:pt idx="99">
                  <c:v>44348</c:v>
                </c:pt>
                <c:pt idx="100">
                  <c:v>44349</c:v>
                </c:pt>
                <c:pt idx="101">
                  <c:v>44350</c:v>
                </c:pt>
                <c:pt idx="102">
                  <c:v>44351</c:v>
                </c:pt>
                <c:pt idx="103">
                  <c:v>44354</c:v>
                </c:pt>
                <c:pt idx="104">
                  <c:v>44355</c:v>
                </c:pt>
                <c:pt idx="105">
                  <c:v>44356</c:v>
                </c:pt>
                <c:pt idx="106">
                  <c:v>44357</c:v>
                </c:pt>
                <c:pt idx="107">
                  <c:v>44358</c:v>
                </c:pt>
                <c:pt idx="108">
                  <c:v>44361</c:v>
                </c:pt>
                <c:pt idx="109">
                  <c:v>44362</c:v>
                </c:pt>
                <c:pt idx="110">
                  <c:v>44363</c:v>
                </c:pt>
                <c:pt idx="111">
                  <c:v>44364</c:v>
                </c:pt>
                <c:pt idx="112">
                  <c:v>44365</c:v>
                </c:pt>
                <c:pt idx="113">
                  <c:v>44368</c:v>
                </c:pt>
                <c:pt idx="114">
                  <c:v>44369</c:v>
                </c:pt>
                <c:pt idx="115">
                  <c:v>44370</c:v>
                </c:pt>
                <c:pt idx="116">
                  <c:v>44371</c:v>
                </c:pt>
                <c:pt idx="117">
                  <c:v>44372</c:v>
                </c:pt>
                <c:pt idx="118">
                  <c:v>44375</c:v>
                </c:pt>
                <c:pt idx="119">
                  <c:v>44376</c:v>
                </c:pt>
                <c:pt idx="120">
                  <c:v>44377</c:v>
                </c:pt>
                <c:pt idx="121">
                  <c:v>44378</c:v>
                </c:pt>
                <c:pt idx="122">
                  <c:v>44379</c:v>
                </c:pt>
                <c:pt idx="123">
                  <c:v>44382</c:v>
                </c:pt>
                <c:pt idx="124">
                  <c:v>44383</c:v>
                </c:pt>
                <c:pt idx="125">
                  <c:v>44384</c:v>
                </c:pt>
                <c:pt idx="126">
                  <c:v>44385</c:v>
                </c:pt>
                <c:pt idx="127">
                  <c:v>44386</c:v>
                </c:pt>
                <c:pt idx="128">
                  <c:v>44389</c:v>
                </c:pt>
                <c:pt idx="129">
                  <c:v>44390</c:v>
                </c:pt>
                <c:pt idx="130">
                  <c:v>44391</c:v>
                </c:pt>
                <c:pt idx="131">
                  <c:v>44392</c:v>
                </c:pt>
                <c:pt idx="132">
                  <c:v>44393</c:v>
                </c:pt>
                <c:pt idx="133">
                  <c:v>44396</c:v>
                </c:pt>
                <c:pt idx="134">
                  <c:v>44397</c:v>
                </c:pt>
                <c:pt idx="135">
                  <c:v>44399</c:v>
                </c:pt>
                <c:pt idx="136">
                  <c:v>44400</c:v>
                </c:pt>
                <c:pt idx="137">
                  <c:v>44403</c:v>
                </c:pt>
                <c:pt idx="138">
                  <c:v>44404</c:v>
                </c:pt>
                <c:pt idx="139">
                  <c:v>44405</c:v>
                </c:pt>
                <c:pt idx="140">
                  <c:v>44406</c:v>
                </c:pt>
                <c:pt idx="141">
                  <c:v>44407</c:v>
                </c:pt>
                <c:pt idx="142">
                  <c:v>44410</c:v>
                </c:pt>
                <c:pt idx="143">
                  <c:v>44411</c:v>
                </c:pt>
                <c:pt idx="144">
                  <c:v>44412</c:v>
                </c:pt>
                <c:pt idx="145">
                  <c:v>44413</c:v>
                </c:pt>
                <c:pt idx="146">
                  <c:v>44414</c:v>
                </c:pt>
                <c:pt idx="147">
                  <c:v>44417</c:v>
                </c:pt>
                <c:pt idx="148">
                  <c:v>44418</c:v>
                </c:pt>
                <c:pt idx="149">
                  <c:v>44419</c:v>
                </c:pt>
                <c:pt idx="150">
                  <c:v>44420</c:v>
                </c:pt>
                <c:pt idx="151">
                  <c:v>44421</c:v>
                </c:pt>
                <c:pt idx="152">
                  <c:v>44424</c:v>
                </c:pt>
                <c:pt idx="153">
                  <c:v>44425</c:v>
                </c:pt>
                <c:pt idx="154">
                  <c:v>44426</c:v>
                </c:pt>
                <c:pt idx="155">
                  <c:v>44428</c:v>
                </c:pt>
                <c:pt idx="156">
                  <c:v>44431</c:v>
                </c:pt>
                <c:pt idx="157">
                  <c:v>44432</c:v>
                </c:pt>
                <c:pt idx="158">
                  <c:v>44433</c:v>
                </c:pt>
                <c:pt idx="159">
                  <c:v>44434</c:v>
                </c:pt>
                <c:pt idx="160">
                  <c:v>44435</c:v>
                </c:pt>
                <c:pt idx="161">
                  <c:v>44438</c:v>
                </c:pt>
                <c:pt idx="162">
                  <c:v>44439</c:v>
                </c:pt>
                <c:pt idx="163">
                  <c:v>44440</c:v>
                </c:pt>
                <c:pt idx="164">
                  <c:v>44441</c:v>
                </c:pt>
                <c:pt idx="165">
                  <c:v>44442</c:v>
                </c:pt>
                <c:pt idx="166">
                  <c:v>44445</c:v>
                </c:pt>
                <c:pt idx="167">
                  <c:v>44446</c:v>
                </c:pt>
                <c:pt idx="168">
                  <c:v>44447</c:v>
                </c:pt>
                <c:pt idx="169">
                  <c:v>44448</c:v>
                </c:pt>
                <c:pt idx="170">
                  <c:v>44452</c:v>
                </c:pt>
                <c:pt idx="171">
                  <c:v>44453</c:v>
                </c:pt>
                <c:pt idx="172">
                  <c:v>44454</c:v>
                </c:pt>
                <c:pt idx="173">
                  <c:v>44455</c:v>
                </c:pt>
                <c:pt idx="174">
                  <c:v>44456</c:v>
                </c:pt>
                <c:pt idx="175">
                  <c:v>44459</c:v>
                </c:pt>
                <c:pt idx="176">
                  <c:v>44460</c:v>
                </c:pt>
                <c:pt idx="177">
                  <c:v>44461</c:v>
                </c:pt>
                <c:pt idx="178">
                  <c:v>44462</c:v>
                </c:pt>
                <c:pt idx="179">
                  <c:v>44463</c:v>
                </c:pt>
                <c:pt idx="180">
                  <c:v>44466</c:v>
                </c:pt>
                <c:pt idx="181">
                  <c:v>44467</c:v>
                </c:pt>
                <c:pt idx="182">
                  <c:v>44468</c:v>
                </c:pt>
                <c:pt idx="183">
                  <c:v>44469</c:v>
                </c:pt>
                <c:pt idx="184">
                  <c:v>44470</c:v>
                </c:pt>
                <c:pt idx="185">
                  <c:v>44473</c:v>
                </c:pt>
                <c:pt idx="186">
                  <c:v>44474</c:v>
                </c:pt>
                <c:pt idx="187">
                  <c:v>44475</c:v>
                </c:pt>
                <c:pt idx="188">
                  <c:v>44476</c:v>
                </c:pt>
                <c:pt idx="189">
                  <c:v>44477</c:v>
                </c:pt>
                <c:pt idx="190">
                  <c:v>44480</c:v>
                </c:pt>
                <c:pt idx="191">
                  <c:v>44481</c:v>
                </c:pt>
                <c:pt idx="192">
                  <c:v>44482</c:v>
                </c:pt>
                <c:pt idx="193">
                  <c:v>44483</c:v>
                </c:pt>
                <c:pt idx="194">
                  <c:v>44487</c:v>
                </c:pt>
                <c:pt idx="195">
                  <c:v>44488</c:v>
                </c:pt>
                <c:pt idx="196">
                  <c:v>44489</c:v>
                </c:pt>
                <c:pt idx="197">
                  <c:v>44490</c:v>
                </c:pt>
                <c:pt idx="198">
                  <c:v>44491</c:v>
                </c:pt>
                <c:pt idx="199">
                  <c:v>44494</c:v>
                </c:pt>
                <c:pt idx="200">
                  <c:v>44495</c:v>
                </c:pt>
                <c:pt idx="201">
                  <c:v>44496</c:v>
                </c:pt>
                <c:pt idx="202">
                  <c:v>44497</c:v>
                </c:pt>
                <c:pt idx="203">
                  <c:v>44498</c:v>
                </c:pt>
                <c:pt idx="204">
                  <c:v>44501</c:v>
                </c:pt>
                <c:pt idx="205">
                  <c:v>44502</c:v>
                </c:pt>
                <c:pt idx="206">
                  <c:v>44503</c:v>
                </c:pt>
                <c:pt idx="207">
                  <c:v>44504</c:v>
                </c:pt>
                <c:pt idx="208">
                  <c:v>44508</c:v>
                </c:pt>
                <c:pt idx="209">
                  <c:v>44509</c:v>
                </c:pt>
                <c:pt idx="210">
                  <c:v>44510</c:v>
                </c:pt>
                <c:pt idx="211">
                  <c:v>44511</c:v>
                </c:pt>
                <c:pt idx="212">
                  <c:v>44512</c:v>
                </c:pt>
                <c:pt idx="213">
                  <c:v>44515</c:v>
                </c:pt>
                <c:pt idx="214">
                  <c:v>44516</c:v>
                </c:pt>
                <c:pt idx="215">
                  <c:v>44517</c:v>
                </c:pt>
                <c:pt idx="216">
                  <c:v>44518</c:v>
                </c:pt>
                <c:pt idx="217">
                  <c:v>44522</c:v>
                </c:pt>
                <c:pt idx="218">
                  <c:v>44523</c:v>
                </c:pt>
                <c:pt idx="219">
                  <c:v>44524</c:v>
                </c:pt>
                <c:pt idx="220">
                  <c:v>44525</c:v>
                </c:pt>
                <c:pt idx="221">
                  <c:v>44526</c:v>
                </c:pt>
                <c:pt idx="222">
                  <c:v>44529</c:v>
                </c:pt>
                <c:pt idx="223">
                  <c:v>44530</c:v>
                </c:pt>
                <c:pt idx="224">
                  <c:v>44531</c:v>
                </c:pt>
                <c:pt idx="225">
                  <c:v>44532</c:v>
                </c:pt>
                <c:pt idx="226">
                  <c:v>44533</c:v>
                </c:pt>
                <c:pt idx="227">
                  <c:v>44536</c:v>
                </c:pt>
                <c:pt idx="228">
                  <c:v>44537</c:v>
                </c:pt>
                <c:pt idx="229">
                  <c:v>44538</c:v>
                </c:pt>
                <c:pt idx="230">
                  <c:v>44539</c:v>
                </c:pt>
                <c:pt idx="231">
                  <c:v>44540</c:v>
                </c:pt>
                <c:pt idx="232">
                  <c:v>44543</c:v>
                </c:pt>
                <c:pt idx="233">
                  <c:v>44544</c:v>
                </c:pt>
                <c:pt idx="234">
                  <c:v>44545</c:v>
                </c:pt>
                <c:pt idx="235">
                  <c:v>44546</c:v>
                </c:pt>
                <c:pt idx="236">
                  <c:v>44547</c:v>
                </c:pt>
                <c:pt idx="237">
                  <c:v>44550</c:v>
                </c:pt>
                <c:pt idx="238">
                  <c:v>44551</c:v>
                </c:pt>
                <c:pt idx="239">
                  <c:v>44552</c:v>
                </c:pt>
                <c:pt idx="240">
                  <c:v>44553</c:v>
                </c:pt>
                <c:pt idx="241">
                  <c:v>44554</c:v>
                </c:pt>
                <c:pt idx="242">
                  <c:v>44557</c:v>
                </c:pt>
                <c:pt idx="243">
                  <c:v>44558</c:v>
                </c:pt>
                <c:pt idx="244">
                  <c:v>44559</c:v>
                </c:pt>
                <c:pt idx="245">
                  <c:v>44560</c:v>
                </c:pt>
                <c:pt idx="246">
                  <c:v>44561</c:v>
                </c:pt>
                <c:pt idx="247">
                  <c:v>44564</c:v>
                </c:pt>
                <c:pt idx="248">
                  <c:v>44565</c:v>
                </c:pt>
                <c:pt idx="249">
                  <c:v>44566</c:v>
                </c:pt>
                <c:pt idx="250">
                  <c:v>44567</c:v>
                </c:pt>
                <c:pt idx="251">
                  <c:v>44568</c:v>
                </c:pt>
                <c:pt idx="252">
                  <c:v>44571</c:v>
                </c:pt>
                <c:pt idx="253">
                  <c:v>44572</c:v>
                </c:pt>
                <c:pt idx="254">
                  <c:v>44573</c:v>
                </c:pt>
                <c:pt idx="255">
                  <c:v>44574</c:v>
                </c:pt>
                <c:pt idx="256">
                  <c:v>44575</c:v>
                </c:pt>
                <c:pt idx="257">
                  <c:v>44578</c:v>
                </c:pt>
                <c:pt idx="258">
                  <c:v>44579</c:v>
                </c:pt>
                <c:pt idx="259">
                  <c:v>44580</c:v>
                </c:pt>
                <c:pt idx="260">
                  <c:v>44581</c:v>
                </c:pt>
                <c:pt idx="261">
                  <c:v>44582</c:v>
                </c:pt>
                <c:pt idx="262">
                  <c:v>44585</c:v>
                </c:pt>
                <c:pt idx="263">
                  <c:v>44586</c:v>
                </c:pt>
                <c:pt idx="264">
                  <c:v>44588</c:v>
                </c:pt>
                <c:pt idx="265">
                  <c:v>44589</c:v>
                </c:pt>
                <c:pt idx="266">
                  <c:v>44592</c:v>
                </c:pt>
                <c:pt idx="267">
                  <c:v>44593</c:v>
                </c:pt>
                <c:pt idx="268">
                  <c:v>44594</c:v>
                </c:pt>
                <c:pt idx="269">
                  <c:v>44595</c:v>
                </c:pt>
                <c:pt idx="270">
                  <c:v>44596</c:v>
                </c:pt>
                <c:pt idx="271">
                  <c:v>44599</c:v>
                </c:pt>
                <c:pt idx="272">
                  <c:v>44600</c:v>
                </c:pt>
                <c:pt idx="273">
                  <c:v>44601</c:v>
                </c:pt>
                <c:pt idx="274">
                  <c:v>44602</c:v>
                </c:pt>
                <c:pt idx="275">
                  <c:v>44603</c:v>
                </c:pt>
                <c:pt idx="276">
                  <c:v>44606</c:v>
                </c:pt>
                <c:pt idx="277">
                  <c:v>44607</c:v>
                </c:pt>
                <c:pt idx="278">
                  <c:v>44608</c:v>
                </c:pt>
                <c:pt idx="279">
                  <c:v>44609</c:v>
                </c:pt>
                <c:pt idx="280">
                  <c:v>44610</c:v>
                </c:pt>
                <c:pt idx="281">
                  <c:v>44613</c:v>
                </c:pt>
                <c:pt idx="282">
                  <c:v>44614</c:v>
                </c:pt>
                <c:pt idx="283">
                  <c:v>44615</c:v>
                </c:pt>
                <c:pt idx="284">
                  <c:v>44616</c:v>
                </c:pt>
                <c:pt idx="285">
                  <c:v>44617</c:v>
                </c:pt>
                <c:pt idx="286">
                  <c:v>44620</c:v>
                </c:pt>
                <c:pt idx="287">
                  <c:v>44622</c:v>
                </c:pt>
                <c:pt idx="288">
                  <c:v>44623</c:v>
                </c:pt>
                <c:pt idx="289">
                  <c:v>44624</c:v>
                </c:pt>
                <c:pt idx="290">
                  <c:v>44627</c:v>
                </c:pt>
                <c:pt idx="291">
                  <c:v>44628</c:v>
                </c:pt>
                <c:pt idx="292">
                  <c:v>44629</c:v>
                </c:pt>
                <c:pt idx="293">
                  <c:v>44630</c:v>
                </c:pt>
                <c:pt idx="294">
                  <c:v>44631</c:v>
                </c:pt>
                <c:pt idx="295">
                  <c:v>44634</c:v>
                </c:pt>
                <c:pt idx="296">
                  <c:v>44635</c:v>
                </c:pt>
                <c:pt idx="297">
                  <c:v>44636</c:v>
                </c:pt>
                <c:pt idx="298">
                  <c:v>44637</c:v>
                </c:pt>
                <c:pt idx="299">
                  <c:v>44641</c:v>
                </c:pt>
                <c:pt idx="300">
                  <c:v>44642</c:v>
                </c:pt>
                <c:pt idx="301">
                  <c:v>44643</c:v>
                </c:pt>
                <c:pt idx="302">
                  <c:v>44644</c:v>
                </c:pt>
                <c:pt idx="303">
                  <c:v>44645</c:v>
                </c:pt>
                <c:pt idx="304">
                  <c:v>44648</c:v>
                </c:pt>
                <c:pt idx="305">
                  <c:v>44649</c:v>
                </c:pt>
                <c:pt idx="306">
                  <c:v>44650</c:v>
                </c:pt>
                <c:pt idx="307">
                  <c:v>44651</c:v>
                </c:pt>
                <c:pt idx="308">
                  <c:v>44652</c:v>
                </c:pt>
                <c:pt idx="309">
                  <c:v>44655</c:v>
                </c:pt>
                <c:pt idx="310">
                  <c:v>44656</c:v>
                </c:pt>
                <c:pt idx="311">
                  <c:v>44657</c:v>
                </c:pt>
                <c:pt idx="312">
                  <c:v>44658</c:v>
                </c:pt>
                <c:pt idx="313">
                  <c:v>44659</c:v>
                </c:pt>
                <c:pt idx="314">
                  <c:v>44662</c:v>
                </c:pt>
                <c:pt idx="315">
                  <c:v>44663</c:v>
                </c:pt>
                <c:pt idx="316">
                  <c:v>44664</c:v>
                </c:pt>
                <c:pt idx="317">
                  <c:v>44669</c:v>
                </c:pt>
                <c:pt idx="318">
                  <c:v>44670</c:v>
                </c:pt>
                <c:pt idx="319">
                  <c:v>44671</c:v>
                </c:pt>
                <c:pt idx="320">
                  <c:v>44672</c:v>
                </c:pt>
                <c:pt idx="321">
                  <c:v>44673</c:v>
                </c:pt>
                <c:pt idx="322">
                  <c:v>44676</c:v>
                </c:pt>
                <c:pt idx="323">
                  <c:v>44677</c:v>
                </c:pt>
                <c:pt idx="324">
                  <c:v>44678</c:v>
                </c:pt>
                <c:pt idx="325">
                  <c:v>44679</c:v>
                </c:pt>
                <c:pt idx="326">
                  <c:v>44680</c:v>
                </c:pt>
                <c:pt idx="327">
                  <c:v>44683</c:v>
                </c:pt>
                <c:pt idx="328">
                  <c:v>44685</c:v>
                </c:pt>
                <c:pt idx="329">
                  <c:v>44686</c:v>
                </c:pt>
                <c:pt idx="330">
                  <c:v>44687</c:v>
                </c:pt>
                <c:pt idx="331">
                  <c:v>44690</c:v>
                </c:pt>
                <c:pt idx="332">
                  <c:v>44691</c:v>
                </c:pt>
                <c:pt idx="333">
                  <c:v>44692</c:v>
                </c:pt>
                <c:pt idx="334">
                  <c:v>44693</c:v>
                </c:pt>
                <c:pt idx="335">
                  <c:v>44694</c:v>
                </c:pt>
                <c:pt idx="336">
                  <c:v>44697</c:v>
                </c:pt>
                <c:pt idx="337">
                  <c:v>44698</c:v>
                </c:pt>
                <c:pt idx="338">
                  <c:v>44699</c:v>
                </c:pt>
                <c:pt idx="339">
                  <c:v>44700</c:v>
                </c:pt>
                <c:pt idx="340">
                  <c:v>44701</c:v>
                </c:pt>
                <c:pt idx="341">
                  <c:v>44704</c:v>
                </c:pt>
                <c:pt idx="342">
                  <c:v>44705</c:v>
                </c:pt>
                <c:pt idx="343">
                  <c:v>44706</c:v>
                </c:pt>
                <c:pt idx="344">
                  <c:v>44707</c:v>
                </c:pt>
                <c:pt idx="345">
                  <c:v>44708</c:v>
                </c:pt>
                <c:pt idx="346">
                  <c:v>44711</c:v>
                </c:pt>
                <c:pt idx="347">
                  <c:v>44712</c:v>
                </c:pt>
                <c:pt idx="348">
                  <c:v>44713</c:v>
                </c:pt>
                <c:pt idx="349">
                  <c:v>44714</c:v>
                </c:pt>
                <c:pt idx="350">
                  <c:v>44715</c:v>
                </c:pt>
                <c:pt idx="351">
                  <c:v>44718</c:v>
                </c:pt>
                <c:pt idx="352">
                  <c:v>44719</c:v>
                </c:pt>
                <c:pt idx="353">
                  <c:v>44720</c:v>
                </c:pt>
                <c:pt idx="354">
                  <c:v>44721</c:v>
                </c:pt>
                <c:pt idx="355">
                  <c:v>44722</c:v>
                </c:pt>
                <c:pt idx="356">
                  <c:v>44725</c:v>
                </c:pt>
                <c:pt idx="357">
                  <c:v>44726</c:v>
                </c:pt>
                <c:pt idx="358">
                  <c:v>44727</c:v>
                </c:pt>
                <c:pt idx="359">
                  <c:v>44728</c:v>
                </c:pt>
                <c:pt idx="360">
                  <c:v>44729</c:v>
                </c:pt>
                <c:pt idx="361">
                  <c:v>44732</c:v>
                </c:pt>
                <c:pt idx="362">
                  <c:v>44733</c:v>
                </c:pt>
                <c:pt idx="363">
                  <c:v>44734</c:v>
                </c:pt>
                <c:pt idx="364">
                  <c:v>44735</c:v>
                </c:pt>
                <c:pt idx="365">
                  <c:v>44736</c:v>
                </c:pt>
                <c:pt idx="366">
                  <c:v>44739</c:v>
                </c:pt>
                <c:pt idx="367">
                  <c:v>44740</c:v>
                </c:pt>
                <c:pt idx="368">
                  <c:v>44741</c:v>
                </c:pt>
                <c:pt idx="369">
                  <c:v>44742</c:v>
                </c:pt>
                <c:pt idx="370">
                  <c:v>44743</c:v>
                </c:pt>
                <c:pt idx="371">
                  <c:v>44746</c:v>
                </c:pt>
                <c:pt idx="372">
                  <c:v>44747</c:v>
                </c:pt>
                <c:pt idx="373">
                  <c:v>44748</c:v>
                </c:pt>
                <c:pt idx="374">
                  <c:v>44749</c:v>
                </c:pt>
                <c:pt idx="375">
                  <c:v>44750</c:v>
                </c:pt>
                <c:pt idx="376">
                  <c:v>44753</c:v>
                </c:pt>
                <c:pt idx="377">
                  <c:v>44754</c:v>
                </c:pt>
                <c:pt idx="378">
                  <c:v>44755</c:v>
                </c:pt>
                <c:pt idx="379">
                  <c:v>44756</c:v>
                </c:pt>
                <c:pt idx="380">
                  <c:v>44757</c:v>
                </c:pt>
                <c:pt idx="381">
                  <c:v>44760</c:v>
                </c:pt>
                <c:pt idx="382">
                  <c:v>44761</c:v>
                </c:pt>
                <c:pt idx="383">
                  <c:v>44762</c:v>
                </c:pt>
                <c:pt idx="384">
                  <c:v>44763</c:v>
                </c:pt>
                <c:pt idx="385">
                  <c:v>44764</c:v>
                </c:pt>
                <c:pt idx="386">
                  <c:v>44767</c:v>
                </c:pt>
                <c:pt idx="387">
                  <c:v>44768</c:v>
                </c:pt>
                <c:pt idx="388">
                  <c:v>44769</c:v>
                </c:pt>
                <c:pt idx="389">
                  <c:v>44770</c:v>
                </c:pt>
                <c:pt idx="390">
                  <c:v>44771</c:v>
                </c:pt>
                <c:pt idx="391">
                  <c:v>44774</c:v>
                </c:pt>
                <c:pt idx="392">
                  <c:v>44775</c:v>
                </c:pt>
                <c:pt idx="393">
                  <c:v>44776</c:v>
                </c:pt>
                <c:pt idx="394">
                  <c:v>44777</c:v>
                </c:pt>
                <c:pt idx="395">
                  <c:v>44778</c:v>
                </c:pt>
                <c:pt idx="396">
                  <c:v>44781</c:v>
                </c:pt>
                <c:pt idx="397">
                  <c:v>44783</c:v>
                </c:pt>
                <c:pt idx="398">
                  <c:v>44784</c:v>
                </c:pt>
                <c:pt idx="399">
                  <c:v>44785</c:v>
                </c:pt>
                <c:pt idx="400">
                  <c:v>44789</c:v>
                </c:pt>
                <c:pt idx="401">
                  <c:v>44790</c:v>
                </c:pt>
                <c:pt idx="402">
                  <c:v>44791</c:v>
                </c:pt>
                <c:pt idx="403">
                  <c:v>44792</c:v>
                </c:pt>
                <c:pt idx="404">
                  <c:v>44795</c:v>
                </c:pt>
                <c:pt idx="405">
                  <c:v>44796</c:v>
                </c:pt>
                <c:pt idx="406">
                  <c:v>44797</c:v>
                </c:pt>
                <c:pt idx="407">
                  <c:v>44798</c:v>
                </c:pt>
                <c:pt idx="408">
                  <c:v>44799</c:v>
                </c:pt>
                <c:pt idx="409">
                  <c:v>44802</c:v>
                </c:pt>
                <c:pt idx="410">
                  <c:v>44803</c:v>
                </c:pt>
                <c:pt idx="411">
                  <c:v>44805</c:v>
                </c:pt>
                <c:pt idx="412">
                  <c:v>44806</c:v>
                </c:pt>
                <c:pt idx="413">
                  <c:v>44809</c:v>
                </c:pt>
                <c:pt idx="414">
                  <c:v>44810</c:v>
                </c:pt>
                <c:pt idx="415">
                  <c:v>44811</c:v>
                </c:pt>
                <c:pt idx="416">
                  <c:v>44812</c:v>
                </c:pt>
                <c:pt idx="417">
                  <c:v>44813</c:v>
                </c:pt>
                <c:pt idx="418">
                  <c:v>44816</c:v>
                </c:pt>
                <c:pt idx="419">
                  <c:v>44817</c:v>
                </c:pt>
                <c:pt idx="420">
                  <c:v>44818</c:v>
                </c:pt>
                <c:pt idx="421">
                  <c:v>44819</c:v>
                </c:pt>
                <c:pt idx="422">
                  <c:v>44820</c:v>
                </c:pt>
                <c:pt idx="423">
                  <c:v>44823</c:v>
                </c:pt>
                <c:pt idx="424">
                  <c:v>44824</c:v>
                </c:pt>
                <c:pt idx="425">
                  <c:v>44825</c:v>
                </c:pt>
                <c:pt idx="426">
                  <c:v>44826</c:v>
                </c:pt>
                <c:pt idx="427">
                  <c:v>44827</c:v>
                </c:pt>
                <c:pt idx="428">
                  <c:v>44830</c:v>
                </c:pt>
                <c:pt idx="429">
                  <c:v>44831</c:v>
                </c:pt>
                <c:pt idx="430">
                  <c:v>44832</c:v>
                </c:pt>
                <c:pt idx="431">
                  <c:v>44833</c:v>
                </c:pt>
                <c:pt idx="432">
                  <c:v>44834</c:v>
                </c:pt>
                <c:pt idx="433">
                  <c:v>44837</c:v>
                </c:pt>
                <c:pt idx="434">
                  <c:v>44838</c:v>
                </c:pt>
                <c:pt idx="435">
                  <c:v>44840</c:v>
                </c:pt>
                <c:pt idx="436">
                  <c:v>44841</c:v>
                </c:pt>
                <c:pt idx="437">
                  <c:v>44844</c:v>
                </c:pt>
                <c:pt idx="438">
                  <c:v>44845</c:v>
                </c:pt>
                <c:pt idx="439">
                  <c:v>44846</c:v>
                </c:pt>
                <c:pt idx="440">
                  <c:v>44847</c:v>
                </c:pt>
                <c:pt idx="441">
                  <c:v>44848</c:v>
                </c:pt>
                <c:pt idx="442">
                  <c:v>44851</c:v>
                </c:pt>
                <c:pt idx="443">
                  <c:v>44852</c:v>
                </c:pt>
                <c:pt idx="444">
                  <c:v>44853</c:v>
                </c:pt>
                <c:pt idx="445">
                  <c:v>44854</c:v>
                </c:pt>
                <c:pt idx="446">
                  <c:v>44855</c:v>
                </c:pt>
                <c:pt idx="447">
                  <c:v>44858</c:v>
                </c:pt>
                <c:pt idx="448">
                  <c:v>44859</c:v>
                </c:pt>
                <c:pt idx="449">
                  <c:v>44861</c:v>
                </c:pt>
                <c:pt idx="450">
                  <c:v>44862</c:v>
                </c:pt>
                <c:pt idx="451">
                  <c:v>44865</c:v>
                </c:pt>
                <c:pt idx="452">
                  <c:v>44866</c:v>
                </c:pt>
                <c:pt idx="453">
                  <c:v>44867</c:v>
                </c:pt>
                <c:pt idx="454">
                  <c:v>44868</c:v>
                </c:pt>
                <c:pt idx="455">
                  <c:v>44869</c:v>
                </c:pt>
                <c:pt idx="456">
                  <c:v>44872</c:v>
                </c:pt>
                <c:pt idx="457">
                  <c:v>44874</c:v>
                </c:pt>
                <c:pt idx="458">
                  <c:v>44875</c:v>
                </c:pt>
                <c:pt idx="459">
                  <c:v>44876</c:v>
                </c:pt>
                <c:pt idx="460">
                  <c:v>44879</c:v>
                </c:pt>
                <c:pt idx="461">
                  <c:v>44880</c:v>
                </c:pt>
                <c:pt idx="462">
                  <c:v>44881</c:v>
                </c:pt>
                <c:pt idx="463">
                  <c:v>44882</c:v>
                </c:pt>
                <c:pt idx="464">
                  <c:v>44883</c:v>
                </c:pt>
                <c:pt idx="465">
                  <c:v>44886</c:v>
                </c:pt>
                <c:pt idx="466">
                  <c:v>44887</c:v>
                </c:pt>
                <c:pt idx="467">
                  <c:v>44888</c:v>
                </c:pt>
                <c:pt idx="468">
                  <c:v>44889</c:v>
                </c:pt>
                <c:pt idx="469">
                  <c:v>44890</c:v>
                </c:pt>
                <c:pt idx="470">
                  <c:v>44893</c:v>
                </c:pt>
                <c:pt idx="471">
                  <c:v>44894</c:v>
                </c:pt>
                <c:pt idx="472">
                  <c:v>44895</c:v>
                </c:pt>
                <c:pt idx="473">
                  <c:v>44896</c:v>
                </c:pt>
                <c:pt idx="474">
                  <c:v>44897</c:v>
                </c:pt>
                <c:pt idx="475">
                  <c:v>44900</c:v>
                </c:pt>
                <c:pt idx="476">
                  <c:v>44901</c:v>
                </c:pt>
                <c:pt idx="477">
                  <c:v>44902</c:v>
                </c:pt>
                <c:pt idx="478">
                  <c:v>44903</c:v>
                </c:pt>
                <c:pt idx="479">
                  <c:v>44904</c:v>
                </c:pt>
                <c:pt idx="480">
                  <c:v>44907</c:v>
                </c:pt>
                <c:pt idx="481">
                  <c:v>44908</c:v>
                </c:pt>
                <c:pt idx="482">
                  <c:v>44909</c:v>
                </c:pt>
                <c:pt idx="483">
                  <c:v>44910</c:v>
                </c:pt>
                <c:pt idx="484">
                  <c:v>44911</c:v>
                </c:pt>
                <c:pt idx="485">
                  <c:v>44914</c:v>
                </c:pt>
                <c:pt idx="486">
                  <c:v>44915</c:v>
                </c:pt>
                <c:pt idx="487">
                  <c:v>44916</c:v>
                </c:pt>
                <c:pt idx="488">
                  <c:v>44917</c:v>
                </c:pt>
                <c:pt idx="489">
                  <c:v>44918</c:v>
                </c:pt>
                <c:pt idx="490">
                  <c:v>44921</c:v>
                </c:pt>
                <c:pt idx="491">
                  <c:v>44922</c:v>
                </c:pt>
                <c:pt idx="492">
                  <c:v>44923</c:v>
                </c:pt>
                <c:pt idx="493">
                  <c:v>44924</c:v>
                </c:pt>
                <c:pt idx="494">
                  <c:v>44925</c:v>
                </c:pt>
                <c:pt idx="495">
                  <c:v>44928</c:v>
                </c:pt>
                <c:pt idx="496">
                  <c:v>44929</c:v>
                </c:pt>
                <c:pt idx="497">
                  <c:v>44930</c:v>
                </c:pt>
                <c:pt idx="498">
                  <c:v>44931</c:v>
                </c:pt>
                <c:pt idx="499">
                  <c:v>44932</c:v>
                </c:pt>
                <c:pt idx="500">
                  <c:v>44935</c:v>
                </c:pt>
                <c:pt idx="501">
                  <c:v>44936</c:v>
                </c:pt>
                <c:pt idx="502">
                  <c:v>44937</c:v>
                </c:pt>
                <c:pt idx="503">
                  <c:v>44938</c:v>
                </c:pt>
                <c:pt idx="504">
                  <c:v>44939</c:v>
                </c:pt>
                <c:pt idx="505">
                  <c:v>44942</c:v>
                </c:pt>
                <c:pt idx="506">
                  <c:v>44943</c:v>
                </c:pt>
                <c:pt idx="507">
                  <c:v>44944</c:v>
                </c:pt>
                <c:pt idx="508">
                  <c:v>44945</c:v>
                </c:pt>
                <c:pt idx="509">
                  <c:v>44946</c:v>
                </c:pt>
                <c:pt idx="510">
                  <c:v>44949</c:v>
                </c:pt>
                <c:pt idx="511">
                  <c:v>44950</c:v>
                </c:pt>
                <c:pt idx="512">
                  <c:v>44951</c:v>
                </c:pt>
                <c:pt idx="513">
                  <c:v>44953</c:v>
                </c:pt>
                <c:pt idx="514">
                  <c:v>44956</c:v>
                </c:pt>
                <c:pt idx="515">
                  <c:v>44957</c:v>
                </c:pt>
                <c:pt idx="516">
                  <c:v>44958</c:v>
                </c:pt>
                <c:pt idx="517">
                  <c:v>44959</c:v>
                </c:pt>
                <c:pt idx="518">
                  <c:v>44960</c:v>
                </c:pt>
                <c:pt idx="519">
                  <c:v>44963</c:v>
                </c:pt>
                <c:pt idx="520">
                  <c:v>44964</c:v>
                </c:pt>
                <c:pt idx="521">
                  <c:v>44965</c:v>
                </c:pt>
                <c:pt idx="522">
                  <c:v>44966</c:v>
                </c:pt>
                <c:pt idx="523">
                  <c:v>44967</c:v>
                </c:pt>
                <c:pt idx="524">
                  <c:v>44970</c:v>
                </c:pt>
                <c:pt idx="525">
                  <c:v>44971</c:v>
                </c:pt>
                <c:pt idx="526">
                  <c:v>44972</c:v>
                </c:pt>
                <c:pt idx="527">
                  <c:v>44973</c:v>
                </c:pt>
                <c:pt idx="528">
                  <c:v>44974</c:v>
                </c:pt>
                <c:pt idx="529">
                  <c:v>44977</c:v>
                </c:pt>
                <c:pt idx="530">
                  <c:v>44978</c:v>
                </c:pt>
                <c:pt idx="531">
                  <c:v>44979</c:v>
                </c:pt>
                <c:pt idx="532">
                  <c:v>44980</c:v>
                </c:pt>
                <c:pt idx="533">
                  <c:v>44981</c:v>
                </c:pt>
                <c:pt idx="534">
                  <c:v>44984</c:v>
                </c:pt>
                <c:pt idx="535">
                  <c:v>44985</c:v>
                </c:pt>
                <c:pt idx="536">
                  <c:v>44986</c:v>
                </c:pt>
                <c:pt idx="537">
                  <c:v>44987</c:v>
                </c:pt>
                <c:pt idx="538">
                  <c:v>44988</c:v>
                </c:pt>
                <c:pt idx="539">
                  <c:v>44991</c:v>
                </c:pt>
                <c:pt idx="540">
                  <c:v>44993</c:v>
                </c:pt>
                <c:pt idx="541">
                  <c:v>44994</c:v>
                </c:pt>
                <c:pt idx="542">
                  <c:v>44995</c:v>
                </c:pt>
                <c:pt idx="543">
                  <c:v>44998</c:v>
                </c:pt>
                <c:pt idx="544">
                  <c:v>44999</c:v>
                </c:pt>
                <c:pt idx="545">
                  <c:v>45000</c:v>
                </c:pt>
                <c:pt idx="546">
                  <c:v>45001</c:v>
                </c:pt>
                <c:pt idx="547">
                  <c:v>45002</c:v>
                </c:pt>
                <c:pt idx="548">
                  <c:v>45005</c:v>
                </c:pt>
                <c:pt idx="549">
                  <c:v>45006</c:v>
                </c:pt>
                <c:pt idx="550">
                  <c:v>45007</c:v>
                </c:pt>
                <c:pt idx="551">
                  <c:v>45008</c:v>
                </c:pt>
                <c:pt idx="552">
                  <c:v>45009</c:v>
                </c:pt>
                <c:pt idx="553">
                  <c:v>45012</c:v>
                </c:pt>
                <c:pt idx="554">
                  <c:v>45013</c:v>
                </c:pt>
                <c:pt idx="555">
                  <c:v>45014</c:v>
                </c:pt>
                <c:pt idx="556">
                  <c:v>45016</c:v>
                </c:pt>
                <c:pt idx="557">
                  <c:v>45019</c:v>
                </c:pt>
                <c:pt idx="558">
                  <c:v>45021</c:v>
                </c:pt>
                <c:pt idx="559">
                  <c:v>45022</c:v>
                </c:pt>
                <c:pt idx="560">
                  <c:v>45026</c:v>
                </c:pt>
                <c:pt idx="561">
                  <c:v>45027</c:v>
                </c:pt>
                <c:pt idx="562">
                  <c:v>45028</c:v>
                </c:pt>
                <c:pt idx="563">
                  <c:v>45029</c:v>
                </c:pt>
                <c:pt idx="564">
                  <c:v>45033</c:v>
                </c:pt>
                <c:pt idx="565">
                  <c:v>45034</c:v>
                </c:pt>
                <c:pt idx="566">
                  <c:v>45035</c:v>
                </c:pt>
                <c:pt idx="567">
                  <c:v>45036</c:v>
                </c:pt>
                <c:pt idx="568">
                  <c:v>45037</c:v>
                </c:pt>
                <c:pt idx="569">
                  <c:v>45040</c:v>
                </c:pt>
                <c:pt idx="570">
                  <c:v>45041</c:v>
                </c:pt>
                <c:pt idx="571">
                  <c:v>45042</c:v>
                </c:pt>
                <c:pt idx="572">
                  <c:v>45043</c:v>
                </c:pt>
                <c:pt idx="573">
                  <c:v>45044</c:v>
                </c:pt>
                <c:pt idx="574">
                  <c:v>45048</c:v>
                </c:pt>
                <c:pt idx="575">
                  <c:v>45049</c:v>
                </c:pt>
                <c:pt idx="576">
                  <c:v>45050</c:v>
                </c:pt>
                <c:pt idx="577">
                  <c:v>45051</c:v>
                </c:pt>
                <c:pt idx="578">
                  <c:v>45054</c:v>
                </c:pt>
                <c:pt idx="579">
                  <c:v>45055</c:v>
                </c:pt>
                <c:pt idx="580">
                  <c:v>45056</c:v>
                </c:pt>
                <c:pt idx="581">
                  <c:v>45057</c:v>
                </c:pt>
                <c:pt idx="582">
                  <c:v>45058</c:v>
                </c:pt>
                <c:pt idx="583">
                  <c:v>45061</c:v>
                </c:pt>
                <c:pt idx="584">
                  <c:v>45062</c:v>
                </c:pt>
                <c:pt idx="585">
                  <c:v>45063</c:v>
                </c:pt>
                <c:pt idx="586">
                  <c:v>45064</c:v>
                </c:pt>
                <c:pt idx="587">
                  <c:v>45065</c:v>
                </c:pt>
                <c:pt idx="588">
                  <c:v>45068</c:v>
                </c:pt>
                <c:pt idx="589">
                  <c:v>45069</c:v>
                </c:pt>
                <c:pt idx="590">
                  <c:v>45070</c:v>
                </c:pt>
                <c:pt idx="591">
                  <c:v>45071</c:v>
                </c:pt>
                <c:pt idx="592">
                  <c:v>45072</c:v>
                </c:pt>
                <c:pt idx="593">
                  <c:v>45075</c:v>
                </c:pt>
                <c:pt idx="594">
                  <c:v>45076</c:v>
                </c:pt>
                <c:pt idx="595">
                  <c:v>45077</c:v>
                </c:pt>
                <c:pt idx="596">
                  <c:v>45078</c:v>
                </c:pt>
                <c:pt idx="597">
                  <c:v>45079</c:v>
                </c:pt>
                <c:pt idx="598">
                  <c:v>45082</c:v>
                </c:pt>
                <c:pt idx="599">
                  <c:v>45083</c:v>
                </c:pt>
                <c:pt idx="600">
                  <c:v>45084</c:v>
                </c:pt>
                <c:pt idx="601">
                  <c:v>45085</c:v>
                </c:pt>
                <c:pt idx="602">
                  <c:v>45086</c:v>
                </c:pt>
                <c:pt idx="603">
                  <c:v>45089</c:v>
                </c:pt>
                <c:pt idx="604">
                  <c:v>45090</c:v>
                </c:pt>
                <c:pt idx="605">
                  <c:v>45091</c:v>
                </c:pt>
                <c:pt idx="606">
                  <c:v>45092</c:v>
                </c:pt>
                <c:pt idx="607">
                  <c:v>45093</c:v>
                </c:pt>
                <c:pt idx="608">
                  <c:v>45096</c:v>
                </c:pt>
                <c:pt idx="609">
                  <c:v>45097</c:v>
                </c:pt>
                <c:pt idx="610">
                  <c:v>45098</c:v>
                </c:pt>
                <c:pt idx="611">
                  <c:v>45099</c:v>
                </c:pt>
                <c:pt idx="612">
                  <c:v>45100</c:v>
                </c:pt>
                <c:pt idx="613">
                  <c:v>45103</c:v>
                </c:pt>
                <c:pt idx="614">
                  <c:v>45104</c:v>
                </c:pt>
                <c:pt idx="615">
                  <c:v>45105</c:v>
                </c:pt>
                <c:pt idx="616">
                  <c:v>45107</c:v>
                </c:pt>
                <c:pt idx="617">
                  <c:v>45110</c:v>
                </c:pt>
                <c:pt idx="618">
                  <c:v>45111</c:v>
                </c:pt>
                <c:pt idx="619">
                  <c:v>45112</c:v>
                </c:pt>
                <c:pt idx="620">
                  <c:v>45113</c:v>
                </c:pt>
                <c:pt idx="621">
                  <c:v>45114</c:v>
                </c:pt>
                <c:pt idx="622">
                  <c:v>45117</c:v>
                </c:pt>
                <c:pt idx="623">
                  <c:v>45118</c:v>
                </c:pt>
                <c:pt idx="624">
                  <c:v>45119</c:v>
                </c:pt>
                <c:pt idx="625">
                  <c:v>45120</c:v>
                </c:pt>
                <c:pt idx="626">
                  <c:v>45121</c:v>
                </c:pt>
                <c:pt idx="627">
                  <c:v>45124</c:v>
                </c:pt>
                <c:pt idx="628">
                  <c:v>45125</c:v>
                </c:pt>
                <c:pt idx="629">
                  <c:v>45126</c:v>
                </c:pt>
                <c:pt idx="630">
                  <c:v>45127</c:v>
                </c:pt>
                <c:pt idx="631">
                  <c:v>45128</c:v>
                </c:pt>
                <c:pt idx="632">
                  <c:v>45131</c:v>
                </c:pt>
                <c:pt idx="633">
                  <c:v>45132</c:v>
                </c:pt>
                <c:pt idx="634">
                  <c:v>45133</c:v>
                </c:pt>
                <c:pt idx="635">
                  <c:v>45134</c:v>
                </c:pt>
                <c:pt idx="636">
                  <c:v>45135</c:v>
                </c:pt>
                <c:pt idx="637">
                  <c:v>45138</c:v>
                </c:pt>
                <c:pt idx="638">
                  <c:v>45139</c:v>
                </c:pt>
                <c:pt idx="639">
                  <c:v>45140</c:v>
                </c:pt>
                <c:pt idx="640">
                  <c:v>45141</c:v>
                </c:pt>
                <c:pt idx="641">
                  <c:v>45142</c:v>
                </c:pt>
                <c:pt idx="642">
                  <c:v>45145</c:v>
                </c:pt>
                <c:pt idx="643">
                  <c:v>45146</c:v>
                </c:pt>
                <c:pt idx="644">
                  <c:v>45147</c:v>
                </c:pt>
                <c:pt idx="645">
                  <c:v>45148</c:v>
                </c:pt>
                <c:pt idx="646">
                  <c:v>45149</c:v>
                </c:pt>
                <c:pt idx="647">
                  <c:v>45152</c:v>
                </c:pt>
                <c:pt idx="648">
                  <c:v>45154</c:v>
                </c:pt>
                <c:pt idx="649">
                  <c:v>45155</c:v>
                </c:pt>
                <c:pt idx="650">
                  <c:v>45156</c:v>
                </c:pt>
                <c:pt idx="651">
                  <c:v>45159</c:v>
                </c:pt>
                <c:pt idx="652">
                  <c:v>45160</c:v>
                </c:pt>
                <c:pt idx="653">
                  <c:v>45161</c:v>
                </c:pt>
                <c:pt idx="654">
                  <c:v>45162</c:v>
                </c:pt>
                <c:pt idx="655">
                  <c:v>45163</c:v>
                </c:pt>
                <c:pt idx="656">
                  <c:v>45166</c:v>
                </c:pt>
                <c:pt idx="657">
                  <c:v>45167</c:v>
                </c:pt>
                <c:pt idx="658">
                  <c:v>45168</c:v>
                </c:pt>
                <c:pt idx="659">
                  <c:v>45169</c:v>
                </c:pt>
                <c:pt idx="660">
                  <c:v>45170</c:v>
                </c:pt>
                <c:pt idx="661">
                  <c:v>45173</c:v>
                </c:pt>
                <c:pt idx="662">
                  <c:v>45174</c:v>
                </c:pt>
                <c:pt idx="663">
                  <c:v>45175</c:v>
                </c:pt>
                <c:pt idx="664">
                  <c:v>45176</c:v>
                </c:pt>
                <c:pt idx="665">
                  <c:v>45177</c:v>
                </c:pt>
                <c:pt idx="666">
                  <c:v>45180</c:v>
                </c:pt>
                <c:pt idx="667">
                  <c:v>45181</c:v>
                </c:pt>
                <c:pt idx="668">
                  <c:v>45182</c:v>
                </c:pt>
                <c:pt idx="669">
                  <c:v>45183</c:v>
                </c:pt>
                <c:pt idx="670">
                  <c:v>45184</c:v>
                </c:pt>
                <c:pt idx="671">
                  <c:v>45187</c:v>
                </c:pt>
                <c:pt idx="672">
                  <c:v>45189</c:v>
                </c:pt>
                <c:pt idx="673">
                  <c:v>45190</c:v>
                </c:pt>
                <c:pt idx="674">
                  <c:v>45191</c:v>
                </c:pt>
                <c:pt idx="675">
                  <c:v>45194</c:v>
                </c:pt>
                <c:pt idx="676">
                  <c:v>45195</c:v>
                </c:pt>
                <c:pt idx="677">
                  <c:v>45196</c:v>
                </c:pt>
                <c:pt idx="678">
                  <c:v>45197</c:v>
                </c:pt>
                <c:pt idx="679">
                  <c:v>45198</c:v>
                </c:pt>
                <c:pt idx="680">
                  <c:v>45202</c:v>
                </c:pt>
                <c:pt idx="681">
                  <c:v>45203</c:v>
                </c:pt>
                <c:pt idx="682">
                  <c:v>45204</c:v>
                </c:pt>
                <c:pt idx="683">
                  <c:v>45205</c:v>
                </c:pt>
                <c:pt idx="684">
                  <c:v>45208</c:v>
                </c:pt>
                <c:pt idx="685">
                  <c:v>45209</c:v>
                </c:pt>
                <c:pt idx="686">
                  <c:v>45210</c:v>
                </c:pt>
                <c:pt idx="687">
                  <c:v>45211</c:v>
                </c:pt>
                <c:pt idx="688">
                  <c:v>45212</c:v>
                </c:pt>
                <c:pt idx="689">
                  <c:v>45215</c:v>
                </c:pt>
                <c:pt idx="690">
                  <c:v>45216</c:v>
                </c:pt>
                <c:pt idx="691">
                  <c:v>45217</c:v>
                </c:pt>
                <c:pt idx="692">
                  <c:v>45218</c:v>
                </c:pt>
                <c:pt idx="693">
                  <c:v>45219</c:v>
                </c:pt>
                <c:pt idx="694">
                  <c:v>45222</c:v>
                </c:pt>
                <c:pt idx="695">
                  <c:v>45224</c:v>
                </c:pt>
                <c:pt idx="696">
                  <c:v>45225</c:v>
                </c:pt>
                <c:pt idx="697">
                  <c:v>45226</c:v>
                </c:pt>
                <c:pt idx="698">
                  <c:v>45229</c:v>
                </c:pt>
                <c:pt idx="699">
                  <c:v>45230</c:v>
                </c:pt>
                <c:pt idx="700">
                  <c:v>45231</c:v>
                </c:pt>
                <c:pt idx="701">
                  <c:v>45232</c:v>
                </c:pt>
                <c:pt idx="702">
                  <c:v>45233</c:v>
                </c:pt>
                <c:pt idx="703">
                  <c:v>45236</c:v>
                </c:pt>
                <c:pt idx="704">
                  <c:v>45237</c:v>
                </c:pt>
                <c:pt idx="705">
                  <c:v>45238</c:v>
                </c:pt>
                <c:pt idx="706">
                  <c:v>45239</c:v>
                </c:pt>
                <c:pt idx="707">
                  <c:v>45240</c:v>
                </c:pt>
                <c:pt idx="708">
                  <c:v>45242</c:v>
                </c:pt>
                <c:pt idx="709">
                  <c:v>45243</c:v>
                </c:pt>
                <c:pt idx="710">
                  <c:v>45245</c:v>
                </c:pt>
                <c:pt idx="711">
                  <c:v>45246</c:v>
                </c:pt>
                <c:pt idx="712">
                  <c:v>45247</c:v>
                </c:pt>
                <c:pt idx="713">
                  <c:v>45250</c:v>
                </c:pt>
                <c:pt idx="714">
                  <c:v>45251</c:v>
                </c:pt>
                <c:pt idx="715">
                  <c:v>45252</c:v>
                </c:pt>
                <c:pt idx="716">
                  <c:v>45253</c:v>
                </c:pt>
                <c:pt idx="717">
                  <c:v>45254</c:v>
                </c:pt>
                <c:pt idx="718">
                  <c:v>45258</c:v>
                </c:pt>
                <c:pt idx="719">
                  <c:v>45259</c:v>
                </c:pt>
                <c:pt idx="720">
                  <c:v>45260</c:v>
                </c:pt>
                <c:pt idx="721">
                  <c:v>45261</c:v>
                </c:pt>
                <c:pt idx="722">
                  <c:v>45264</c:v>
                </c:pt>
                <c:pt idx="723">
                  <c:v>45265</c:v>
                </c:pt>
                <c:pt idx="724">
                  <c:v>45266</c:v>
                </c:pt>
                <c:pt idx="725">
                  <c:v>45267</c:v>
                </c:pt>
                <c:pt idx="726">
                  <c:v>45268</c:v>
                </c:pt>
                <c:pt idx="727">
                  <c:v>45271</c:v>
                </c:pt>
                <c:pt idx="728">
                  <c:v>45272</c:v>
                </c:pt>
                <c:pt idx="729">
                  <c:v>45273</c:v>
                </c:pt>
                <c:pt idx="730">
                  <c:v>45274</c:v>
                </c:pt>
                <c:pt idx="731">
                  <c:v>45275</c:v>
                </c:pt>
                <c:pt idx="732">
                  <c:v>45278</c:v>
                </c:pt>
                <c:pt idx="733">
                  <c:v>45279</c:v>
                </c:pt>
                <c:pt idx="734">
                  <c:v>45280</c:v>
                </c:pt>
                <c:pt idx="735">
                  <c:v>45281</c:v>
                </c:pt>
                <c:pt idx="736">
                  <c:v>45282</c:v>
                </c:pt>
                <c:pt idx="737">
                  <c:v>45286</c:v>
                </c:pt>
                <c:pt idx="738">
                  <c:v>45287</c:v>
                </c:pt>
                <c:pt idx="739">
                  <c:v>45288</c:v>
                </c:pt>
                <c:pt idx="740">
                  <c:v>45289</c:v>
                </c:pt>
                <c:pt idx="741">
                  <c:v>45292</c:v>
                </c:pt>
                <c:pt idx="742">
                  <c:v>45293</c:v>
                </c:pt>
                <c:pt idx="743">
                  <c:v>45294</c:v>
                </c:pt>
                <c:pt idx="744">
                  <c:v>45295</c:v>
                </c:pt>
                <c:pt idx="745">
                  <c:v>45296</c:v>
                </c:pt>
                <c:pt idx="746">
                  <c:v>45299</c:v>
                </c:pt>
                <c:pt idx="747">
                  <c:v>45300</c:v>
                </c:pt>
                <c:pt idx="748">
                  <c:v>45301</c:v>
                </c:pt>
                <c:pt idx="749">
                  <c:v>45302</c:v>
                </c:pt>
                <c:pt idx="750">
                  <c:v>45303</c:v>
                </c:pt>
                <c:pt idx="751">
                  <c:v>45306</c:v>
                </c:pt>
                <c:pt idx="752">
                  <c:v>45307</c:v>
                </c:pt>
                <c:pt idx="753">
                  <c:v>45308</c:v>
                </c:pt>
                <c:pt idx="754">
                  <c:v>45309</c:v>
                </c:pt>
                <c:pt idx="755">
                  <c:v>45310</c:v>
                </c:pt>
                <c:pt idx="756">
                  <c:v>45311</c:v>
                </c:pt>
                <c:pt idx="757">
                  <c:v>45314</c:v>
                </c:pt>
                <c:pt idx="758">
                  <c:v>45315</c:v>
                </c:pt>
                <c:pt idx="759">
                  <c:v>45316</c:v>
                </c:pt>
                <c:pt idx="760">
                  <c:v>45320</c:v>
                </c:pt>
                <c:pt idx="761">
                  <c:v>45321</c:v>
                </c:pt>
                <c:pt idx="762">
                  <c:v>45322</c:v>
                </c:pt>
                <c:pt idx="763">
                  <c:v>45323</c:v>
                </c:pt>
                <c:pt idx="764">
                  <c:v>45324</c:v>
                </c:pt>
                <c:pt idx="765">
                  <c:v>45327</c:v>
                </c:pt>
                <c:pt idx="766">
                  <c:v>45328</c:v>
                </c:pt>
                <c:pt idx="767">
                  <c:v>45329</c:v>
                </c:pt>
                <c:pt idx="768">
                  <c:v>45330</c:v>
                </c:pt>
                <c:pt idx="769">
                  <c:v>45331</c:v>
                </c:pt>
                <c:pt idx="770">
                  <c:v>45334</c:v>
                </c:pt>
                <c:pt idx="771">
                  <c:v>45335</c:v>
                </c:pt>
                <c:pt idx="772">
                  <c:v>45336</c:v>
                </c:pt>
                <c:pt idx="773">
                  <c:v>45337</c:v>
                </c:pt>
                <c:pt idx="774">
                  <c:v>45338</c:v>
                </c:pt>
                <c:pt idx="775">
                  <c:v>45341</c:v>
                </c:pt>
                <c:pt idx="776">
                  <c:v>45342</c:v>
                </c:pt>
                <c:pt idx="777">
                  <c:v>45343</c:v>
                </c:pt>
                <c:pt idx="778">
                  <c:v>45344</c:v>
                </c:pt>
                <c:pt idx="779">
                  <c:v>45345</c:v>
                </c:pt>
                <c:pt idx="780">
                  <c:v>45348</c:v>
                </c:pt>
                <c:pt idx="781">
                  <c:v>45349</c:v>
                </c:pt>
                <c:pt idx="782">
                  <c:v>45350</c:v>
                </c:pt>
                <c:pt idx="783">
                  <c:v>45351</c:v>
                </c:pt>
                <c:pt idx="784">
                  <c:v>45352</c:v>
                </c:pt>
                <c:pt idx="785">
                  <c:v>45353</c:v>
                </c:pt>
                <c:pt idx="786">
                  <c:v>45355</c:v>
                </c:pt>
                <c:pt idx="787">
                  <c:v>45356</c:v>
                </c:pt>
                <c:pt idx="788">
                  <c:v>45357</c:v>
                </c:pt>
                <c:pt idx="789">
                  <c:v>45358</c:v>
                </c:pt>
                <c:pt idx="790">
                  <c:v>45362</c:v>
                </c:pt>
                <c:pt idx="791">
                  <c:v>45363</c:v>
                </c:pt>
                <c:pt idx="792">
                  <c:v>45364</c:v>
                </c:pt>
                <c:pt idx="793">
                  <c:v>45365</c:v>
                </c:pt>
                <c:pt idx="794">
                  <c:v>45366</c:v>
                </c:pt>
                <c:pt idx="795">
                  <c:v>45369</c:v>
                </c:pt>
                <c:pt idx="796">
                  <c:v>45370</c:v>
                </c:pt>
                <c:pt idx="797">
                  <c:v>45371</c:v>
                </c:pt>
                <c:pt idx="798">
                  <c:v>45372</c:v>
                </c:pt>
                <c:pt idx="799">
                  <c:v>45373</c:v>
                </c:pt>
                <c:pt idx="800">
                  <c:v>45377</c:v>
                </c:pt>
                <c:pt idx="801">
                  <c:v>45378</c:v>
                </c:pt>
                <c:pt idx="802">
                  <c:v>45379</c:v>
                </c:pt>
                <c:pt idx="803">
                  <c:v>45383</c:v>
                </c:pt>
                <c:pt idx="804">
                  <c:v>45384</c:v>
                </c:pt>
                <c:pt idx="805">
                  <c:v>45385</c:v>
                </c:pt>
                <c:pt idx="806">
                  <c:v>45386</c:v>
                </c:pt>
                <c:pt idx="807">
                  <c:v>45387</c:v>
                </c:pt>
                <c:pt idx="808">
                  <c:v>45390</c:v>
                </c:pt>
                <c:pt idx="809">
                  <c:v>45391</c:v>
                </c:pt>
                <c:pt idx="810">
                  <c:v>45392</c:v>
                </c:pt>
                <c:pt idx="811">
                  <c:v>45394</c:v>
                </c:pt>
                <c:pt idx="812">
                  <c:v>45397</c:v>
                </c:pt>
                <c:pt idx="813">
                  <c:v>45398</c:v>
                </c:pt>
                <c:pt idx="814">
                  <c:v>45400</c:v>
                </c:pt>
                <c:pt idx="815">
                  <c:v>45401</c:v>
                </c:pt>
                <c:pt idx="816">
                  <c:v>45404</c:v>
                </c:pt>
                <c:pt idx="817">
                  <c:v>45405</c:v>
                </c:pt>
                <c:pt idx="818">
                  <c:v>45406</c:v>
                </c:pt>
                <c:pt idx="819">
                  <c:v>45407</c:v>
                </c:pt>
                <c:pt idx="820">
                  <c:v>45408</c:v>
                </c:pt>
                <c:pt idx="821">
                  <c:v>45411</c:v>
                </c:pt>
                <c:pt idx="822">
                  <c:v>45412</c:v>
                </c:pt>
                <c:pt idx="823">
                  <c:v>45414</c:v>
                </c:pt>
                <c:pt idx="824">
                  <c:v>45415</c:v>
                </c:pt>
                <c:pt idx="825">
                  <c:v>45418</c:v>
                </c:pt>
                <c:pt idx="826">
                  <c:v>45419</c:v>
                </c:pt>
                <c:pt idx="827">
                  <c:v>45420</c:v>
                </c:pt>
                <c:pt idx="828">
                  <c:v>45421</c:v>
                </c:pt>
                <c:pt idx="829">
                  <c:v>45422</c:v>
                </c:pt>
                <c:pt idx="830">
                  <c:v>45425</c:v>
                </c:pt>
                <c:pt idx="831">
                  <c:v>45426</c:v>
                </c:pt>
                <c:pt idx="832">
                  <c:v>45427</c:v>
                </c:pt>
                <c:pt idx="833">
                  <c:v>45428</c:v>
                </c:pt>
                <c:pt idx="834">
                  <c:v>45429</c:v>
                </c:pt>
                <c:pt idx="835">
                  <c:v>45430</c:v>
                </c:pt>
                <c:pt idx="836">
                  <c:v>45433</c:v>
                </c:pt>
                <c:pt idx="837">
                  <c:v>45434</c:v>
                </c:pt>
                <c:pt idx="838">
                  <c:v>45435</c:v>
                </c:pt>
                <c:pt idx="839">
                  <c:v>45436</c:v>
                </c:pt>
                <c:pt idx="840">
                  <c:v>45439</c:v>
                </c:pt>
                <c:pt idx="841">
                  <c:v>45440</c:v>
                </c:pt>
                <c:pt idx="842">
                  <c:v>45441</c:v>
                </c:pt>
                <c:pt idx="843">
                  <c:v>45442</c:v>
                </c:pt>
                <c:pt idx="844">
                  <c:v>45443</c:v>
                </c:pt>
                <c:pt idx="845">
                  <c:v>45446</c:v>
                </c:pt>
                <c:pt idx="846">
                  <c:v>45447</c:v>
                </c:pt>
                <c:pt idx="847">
                  <c:v>45448</c:v>
                </c:pt>
                <c:pt idx="848">
                  <c:v>45449</c:v>
                </c:pt>
                <c:pt idx="849">
                  <c:v>45450</c:v>
                </c:pt>
                <c:pt idx="850">
                  <c:v>45453</c:v>
                </c:pt>
                <c:pt idx="851">
                  <c:v>45454</c:v>
                </c:pt>
                <c:pt idx="852">
                  <c:v>45455</c:v>
                </c:pt>
                <c:pt idx="853">
                  <c:v>45456</c:v>
                </c:pt>
                <c:pt idx="854">
                  <c:v>45457</c:v>
                </c:pt>
                <c:pt idx="855">
                  <c:v>45461</c:v>
                </c:pt>
                <c:pt idx="856">
                  <c:v>45462</c:v>
                </c:pt>
                <c:pt idx="857">
                  <c:v>45463</c:v>
                </c:pt>
                <c:pt idx="858">
                  <c:v>45464</c:v>
                </c:pt>
                <c:pt idx="859">
                  <c:v>45467</c:v>
                </c:pt>
                <c:pt idx="860">
                  <c:v>45468</c:v>
                </c:pt>
                <c:pt idx="861">
                  <c:v>45469</c:v>
                </c:pt>
                <c:pt idx="862">
                  <c:v>45470</c:v>
                </c:pt>
                <c:pt idx="863">
                  <c:v>45471</c:v>
                </c:pt>
                <c:pt idx="864">
                  <c:v>45474</c:v>
                </c:pt>
                <c:pt idx="865">
                  <c:v>45475</c:v>
                </c:pt>
                <c:pt idx="866">
                  <c:v>45476</c:v>
                </c:pt>
                <c:pt idx="867">
                  <c:v>45477</c:v>
                </c:pt>
                <c:pt idx="868">
                  <c:v>45478</c:v>
                </c:pt>
                <c:pt idx="869">
                  <c:v>45481</c:v>
                </c:pt>
                <c:pt idx="870">
                  <c:v>45482</c:v>
                </c:pt>
                <c:pt idx="871">
                  <c:v>45483</c:v>
                </c:pt>
                <c:pt idx="872">
                  <c:v>45484</c:v>
                </c:pt>
                <c:pt idx="873">
                  <c:v>45485</c:v>
                </c:pt>
                <c:pt idx="874">
                  <c:v>45488</c:v>
                </c:pt>
                <c:pt idx="875">
                  <c:v>45489</c:v>
                </c:pt>
                <c:pt idx="876">
                  <c:v>45491</c:v>
                </c:pt>
                <c:pt idx="877">
                  <c:v>45492</c:v>
                </c:pt>
                <c:pt idx="878">
                  <c:v>45495</c:v>
                </c:pt>
                <c:pt idx="879">
                  <c:v>45496</c:v>
                </c:pt>
                <c:pt idx="880">
                  <c:v>45497</c:v>
                </c:pt>
                <c:pt idx="881">
                  <c:v>45498</c:v>
                </c:pt>
                <c:pt idx="882">
                  <c:v>45499</c:v>
                </c:pt>
                <c:pt idx="883">
                  <c:v>45502</c:v>
                </c:pt>
                <c:pt idx="884">
                  <c:v>45503</c:v>
                </c:pt>
                <c:pt idx="885">
                  <c:v>45504</c:v>
                </c:pt>
                <c:pt idx="886">
                  <c:v>45505</c:v>
                </c:pt>
                <c:pt idx="887">
                  <c:v>45506</c:v>
                </c:pt>
                <c:pt idx="888">
                  <c:v>45509</c:v>
                </c:pt>
                <c:pt idx="889">
                  <c:v>45510</c:v>
                </c:pt>
                <c:pt idx="890">
                  <c:v>45511</c:v>
                </c:pt>
                <c:pt idx="891">
                  <c:v>45512</c:v>
                </c:pt>
                <c:pt idx="892">
                  <c:v>45513</c:v>
                </c:pt>
                <c:pt idx="893">
                  <c:v>45516</c:v>
                </c:pt>
                <c:pt idx="894">
                  <c:v>45517</c:v>
                </c:pt>
                <c:pt idx="895">
                  <c:v>45518</c:v>
                </c:pt>
                <c:pt idx="896">
                  <c:v>45520</c:v>
                </c:pt>
                <c:pt idx="897">
                  <c:v>45523</c:v>
                </c:pt>
                <c:pt idx="898">
                  <c:v>45524</c:v>
                </c:pt>
                <c:pt idx="899">
                  <c:v>45525</c:v>
                </c:pt>
                <c:pt idx="900">
                  <c:v>45526</c:v>
                </c:pt>
                <c:pt idx="901">
                  <c:v>45527</c:v>
                </c:pt>
                <c:pt idx="902">
                  <c:v>45530</c:v>
                </c:pt>
                <c:pt idx="903">
                  <c:v>45531</c:v>
                </c:pt>
                <c:pt idx="904">
                  <c:v>45532</c:v>
                </c:pt>
                <c:pt idx="905">
                  <c:v>45533</c:v>
                </c:pt>
                <c:pt idx="906">
                  <c:v>45534</c:v>
                </c:pt>
                <c:pt idx="907">
                  <c:v>45537</c:v>
                </c:pt>
                <c:pt idx="908">
                  <c:v>45538</c:v>
                </c:pt>
                <c:pt idx="909">
                  <c:v>45539</c:v>
                </c:pt>
                <c:pt idx="910">
                  <c:v>45540</c:v>
                </c:pt>
                <c:pt idx="911">
                  <c:v>45541</c:v>
                </c:pt>
                <c:pt idx="912">
                  <c:v>45544</c:v>
                </c:pt>
                <c:pt idx="913">
                  <c:v>45545</c:v>
                </c:pt>
                <c:pt idx="914">
                  <c:v>45546</c:v>
                </c:pt>
                <c:pt idx="915">
                  <c:v>45547</c:v>
                </c:pt>
                <c:pt idx="916">
                  <c:v>45548</c:v>
                </c:pt>
                <c:pt idx="917">
                  <c:v>45551</c:v>
                </c:pt>
                <c:pt idx="918">
                  <c:v>45552</c:v>
                </c:pt>
                <c:pt idx="919">
                  <c:v>45553</c:v>
                </c:pt>
                <c:pt idx="920">
                  <c:v>45554</c:v>
                </c:pt>
                <c:pt idx="921">
                  <c:v>45555</c:v>
                </c:pt>
                <c:pt idx="922">
                  <c:v>45558</c:v>
                </c:pt>
                <c:pt idx="923">
                  <c:v>45559</c:v>
                </c:pt>
                <c:pt idx="924">
                  <c:v>45560</c:v>
                </c:pt>
                <c:pt idx="925">
                  <c:v>45561</c:v>
                </c:pt>
                <c:pt idx="926">
                  <c:v>45562</c:v>
                </c:pt>
                <c:pt idx="927">
                  <c:v>45565</c:v>
                </c:pt>
                <c:pt idx="928">
                  <c:v>45566</c:v>
                </c:pt>
                <c:pt idx="929">
                  <c:v>45568</c:v>
                </c:pt>
                <c:pt idx="930">
                  <c:v>45569</c:v>
                </c:pt>
                <c:pt idx="931">
                  <c:v>45572</c:v>
                </c:pt>
                <c:pt idx="932">
                  <c:v>45573</c:v>
                </c:pt>
                <c:pt idx="933">
                  <c:v>45574</c:v>
                </c:pt>
                <c:pt idx="934">
                  <c:v>45575</c:v>
                </c:pt>
                <c:pt idx="935">
                  <c:v>45576</c:v>
                </c:pt>
                <c:pt idx="936">
                  <c:v>45579</c:v>
                </c:pt>
                <c:pt idx="937">
                  <c:v>45580</c:v>
                </c:pt>
                <c:pt idx="938">
                  <c:v>45581</c:v>
                </c:pt>
                <c:pt idx="939">
                  <c:v>45582</c:v>
                </c:pt>
                <c:pt idx="940">
                  <c:v>45583</c:v>
                </c:pt>
                <c:pt idx="941">
                  <c:v>45586</c:v>
                </c:pt>
                <c:pt idx="942">
                  <c:v>45587</c:v>
                </c:pt>
                <c:pt idx="943">
                  <c:v>45588</c:v>
                </c:pt>
                <c:pt idx="944">
                  <c:v>45589</c:v>
                </c:pt>
                <c:pt idx="945">
                  <c:v>45590</c:v>
                </c:pt>
                <c:pt idx="946">
                  <c:v>45593</c:v>
                </c:pt>
                <c:pt idx="947">
                  <c:v>45594</c:v>
                </c:pt>
                <c:pt idx="948">
                  <c:v>45595</c:v>
                </c:pt>
                <c:pt idx="949">
                  <c:v>45596</c:v>
                </c:pt>
                <c:pt idx="950">
                  <c:v>45597</c:v>
                </c:pt>
                <c:pt idx="951">
                  <c:v>45600</c:v>
                </c:pt>
                <c:pt idx="952">
                  <c:v>45601</c:v>
                </c:pt>
                <c:pt idx="953">
                  <c:v>45602</c:v>
                </c:pt>
                <c:pt idx="954">
                  <c:v>45603</c:v>
                </c:pt>
                <c:pt idx="955">
                  <c:v>45604</c:v>
                </c:pt>
                <c:pt idx="956">
                  <c:v>45607</c:v>
                </c:pt>
                <c:pt idx="957">
                  <c:v>45608</c:v>
                </c:pt>
                <c:pt idx="958">
                  <c:v>45609</c:v>
                </c:pt>
                <c:pt idx="959">
                  <c:v>45610</c:v>
                </c:pt>
                <c:pt idx="960">
                  <c:v>45614</c:v>
                </c:pt>
                <c:pt idx="961">
                  <c:v>45615</c:v>
                </c:pt>
                <c:pt idx="962">
                  <c:v>45617</c:v>
                </c:pt>
                <c:pt idx="963">
                  <c:v>45618</c:v>
                </c:pt>
                <c:pt idx="964">
                  <c:v>45621</c:v>
                </c:pt>
                <c:pt idx="965">
                  <c:v>45622</c:v>
                </c:pt>
                <c:pt idx="966">
                  <c:v>45623</c:v>
                </c:pt>
                <c:pt idx="967">
                  <c:v>45624</c:v>
                </c:pt>
                <c:pt idx="968">
                  <c:v>45625</c:v>
                </c:pt>
                <c:pt idx="969">
                  <c:v>45628</c:v>
                </c:pt>
                <c:pt idx="970">
                  <c:v>45629</c:v>
                </c:pt>
                <c:pt idx="971">
                  <c:v>45630</c:v>
                </c:pt>
                <c:pt idx="972">
                  <c:v>45631</c:v>
                </c:pt>
                <c:pt idx="973">
                  <c:v>45632</c:v>
                </c:pt>
                <c:pt idx="974">
                  <c:v>45635</c:v>
                </c:pt>
                <c:pt idx="975">
                  <c:v>45636</c:v>
                </c:pt>
                <c:pt idx="976">
                  <c:v>45637</c:v>
                </c:pt>
                <c:pt idx="977">
                  <c:v>45638</c:v>
                </c:pt>
                <c:pt idx="978">
                  <c:v>45639</c:v>
                </c:pt>
                <c:pt idx="979">
                  <c:v>45642</c:v>
                </c:pt>
                <c:pt idx="980">
                  <c:v>45643</c:v>
                </c:pt>
                <c:pt idx="981">
                  <c:v>45644</c:v>
                </c:pt>
                <c:pt idx="982">
                  <c:v>45645</c:v>
                </c:pt>
                <c:pt idx="983">
                  <c:v>45646</c:v>
                </c:pt>
                <c:pt idx="984">
                  <c:v>45649</c:v>
                </c:pt>
                <c:pt idx="985">
                  <c:v>45650</c:v>
                </c:pt>
                <c:pt idx="986">
                  <c:v>45652</c:v>
                </c:pt>
                <c:pt idx="987">
                  <c:v>45653</c:v>
                </c:pt>
                <c:pt idx="988">
                  <c:v>45656</c:v>
                </c:pt>
                <c:pt idx="989">
                  <c:v>45657</c:v>
                </c:pt>
                <c:pt idx="990">
                  <c:v>45658</c:v>
                </c:pt>
                <c:pt idx="991">
                  <c:v>45659</c:v>
                </c:pt>
                <c:pt idx="992">
                  <c:v>45660</c:v>
                </c:pt>
                <c:pt idx="993">
                  <c:v>45663</c:v>
                </c:pt>
                <c:pt idx="994">
                  <c:v>45664</c:v>
                </c:pt>
                <c:pt idx="995">
                  <c:v>45665</c:v>
                </c:pt>
                <c:pt idx="996">
                  <c:v>45666</c:v>
                </c:pt>
                <c:pt idx="997">
                  <c:v>45667</c:v>
                </c:pt>
                <c:pt idx="998">
                  <c:v>45670</c:v>
                </c:pt>
                <c:pt idx="999">
                  <c:v>45671</c:v>
                </c:pt>
                <c:pt idx="1000">
                  <c:v>45672</c:v>
                </c:pt>
                <c:pt idx="1001">
                  <c:v>45673</c:v>
                </c:pt>
                <c:pt idx="1002">
                  <c:v>45674</c:v>
                </c:pt>
                <c:pt idx="1003">
                  <c:v>45677</c:v>
                </c:pt>
                <c:pt idx="1004">
                  <c:v>45678</c:v>
                </c:pt>
                <c:pt idx="1005">
                  <c:v>45679</c:v>
                </c:pt>
                <c:pt idx="1006">
                  <c:v>45680</c:v>
                </c:pt>
                <c:pt idx="1007">
                  <c:v>45681</c:v>
                </c:pt>
                <c:pt idx="1008">
                  <c:v>45684</c:v>
                </c:pt>
                <c:pt idx="1009">
                  <c:v>45685</c:v>
                </c:pt>
                <c:pt idx="1010">
                  <c:v>45686</c:v>
                </c:pt>
                <c:pt idx="1011">
                  <c:v>45687</c:v>
                </c:pt>
                <c:pt idx="1012">
                  <c:v>45688</c:v>
                </c:pt>
                <c:pt idx="1013">
                  <c:v>45689</c:v>
                </c:pt>
                <c:pt idx="1014">
                  <c:v>45691</c:v>
                </c:pt>
                <c:pt idx="1015">
                  <c:v>45692</c:v>
                </c:pt>
                <c:pt idx="1016">
                  <c:v>45693</c:v>
                </c:pt>
                <c:pt idx="1017">
                  <c:v>45694</c:v>
                </c:pt>
                <c:pt idx="1018">
                  <c:v>45695</c:v>
                </c:pt>
                <c:pt idx="1019">
                  <c:v>45698</c:v>
                </c:pt>
                <c:pt idx="1020">
                  <c:v>45699</c:v>
                </c:pt>
                <c:pt idx="1021">
                  <c:v>45700</c:v>
                </c:pt>
                <c:pt idx="1022">
                  <c:v>45701</c:v>
                </c:pt>
                <c:pt idx="1023">
                  <c:v>45702</c:v>
                </c:pt>
                <c:pt idx="1024">
                  <c:v>45705</c:v>
                </c:pt>
                <c:pt idx="1025">
                  <c:v>45706</c:v>
                </c:pt>
                <c:pt idx="1026">
                  <c:v>45707</c:v>
                </c:pt>
                <c:pt idx="1027">
                  <c:v>45708</c:v>
                </c:pt>
                <c:pt idx="1028">
                  <c:v>45709</c:v>
                </c:pt>
                <c:pt idx="1029">
                  <c:v>45712</c:v>
                </c:pt>
                <c:pt idx="1030">
                  <c:v>45713</c:v>
                </c:pt>
                <c:pt idx="1031">
                  <c:v>45715</c:v>
                </c:pt>
                <c:pt idx="1032">
                  <c:v>45716</c:v>
                </c:pt>
                <c:pt idx="1033">
                  <c:v>45719</c:v>
                </c:pt>
                <c:pt idx="1034">
                  <c:v>45720</c:v>
                </c:pt>
                <c:pt idx="1035">
                  <c:v>45721</c:v>
                </c:pt>
                <c:pt idx="1036">
                  <c:v>45722</c:v>
                </c:pt>
                <c:pt idx="1037">
                  <c:v>45723</c:v>
                </c:pt>
                <c:pt idx="1038">
                  <c:v>45726</c:v>
                </c:pt>
                <c:pt idx="1039">
                  <c:v>45727</c:v>
                </c:pt>
                <c:pt idx="1040">
                  <c:v>45728</c:v>
                </c:pt>
                <c:pt idx="1041">
                  <c:v>45729</c:v>
                </c:pt>
                <c:pt idx="1042">
                  <c:v>45733</c:v>
                </c:pt>
                <c:pt idx="1043">
                  <c:v>45734</c:v>
                </c:pt>
                <c:pt idx="1044">
                  <c:v>45735</c:v>
                </c:pt>
                <c:pt idx="1045">
                  <c:v>45736</c:v>
                </c:pt>
                <c:pt idx="1046">
                  <c:v>45737</c:v>
                </c:pt>
                <c:pt idx="1047">
                  <c:v>45740</c:v>
                </c:pt>
                <c:pt idx="1048">
                  <c:v>45741</c:v>
                </c:pt>
                <c:pt idx="1049">
                  <c:v>45742</c:v>
                </c:pt>
                <c:pt idx="1050">
                  <c:v>45743</c:v>
                </c:pt>
                <c:pt idx="1051">
                  <c:v>45744</c:v>
                </c:pt>
                <c:pt idx="1052">
                  <c:v>45748</c:v>
                </c:pt>
                <c:pt idx="1053">
                  <c:v>45749</c:v>
                </c:pt>
                <c:pt idx="1054">
                  <c:v>45750</c:v>
                </c:pt>
                <c:pt idx="1055">
                  <c:v>45751</c:v>
                </c:pt>
                <c:pt idx="1056">
                  <c:v>45754</c:v>
                </c:pt>
                <c:pt idx="1057">
                  <c:v>45755</c:v>
                </c:pt>
                <c:pt idx="1058">
                  <c:v>45756</c:v>
                </c:pt>
                <c:pt idx="1059">
                  <c:v>45758</c:v>
                </c:pt>
                <c:pt idx="1060">
                  <c:v>45762</c:v>
                </c:pt>
                <c:pt idx="1061">
                  <c:v>45763</c:v>
                </c:pt>
                <c:pt idx="1062">
                  <c:v>45764</c:v>
                </c:pt>
                <c:pt idx="1063">
                  <c:v>45768</c:v>
                </c:pt>
                <c:pt idx="1064">
                  <c:v>45769</c:v>
                </c:pt>
                <c:pt idx="1065">
                  <c:v>45770</c:v>
                </c:pt>
                <c:pt idx="1066">
                  <c:v>45771</c:v>
                </c:pt>
                <c:pt idx="1067">
                  <c:v>45772</c:v>
                </c:pt>
                <c:pt idx="1068">
                  <c:v>45775</c:v>
                </c:pt>
                <c:pt idx="1069">
                  <c:v>45776</c:v>
                </c:pt>
                <c:pt idx="1070">
                  <c:v>45777</c:v>
                </c:pt>
                <c:pt idx="1071">
                  <c:v>45779</c:v>
                </c:pt>
                <c:pt idx="1072">
                  <c:v>45782</c:v>
                </c:pt>
                <c:pt idx="1073">
                  <c:v>45783</c:v>
                </c:pt>
                <c:pt idx="1074">
                  <c:v>45784</c:v>
                </c:pt>
                <c:pt idx="1075">
                  <c:v>45785</c:v>
                </c:pt>
                <c:pt idx="1076">
                  <c:v>45786</c:v>
                </c:pt>
                <c:pt idx="1077">
                  <c:v>45789</c:v>
                </c:pt>
                <c:pt idx="1078">
                  <c:v>45790</c:v>
                </c:pt>
                <c:pt idx="1079">
                  <c:v>45791</c:v>
                </c:pt>
                <c:pt idx="1080">
                  <c:v>45792</c:v>
                </c:pt>
                <c:pt idx="1081">
                  <c:v>45793</c:v>
                </c:pt>
                <c:pt idx="1082">
                  <c:v>45796</c:v>
                </c:pt>
                <c:pt idx="1083">
                  <c:v>45797</c:v>
                </c:pt>
                <c:pt idx="1084">
                  <c:v>45798</c:v>
                </c:pt>
                <c:pt idx="1085">
                  <c:v>45799</c:v>
                </c:pt>
                <c:pt idx="1086">
                  <c:v>45800</c:v>
                </c:pt>
                <c:pt idx="1087">
                  <c:v>45803</c:v>
                </c:pt>
                <c:pt idx="1088">
                  <c:v>45804</c:v>
                </c:pt>
                <c:pt idx="1089">
                  <c:v>45805</c:v>
                </c:pt>
                <c:pt idx="1090">
                  <c:v>45806</c:v>
                </c:pt>
                <c:pt idx="1091">
                  <c:v>45807</c:v>
                </c:pt>
                <c:pt idx="1092">
                  <c:v>45810</c:v>
                </c:pt>
                <c:pt idx="1093">
                  <c:v>45811</c:v>
                </c:pt>
                <c:pt idx="1094">
                  <c:v>45812</c:v>
                </c:pt>
                <c:pt idx="1095">
                  <c:v>45813</c:v>
                </c:pt>
                <c:pt idx="1096">
                  <c:v>45814</c:v>
                </c:pt>
                <c:pt idx="1097">
                  <c:v>45817</c:v>
                </c:pt>
                <c:pt idx="1098">
                  <c:v>45818</c:v>
                </c:pt>
                <c:pt idx="1099">
                  <c:v>45819</c:v>
                </c:pt>
                <c:pt idx="1100">
                  <c:v>45820</c:v>
                </c:pt>
                <c:pt idx="1101">
                  <c:v>45821</c:v>
                </c:pt>
                <c:pt idx="1102">
                  <c:v>45824</c:v>
                </c:pt>
                <c:pt idx="1103">
                  <c:v>45825</c:v>
                </c:pt>
                <c:pt idx="1104">
                  <c:v>45826</c:v>
                </c:pt>
                <c:pt idx="1105">
                  <c:v>45827</c:v>
                </c:pt>
                <c:pt idx="1106">
                  <c:v>45828</c:v>
                </c:pt>
                <c:pt idx="1107">
                  <c:v>45831</c:v>
                </c:pt>
                <c:pt idx="1108">
                  <c:v>45832</c:v>
                </c:pt>
                <c:pt idx="1109">
                  <c:v>45833</c:v>
                </c:pt>
                <c:pt idx="1110">
                  <c:v>45834</c:v>
                </c:pt>
                <c:pt idx="1111">
                  <c:v>45835</c:v>
                </c:pt>
                <c:pt idx="1112">
                  <c:v>45838</c:v>
                </c:pt>
                <c:pt idx="1113">
                  <c:v>45839</c:v>
                </c:pt>
                <c:pt idx="1114">
                  <c:v>45840</c:v>
                </c:pt>
                <c:pt idx="1115">
                  <c:v>45841</c:v>
                </c:pt>
                <c:pt idx="1116">
                  <c:v>45842</c:v>
                </c:pt>
                <c:pt idx="1117">
                  <c:v>45845</c:v>
                </c:pt>
                <c:pt idx="1118">
                  <c:v>45846</c:v>
                </c:pt>
                <c:pt idx="1119">
                  <c:v>45847</c:v>
                </c:pt>
                <c:pt idx="1120">
                  <c:v>45848</c:v>
                </c:pt>
                <c:pt idx="1121">
                  <c:v>45849</c:v>
                </c:pt>
                <c:pt idx="1122">
                  <c:v>45852</c:v>
                </c:pt>
                <c:pt idx="1123">
                  <c:v>45853</c:v>
                </c:pt>
                <c:pt idx="1124">
                  <c:v>45854</c:v>
                </c:pt>
                <c:pt idx="1125">
                  <c:v>45855</c:v>
                </c:pt>
                <c:pt idx="1126">
                  <c:v>45856</c:v>
                </c:pt>
                <c:pt idx="1127">
                  <c:v>45859</c:v>
                </c:pt>
                <c:pt idx="1128">
                  <c:v>45860</c:v>
                </c:pt>
                <c:pt idx="1129">
                  <c:v>45861</c:v>
                </c:pt>
                <c:pt idx="1130">
                  <c:v>45862</c:v>
                </c:pt>
                <c:pt idx="1131">
                  <c:v>45863</c:v>
                </c:pt>
                <c:pt idx="1132">
                  <c:v>45866</c:v>
                </c:pt>
                <c:pt idx="1133">
                  <c:v>45867</c:v>
                </c:pt>
                <c:pt idx="1134">
                  <c:v>45868</c:v>
                </c:pt>
                <c:pt idx="1135">
                  <c:v>45869</c:v>
                </c:pt>
                <c:pt idx="1136">
                  <c:v>45870</c:v>
                </c:pt>
                <c:pt idx="1137">
                  <c:v>45873</c:v>
                </c:pt>
                <c:pt idx="1138">
                  <c:v>45874</c:v>
                </c:pt>
                <c:pt idx="1139">
                  <c:v>45875</c:v>
                </c:pt>
                <c:pt idx="1140">
                  <c:v>45876</c:v>
                </c:pt>
                <c:pt idx="1141">
                  <c:v>45877</c:v>
                </c:pt>
                <c:pt idx="1142">
                  <c:v>45880</c:v>
                </c:pt>
                <c:pt idx="1143">
                  <c:v>45881</c:v>
                </c:pt>
                <c:pt idx="1144">
                  <c:v>45882</c:v>
                </c:pt>
                <c:pt idx="1145">
                  <c:v>45883</c:v>
                </c:pt>
                <c:pt idx="1146">
                  <c:v>45887</c:v>
                </c:pt>
                <c:pt idx="1147">
                  <c:v>45888</c:v>
                </c:pt>
                <c:pt idx="1148">
                  <c:v>45889</c:v>
                </c:pt>
                <c:pt idx="1149">
                  <c:v>45890</c:v>
                </c:pt>
                <c:pt idx="1150">
                  <c:v>45891</c:v>
                </c:pt>
                <c:pt idx="1151">
                  <c:v>45894</c:v>
                </c:pt>
                <c:pt idx="1152">
                  <c:v>45895</c:v>
                </c:pt>
                <c:pt idx="1153">
                  <c:v>45897</c:v>
                </c:pt>
                <c:pt idx="1154">
                  <c:v>45898</c:v>
                </c:pt>
                <c:pt idx="1155">
                  <c:v>45901</c:v>
                </c:pt>
                <c:pt idx="1156">
                  <c:v>45902</c:v>
                </c:pt>
                <c:pt idx="1157">
                  <c:v>45903</c:v>
                </c:pt>
                <c:pt idx="1158">
                  <c:v>45904</c:v>
                </c:pt>
                <c:pt idx="1159">
                  <c:v>45905</c:v>
                </c:pt>
                <c:pt idx="1160">
                  <c:v>45908</c:v>
                </c:pt>
                <c:pt idx="1161">
                  <c:v>45909</c:v>
                </c:pt>
                <c:pt idx="1162">
                  <c:v>45910</c:v>
                </c:pt>
                <c:pt idx="1163">
                  <c:v>45911</c:v>
                </c:pt>
                <c:pt idx="1164">
                  <c:v>45912</c:v>
                </c:pt>
                <c:pt idx="1165">
                  <c:v>45915</c:v>
                </c:pt>
                <c:pt idx="1166">
                  <c:v>45916</c:v>
                </c:pt>
                <c:pt idx="1167">
                  <c:v>45917</c:v>
                </c:pt>
                <c:pt idx="1168">
                  <c:v>45918</c:v>
                </c:pt>
                <c:pt idx="1169">
                  <c:v>45919</c:v>
                </c:pt>
                <c:pt idx="1170">
                  <c:v>45922</c:v>
                </c:pt>
                <c:pt idx="1171">
                  <c:v>45923</c:v>
                </c:pt>
                <c:pt idx="1172">
                  <c:v>45924</c:v>
                </c:pt>
                <c:pt idx="1173">
                  <c:v>45925</c:v>
                </c:pt>
                <c:pt idx="1174">
                  <c:v>45926</c:v>
                </c:pt>
                <c:pt idx="1175">
                  <c:v>45929</c:v>
                </c:pt>
                <c:pt idx="1176">
                  <c:v>45930</c:v>
                </c:pt>
                <c:pt idx="1177">
                  <c:v>45931</c:v>
                </c:pt>
                <c:pt idx="1178">
                  <c:v>45933</c:v>
                </c:pt>
                <c:pt idx="1179">
                  <c:v>45936</c:v>
                </c:pt>
                <c:pt idx="1180">
                  <c:v>45937</c:v>
                </c:pt>
                <c:pt idx="1181">
                  <c:v>45938</c:v>
                </c:pt>
                <c:pt idx="1182">
                  <c:v>45939</c:v>
                </c:pt>
                <c:pt idx="1183">
                  <c:v>45940</c:v>
                </c:pt>
                <c:pt idx="1184">
                  <c:v>45943</c:v>
                </c:pt>
                <c:pt idx="1185">
                  <c:v>45944</c:v>
                </c:pt>
                <c:pt idx="1186">
                  <c:v>45945</c:v>
                </c:pt>
                <c:pt idx="1187">
                  <c:v>45946</c:v>
                </c:pt>
                <c:pt idx="1188">
                  <c:v>45947</c:v>
                </c:pt>
                <c:pt idx="1189">
                  <c:v>45950</c:v>
                </c:pt>
                <c:pt idx="1190">
                  <c:v>45951</c:v>
                </c:pt>
                <c:pt idx="1191">
                  <c:v>45953</c:v>
                </c:pt>
                <c:pt idx="1192">
                  <c:v>45954</c:v>
                </c:pt>
                <c:pt idx="1193">
                  <c:v>45957</c:v>
                </c:pt>
                <c:pt idx="1194">
                  <c:v>45958</c:v>
                </c:pt>
                <c:pt idx="1195">
                  <c:v>45959</c:v>
                </c:pt>
                <c:pt idx="1196">
                  <c:v>45960</c:v>
                </c:pt>
                <c:pt idx="1197">
                  <c:v>45961</c:v>
                </c:pt>
                <c:pt idx="1198">
                  <c:v>45964</c:v>
                </c:pt>
                <c:pt idx="1199">
                  <c:v>45965</c:v>
                </c:pt>
                <c:pt idx="1200">
                  <c:v>45967</c:v>
                </c:pt>
                <c:pt idx="1201">
                  <c:v>45968</c:v>
                </c:pt>
                <c:pt idx="1202">
                  <c:v>45971</c:v>
                </c:pt>
                <c:pt idx="1203">
                  <c:v>45972</c:v>
                </c:pt>
                <c:pt idx="1204">
                  <c:v>45973</c:v>
                </c:pt>
                <c:pt idx="1205">
                  <c:v>45974</c:v>
                </c:pt>
                <c:pt idx="1206">
                  <c:v>45975</c:v>
                </c:pt>
                <c:pt idx="1207">
                  <c:v>45978</c:v>
                </c:pt>
                <c:pt idx="1208">
                  <c:v>45979</c:v>
                </c:pt>
                <c:pt idx="1209">
                  <c:v>45980</c:v>
                </c:pt>
                <c:pt idx="1210">
                  <c:v>45981</c:v>
                </c:pt>
                <c:pt idx="1211">
                  <c:v>45982</c:v>
                </c:pt>
                <c:pt idx="1212">
                  <c:v>45985</c:v>
                </c:pt>
                <c:pt idx="1213">
                  <c:v>45986</c:v>
                </c:pt>
                <c:pt idx="1214">
                  <c:v>45987</c:v>
                </c:pt>
                <c:pt idx="1215">
                  <c:v>45988</c:v>
                </c:pt>
                <c:pt idx="1216">
                  <c:v>45989</c:v>
                </c:pt>
                <c:pt idx="1217">
                  <c:v>45992</c:v>
                </c:pt>
                <c:pt idx="1218">
                  <c:v>45993</c:v>
                </c:pt>
                <c:pt idx="1219">
                  <c:v>45994</c:v>
                </c:pt>
                <c:pt idx="1220">
                  <c:v>45995</c:v>
                </c:pt>
                <c:pt idx="1221">
                  <c:v>45996</c:v>
                </c:pt>
                <c:pt idx="1222">
                  <c:v>45999</c:v>
                </c:pt>
                <c:pt idx="1223">
                  <c:v>46000</c:v>
                </c:pt>
                <c:pt idx="1224">
                  <c:v>46001</c:v>
                </c:pt>
                <c:pt idx="1225">
                  <c:v>46002</c:v>
                </c:pt>
                <c:pt idx="1226">
                  <c:v>46003</c:v>
                </c:pt>
                <c:pt idx="1227">
                  <c:v>46006</c:v>
                </c:pt>
                <c:pt idx="1228">
                  <c:v>46007</c:v>
                </c:pt>
                <c:pt idx="1229">
                  <c:v>46008</c:v>
                </c:pt>
                <c:pt idx="1230">
                  <c:v>46009</c:v>
                </c:pt>
                <c:pt idx="1231">
                  <c:v>46010</c:v>
                </c:pt>
                <c:pt idx="1232">
                  <c:v>46013</c:v>
                </c:pt>
                <c:pt idx="1233">
                  <c:v>46014</c:v>
                </c:pt>
                <c:pt idx="1234">
                  <c:v>46015</c:v>
                </c:pt>
                <c:pt idx="1235">
                  <c:v>46017</c:v>
                </c:pt>
                <c:pt idx="1236">
                  <c:v>46020</c:v>
                </c:pt>
                <c:pt idx="1237">
                  <c:v>46021</c:v>
                </c:pt>
                <c:pt idx="1238">
                  <c:v>46022</c:v>
                </c:pt>
                <c:pt idx="1239">
                  <c:v>46023</c:v>
                </c:pt>
                <c:pt idx="1240">
                  <c:v>46024</c:v>
                </c:pt>
              </c:numCache>
            </c:numRef>
          </c:cat>
          <c:val>
            <c:numRef>
              <c:f>UltraTech_Beta!$AD$4:$AD$1244</c:f>
              <c:numCache>
                <c:formatCode>General</c:formatCode>
                <c:ptCount val="1241"/>
                <c:pt idx="0">
                  <c:v>45.378</c:v>
                </c:pt>
                <c:pt idx="1">
                  <c:v>53.095999999999997</c:v>
                </c:pt>
                <c:pt idx="2">
                  <c:v>70.144999999999996</c:v>
                </c:pt>
                <c:pt idx="3">
                  <c:v>74.239999999999995</c:v>
                </c:pt>
                <c:pt idx="4">
                  <c:v>80.268000000000001</c:v>
                </c:pt>
                <c:pt idx="5">
                  <c:v>71.457999999999998</c:v>
                </c:pt>
                <c:pt idx="6">
                  <c:v>59.143999999999998</c:v>
                </c:pt>
                <c:pt idx="7">
                  <c:v>42.323999999999998</c:v>
                </c:pt>
                <c:pt idx="8">
                  <c:v>46.42</c:v>
                </c:pt>
                <c:pt idx="9">
                  <c:v>58.987000000000002</c:v>
                </c:pt>
                <c:pt idx="10">
                  <c:v>46.16</c:v>
                </c:pt>
                <c:pt idx="11">
                  <c:v>48.341999999999999</c:v>
                </c:pt>
                <c:pt idx="12">
                  <c:v>32.106000000000002</c:v>
                </c:pt>
                <c:pt idx="13">
                  <c:v>48.134999999999998</c:v>
                </c:pt>
                <c:pt idx="14">
                  <c:v>68.069000000000003</c:v>
                </c:pt>
                <c:pt idx="15">
                  <c:v>324</c:v>
                </c:pt>
                <c:pt idx="16">
                  <c:v>121</c:v>
                </c:pt>
                <c:pt idx="17">
                  <c:v>57.655000000000001</c:v>
                </c:pt>
                <c:pt idx="18">
                  <c:v>74.555999999999997</c:v>
                </c:pt>
                <c:pt idx="19">
                  <c:v>146</c:v>
                </c:pt>
                <c:pt idx="20">
                  <c:v>225</c:v>
                </c:pt>
                <c:pt idx="21">
                  <c:v>95.277000000000001</c:v>
                </c:pt>
                <c:pt idx="22">
                  <c:v>68.325999999999993</c:v>
                </c:pt>
                <c:pt idx="23">
                  <c:v>117</c:v>
                </c:pt>
                <c:pt idx="24">
                  <c:v>76.944000000000003</c:v>
                </c:pt>
                <c:pt idx="25">
                  <c:v>94.768000000000001</c:v>
                </c:pt>
                <c:pt idx="26">
                  <c:v>105</c:v>
                </c:pt>
                <c:pt idx="27">
                  <c:v>39.046999999999997</c:v>
                </c:pt>
                <c:pt idx="28">
                  <c:v>40.887</c:v>
                </c:pt>
                <c:pt idx="29">
                  <c:v>27.785</c:v>
                </c:pt>
                <c:pt idx="30">
                  <c:v>59.572000000000003</c:v>
                </c:pt>
                <c:pt idx="31">
                  <c:v>55.552</c:v>
                </c:pt>
                <c:pt idx="32">
                  <c:v>57.396999999999998</c:v>
                </c:pt>
                <c:pt idx="33">
                  <c:v>49.966999999999999</c:v>
                </c:pt>
                <c:pt idx="34">
                  <c:v>52.841000000000001</c:v>
                </c:pt>
                <c:pt idx="35">
                  <c:v>45.381</c:v>
                </c:pt>
                <c:pt idx="36">
                  <c:v>37.856000000000002</c:v>
                </c:pt>
                <c:pt idx="37">
                  <c:v>80.307000000000002</c:v>
                </c:pt>
                <c:pt idx="38">
                  <c:v>131</c:v>
                </c:pt>
                <c:pt idx="39">
                  <c:v>60.93</c:v>
                </c:pt>
                <c:pt idx="40">
                  <c:v>43.805</c:v>
                </c:pt>
                <c:pt idx="41">
                  <c:v>46.741999999999997</c:v>
                </c:pt>
                <c:pt idx="42">
                  <c:v>130</c:v>
                </c:pt>
                <c:pt idx="43">
                  <c:v>183</c:v>
                </c:pt>
                <c:pt idx="44">
                  <c:v>65.850999999999999</c:v>
                </c:pt>
                <c:pt idx="45">
                  <c:v>48.304000000000002</c:v>
                </c:pt>
                <c:pt idx="46">
                  <c:v>30.277000000000001</c:v>
                </c:pt>
                <c:pt idx="47">
                  <c:v>67.381</c:v>
                </c:pt>
                <c:pt idx="48">
                  <c:v>34.904000000000003</c:v>
                </c:pt>
                <c:pt idx="49">
                  <c:v>61.421999999999997</c:v>
                </c:pt>
                <c:pt idx="50">
                  <c:v>44.328000000000003</c:v>
                </c:pt>
                <c:pt idx="51">
                  <c:v>34.581000000000003</c:v>
                </c:pt>
                <c:pt idx="52">
                  <c:v>65.445999999999998</c:v>
                </c:pt>
                <c:pt idx="53">
                  <c:v>46.771999999999998</c:v>
                </c:pt>
                <c:pt idx="54">
                  <c:v>89.046000000000006</c:v>
                </c:pt>
                <c:pt idx="55">
                  <c:v>71.638999999999996</c:v>
                </c:pt>
                <c:pt idx="56">
                  <c:v>54.737000000000002</c:v>
                </c:pt>
                <c:pt idx="57">
                  <c:v>30.375</c:v>
                </c:pt>
                <c:pt idx="58">
                  <c:v>42.244</c:v>
                </c:pt>
                <c:pt idx="59">
                  <c:v>64.760000000000005</c:v>
                </c:pt>
                <c:pt idx="60">
                  <c:v>53.174999999999997</c:v>
                </c:pt>
                <c:pt idx="61">
                  <c:v>54.094999999999999</c:v>
                </c:pt>
                <c:pt idx="62">
                  <c:v>50.832999999999998</c:v>
                </c:pt>
                <c:pt idx="63">
                  <c:v>30.148</c:v>
                </c:pt>
                <c:pt idx="64">
                  <c:v>63.53</c:v>
                </c:pt>
                <c:pt idx="65">
                  <c:v>59.276000000000003</c:v>
                </c:pt>
                <c:pt idx="66">
                  <c:v>58.572000000000003</c:v>
                </c:pt>
                <c:pt idx="67">
                  <c:v>55.119</c:v>
                </c:pt>
                <c:pt idx="68">
                  <c:v>49.067999999999998</c:v>
                </c:pt>
                <c:pt idx="69">
                  <c:v>63.692</c:v>
                </c:pt>
                <c:pt idx="70">
                  <c:v>55.951000000000001</c:v>
                </c:pt>
                <c:pt idx="71">
                  <c:v>127</c:v>
                </c:pt>
                <c:pt idx="72">
                  <c:v>180</c:v>
                </c:pt>
                <c:pt idx="73">
                  <c:v>96.844999999999999</c:v>
                </c:pt>
                <c:pt idx="74">
                  <c:v>69.778999999999996</c:v>
                </c:pt>
                <c:pt idx="75">
                  <c:v>51.290999999999997</c:v>
                </c:pt>
                <c:pt idx="76">
                  <c:v>41.444000000000003</c:v>
                </c:pt>
                <c:pt idx="77">
                  <c:v>40.686999999999998</c:v>
                </c:pt>
                <c:pt idx="78">
                  <c:v>47.518000000000001</c:v>
                </c:pt>
                <c:pt idx="79">
                  <c:v>40.206000000000003</c:v>
                </c:pt>
                <c:pt idx="80">
                  <c:v>33.034999999999997</c:v>
                </c:pt>
                <c:pt idx="81">
                  <c:v>21.597000000000001</c:v>
                </c:pt>
                <c:pt idx="82">
                  <c:v>24.663</c:v>
                </c:pt>
                <c:pt idx="83">
                  <c:v>74.558000000000007</c:v>
                </c:pt>
                <c:pt idx="84">
                  <c:v>87.200999999999993</c:v>
                </c:pt>
                <c:pt idx="85">
                  <c:v>114</c:v>
                </c:pt>
                <c:pt idx="86">
                  <c:v>39.265999999999998</c:v>
                </c:pt>
                <c:pt idx="87">
                  <c:v>40.527999999999999</c:v>
                </c:pt>
                <c:pt idx="88">
                  <c:v>35.728999999999999</c:v>
                </c:pt>
                <c:pt idx="89">
                  <c:v>45.101999999999997</c:v>
                </c:pt>
                <c:pt idx="90">
                  <c:v>47.594999999999999</c:v>
                </c:pt>
                <c:pt idx="91">
                  <c:v>25.608999999999998</c:v>
                </c:pt>
                <c:pt idx="92">
                  <c:v>30.702999999999999</c:v>
                </c:pt>
                <c:pt idx="93">
                  <c:v>28.85</c:v>
                </c:pt>
                <c:pt idx="94">
                  <c:v>17.613</c:v>
                </c:pt>
                <c:pt idx="95">
                  <c:v>24.802</c:v>
                </c:pt>
                <c:pt idx="96">
                  <c:v>171</c:v>
                </c:pt>
                <c:pt idx="97">
                  <c:v>28.509</c:v>
                </c:pt>
                <c:pt idx="98">
                  <c:v>32.844999999999999</c:v>
                </c:pt>
                <c:pt idx="99">
                  <c:v>39.798999999999999</c:v>
                </c:pt>
                <c:pt idx="100">
                  <c:v>56.77</c:v>
                </c:pt>
                <c:pt idx="101">
                  <c:v>34.948</c:v>
                </c:pt>
                <c:pt idx="102">
                  <c:v>20.55</c:v>
                </c:pt>
                <c:pt idx="103">
                  <c:v>61.704000000000001</c:v>
                </c:pt>
                <c:pt idx="104">
                  <c:v>21.863</c:v>
                </c:pt>
                <c:pt idx="105">
                  <c:v>34.51</c:v>
                </c:pt>
                <c:pt idx="106">
                  <c:v>19.87</c:v>
                </c:pt>
                <c:pt idx="107">
                  <c:v>19.300999999999998</c:v>
                </c:pt>
                <c:pt idx="108">
                  <c:v>16</c:v>
                </c:pt>
                <c:pt idx="109">
                  <c:v>19.312999999999999</c:v>
                </c:pt>
                <c:pt idx="110">
                  <c:v>22.41</c:v>
                </c:pt>
                <c:pt idx="111">
                  <c:v>63.73</c:v>
                </c:pt>
                <c:pt idx="112">
                  <c:v>36.732999999999997</c:v>
                </c:pt>
                <c:pt idx="113">
                  <c:v>36.164999999999999</c:v>
                </c:pt>
                <c:pt idx="114">
                  <c:v>54.228000000000002</c:v>
                </c:pt>
                <c:pt idx="115">
                  <c:v>43.844000000000001</c:v>
                </c:pt>
                <c:pt idx="116">
                  <c:v>27.831</c:v>
                </c:pt>
                <c:pt idx="117">
                  <c:v>18.350000000000001</c:v>
                </c:pt>
                <c:pt idx="118">
                  <c:v>12.728</c:v>
                </c:pt>
                <c:pt idx="119">
                  <c:v>23.501000000000001</c:v>
                </c:pt>
                <c:pt idx="120">
                  <c:v>28.315000000000001</c:v>
                </c:pt>
                <c:pt idx="121">
                  <c:v>27.411000000000001</c:v>
                </c:pt>
                <c:pt idx="122">
                  <c:v>25.649000000000001</c:v>
                </c:pt>
                <c:pt idx="123">
                  <c:v>13.401</c:v>
                </c:pt>
                <c:pt idx="124">
                  <c:v>68.176000000000002</c:v>
                </c:pt>
                <c:pt idx="125">
                  <c:v>38.24</c:v>
                </c:pt>
                <c:pt idx="126">
                  <c:v>36.561</c:v>
                </c:pt>
                <c:pt idx="127">
                  <c:v>17.053999999999998</c:v>
                </c:pt>
                <c:pt idx="128">
                  <c:v>61.076000000000001</c:v>
                </c:pt>
                <c:pt idx="129">
                  <c:v>37.286999999999999</c:v>
                </c:pt>
                <c:pt idx="130">
                  <c:v>37.975000000000001</c:v>
                </c:pt>
                <c:pt idx="131">
                  <c:v>29.216999999999999</c:v>
                </c:pt>
                <c:pt idx="132">
                  <c:v>43.637999999999998</c:v>
                </c:pt>
                <c:pt idx="133">
                  <c:v>36.511000000000003</c:v>
                </c:pt>
                <c:pt idx="134">
                  <c:v>95.388999999999996</c:v>
                </c:pt>
                <c:pt idx="135">
                  <c:v>116</c:v>
                </c:pt>
                <c:pt idx="136">
                  <c:v>81.361999999999995</c:v>
                </c:pt>
                <c:pt idx="137">
                  <c:v>36.935000000000002</c:v>
                </c:pt>
                <c:pt idx="138">
                  <c:v>29.751000000000001</c:v>
                </c:pt>
                <c:pt idx="139">
                  <c:v>28.952999999999999</c:v>
                </c:pt>
                <c:pt idx="140">
                  <c:v>22.783999999999999</c:v>
                </c:pt>
                <c:pt idx="141">
                  <c:v>24.510999999999999</c:v>
                </c:pt>
                <c:pt idx="142">
                  <c:v>20.245000000000001</c:v>
                </c:pt>
                <c:pt idx="143">
                  <c:v>38.521999999999998</c:v>
                </c:pt>
                <c:pt idx="144">
                  <c:v>25.801999999999996</c:v>
                </c:pt>
                <c:pt idx="145">
                  <c:v>17.366</c:v>
                </c:pt>
                <c:pt idx="146">
                  <c:v>25.007000000000001</c:v>
                </c:pt>
                <c:pt idx="147">
                  <c:v>23.693999999999999</c:v>
                </c:pt>
                <c:pt idx="148">
                  <c:v>16.459</c:v>
                </c:pt>
                <c:pt idx="149">
                  <c:v>12.933999999999999</c:v>
                </c:pt>
                <c:pt idx="150">
                  <c:v>20.605</c:v>
                </c:pt>
                <c:pt idx="151">
                  <c:v>20.751000000000001</c:v>
                </c:pt>
                <c:pt idx="152">
                  <c:v>19.196999999999999</c:v>
                </c:pt>
                <c:pt idx="153">
                  <c:v>20.399999999999999</c:v>
                </c:pt>
                <c:pt idx="154">
                  <c:v>72.498999999999995</c:v>
                </c:pt>
                <c:pt idx="155">
                  <c:v>35.874000000000002</c:v>
                </c:pt>
                <c:pt idx="156">
                  <c:v>31.021999999999998</c:v>
                </c:pt>
                <c:pt idx="157">
                  <c:v>17.445</c:v>
                </c:pt>
                <c:pt idx="158">
                  <c:v>14.615</c:v>
                </c:pt>
                <c:pt idx="159">
                  <c:v>18.324000000000002</c:v>
                </c:pt>
                <c:pt idx="160">
                  <c:v>49.737000000000002</c:v>
                </c:pt>
                <c:pt idx="161">
                  <c:v>31.995000000000001</c:v>
                </c:pt>
                <c:pt idx="162">
                  <c:v>47.597000000000001</c:v>
                </c:pt>
                <c:pt idx="163">
                  <c:v>35.281999999999996</c:v>
                </c:pt>
                <c:pt idx="164">
                  <c:v>39.305999999999997</c:v>
                </c:pt>
                <c:pt idx="165">
                  <c:v>19.844999999999999</c:v>
                </c:pt>
                <c:pt idx="166">
                  <c:v>21.263000000000002</c:v>
                </c:pt>
                <c:pt idx="167">
                  <c:v>24.068000000000001</c:v>
                </c:pt>
                <c:pt idx="168">
                  <c:v>19.806000000000001</c:v>
                </c:pt>
                <c:pt idx="169">
                  <c:v>15.968999999999999</c:v>
                </c:pt>
                <c:pt idx="170">
                  <c:v>18.706</c:v>
                </c:pt>
                <c:pt idx="171">
                  <c:v>16.841000000000001</c:v>
                </c:pt>
                <c:pt idx="172">
                  <c:v>23.501000000000001</c:v>
                </c:pt>
                <c:pt idx="173">
                  <c:v>21.608000000000001</c:v>
                </c:pt>
                <c:pt idx="174">
                  <c:v>50.320999999999998</c:v>
                </c:pt>
                <c:pt idx="175">
                  <c:v>29.108000000000001</c:v>
                </c:pt>
                <c:pt idx="176">
                  <c:v>21.492000000000001</c:v>
                </c:pt>
                <c:pt idx="177">
                  <c:v>20.606000000000002</c:v>
                </c:pt>
                <c:pt idx="178">
                  <c:v>20.199000000000002</c:v>
                </c:pt>
                <c:pt idx="179">
                  <c:v>34.125999999999998</c:v>
                </c:pt>
                <c:pt idx="180">
                  <c:v>26.151999999999997</c:v>
                </c:pt>
                <c:pt idx="181">
                  <c:v>40.302999999999997</c:v>
                </c:pt>
                <c:pt idx="182">
                  <c:v>49.063000000000002</c:v>
                </c:pt>
                <c:pt idx="183">
                  <c:v>42.29</c:v>
                </c:pt>
                <c:pt idx="184">
                  <c:v>36.665999999999997</c:v>
                </c:pt>
                <c:pt idx="185">
                  <c:v>33.979999999999997</c:v>
                </c:pt>
                <c:pt idx="186">
                  <c:v>22.931000000000001</c:v>
                </c:pt>
                <c:pt idx="187">
                  <c:v>27.981000000000002</c:v>
                </c:pt>
                <c:pt idx="188">
                  <c:v>58.311</c:v>
                </c:pt>
                <c:pt idx="189">
                  <c:v>23.431999999999999</c:v>
                </c:pt>
                <c:pt idx="190">
                  <c:v>34.604999999999997</c:v>
                </c:pt>
                <c:pt idx="191">
                  <c:v>40.741</c:v>
                </c:pt>
                <c:pt idx="192">
                  <c:v>34.792000000000002</c:v>
                </c:pt>
                <c:pt idx="193">
                  <c:v>59.981999999999999</c:v>
                </c:pt>
                <c:pt idx="194">
                  <c:v>141</c:v>
                </c:pt>
                <c:pt idx="195">
                  <c:v>86.838999999999999</c:v>
                </c:pt>
                <c:pt idx="196">
                  <c:v>70.39</c:v>
                </c:pt>
                <c:pt idx="197">
                  <c:v>31.824999999999999</c:v>
                </c:pt>
                <c:pt idx="198">
                  <c:v>33.082000000000001</c:v>
                </c:pt>
                <c:pt idx="199">
                  <c:v>24.54</c:v>
                </c:pt>
                <c:pt idx="200">
                  <c:v>37.289000000000001</c:v>
                </c:pt>
                <c:pt idx="201">
                  <c:v>36.466000000000001</c:v>
                </c:pt>
                <c:pt idx="202">
                  <c:v>55.69</c:v>
                </c:pt>
                <c:pt idx="203">
                  <c:v>65.927999999999997</c:v>
                </c:pt>
                <c:pt idx="204">
                  <c:v>46.966000000000001</c:v>
                </c:pt>
                <c:pt idx="205">
                  <c:v>17.765999999999998</c:v>
                </c:pt>
                <c:pt idx="206">
                  <c:v>38.845999999999997</c:v>
                </c:pt>
                <c:pt idx="207">
                  <c:v>3.2610000000000001</c:v>
                </c:pt>
                <c:pt idx="208">
                  <c:v>82.52</c:v>
                </c:pt>
                <c:pt idx="209">
                  <c:v>25.306000000000001</c:v>
                </c:pt>
                <c:pt idx="210">
                  <c:v>20.914999999999999</c:v>
                </c:pt>
                <c:pt idx="211">
                  <c:v>12.581</c:v>
                </c:pt>
                <c:pt idx="212">
                  <c:v>18.050999999999998</c:v>
                </c:pt>
                <c:pt idx="213">
                  <c:v>11.907</c:v>
                </c:pt>
                <c:pt idx="214">
                  <c:v>27.797999999999998</c:v>
                </c:pt>
                <c:pt idx="215">
                  <c:v>18.361999999999998</c:v>
                </c:pt>
                <c:pt idx="216">
                  <c:v>19.681000000000001</c:v>
                </c:pt>
                <c:pt idx="217">
                  <c:v>38.363</c:v>
                </c:pt>
                <c:pt idx="218">
                  <c:v>47.537999999999997</c:v>
                </c:pt>
                <c:pt idx="219">
                  <c:v>29.277000000000001</c:v>
                </c:pt>
                <c:pt idx="220">
                  <c:v>17.399000000000001</c:v>
                </c:pt>
                <c:pt idx="221">
                  <c:v>26.581</c:v>
                </c:pt>
                <c:pt idx="222">
                  <c:v>38.241</c:v>
                </c:pt>
                <c:pt idx="223">
                  <c:v>54.765999999999998</c:v>
                </c:pt>
                <c:pt idx="224">
                  <c:v>50.975000000000001</c:v>
                </c:pt>
                <c:pt idx="225">
                  <c:v>23.969000000000001</c:v>
                </c:pt>
                <c:pt idx="226">
                  <c:v>40.143000000000001</c:v>
                </c:pt>
                <c:pt idx="227">
                  <c:v>17.385000000000002</c:v>
                </c:pt>
                <c:pt idx="228">
                  <c:v>16.265000000000001</c:v>
                </c:pt>
                <c:pt idx="229">
                  <c:v>20.959</c:v>
                </c:pt>
                <c:pt idx="230">
                  <c:v>19.858000000000001</c:v>
                </c:pt>
                <c:pt idx="231">
                  <c:v>14.473000000000001</c:v>
                </c:pt>
                <c:pt idx="232">
                  <c:v>22.007999999999999</c:v>
                </c:pt>
                <c:pt idx="233">
                  <c:v>21.052</c:v>
                </c:pt>
                <c:pt idx="234">
                  <c:v>11.305</c:v>
                </c:pt>
                <c:pt idx="235">
                  <c:v>14.058999999999999</c:v>
                </c:pt>
                <c:pt idx="236">
                  <c:v>27.960999999999999</c:v>
                </c:pt>
                <c:pt idx="237">
                  <c:v>28.581</c:v>
                </c:pt>
                <c:pt idx="238">
                  <c:v>24.11</c:v>
                </c:pt>
                <c:pt idx="239">
                  <c:v>15.897</c:v>
                </c:pt>
                <c:pt idx="240">
                  <c:v>21.015000000000001</c:v>
                </c:pt>
                <c:pt idx="241">
                  <c:v>27.033999999999999</c:v>
                </c:pt>
                <c:pt idx="242">
                  <c:v>14.292999999999999</c:v>
                </c:pt>
                <c:pt idx="243">
                  <c:v>18.59</c:v>
                </c:pt>
                <c:pt idx="244">
                  <c:v>21.99</c:v>
                </c:pt>
                <c:pt idx="245">
                  <c:v>24.370999999999999</c:v>
                </c:pt>
                <c:pt idx="246">
                  <c:v>25.837</c:v>
                </c:pt>
                <c:pt idx="247">
                  <c:v>25.053000000000001</c:v>
                </c:pt>
                <c:pt idx="248">
                  <c:v>31.518999999999998</c:v>
                </c:pt>
                <c:pt idx="249">
                  <c:v>40.087000000000003</c:v>
                </c:pt>
                <c:pt idx="250">
                  <c:v>40.344999999999999</c:v>
                </c:pt>
                <c:pt idx="251">
                  <c:v>54.350999999999999</c:v>
                </c:pt>
                <c:pt idx="252">
                  <c:v>21.312999999999999</c:v>
                </c:pt>
                <c:pt idx="253">
                  <c:v>23.43</c:v>
                </c:pt>
                <c:pt idx="254">
                  <c:v>29.738</c:v>
                </c:pt>
                <c:pt idx="255">
                  <c:v>27.489000000000001</c:v>
                </c:pt>
                <c:pt idx="256">
                  <c:v>25.024999999999999</c:v>
                </c:pt>
                <c:pt idx="257">
                  <c:v>122</c:v>
                </c:pt>
                <c:pt idx="258">
                  <c:v>56.518000000000001</c:v>
                </c:pt>
                <c:pt idx="259">
                  <c:v>43.930999999999997</c:v>
                </c:pt>
                <c:pt idx="260">
                  <c:v>24.948</c:v>
                </c:pt>
                <c:pt idx="261">
                  <c:v>20.785</c:v>
                </c:pt>
                <c:pt idx="262">
                  <c:v>31.93</c:v>
                </c:pt>
                <c:pt idx="263">
                  <c:v>46.707999999999998</c:v>
                </c:pt>
                <c:pt idx="264">
                  <c:v>41.802999999999997</c:v>
                </c:pt>
                <c:pt idx="265">
                  <c:v>51.161000000000001</c:v>
                </c:pt>
                <c:pt idx="266">
                  <c:v>25.041</c:v>
                </c:pt>
                <c:pt idx="267">
                  <c:v>73.135000000000005</c:v>
                </c:pt>
                <c:pt idx="268">
                  <c:v>32.463000000000001</c:v>
                </c:pt>
                <c:pt idx="269">
                  <c:v>16.716000000000001</c:v>
                </c:pt>
                <c:pt idx="270">
                  <c:v>46.249000000000002</c:v>
                </c:pt>
                <c:pt idx="271">
                  <c:v>39.148000000000003</c:v>
                </c:pt>
                <c:pt idx="272">
                  <c:v>27.06</c:v>
                </c:pt>
                <c:pt idx="273">
                  <c:v>25.364000000000001</c:v>
                </c:pt>
                <c:pt idx="274">
                  <c:v>28.422000000000001</c:v>
                </c:pt>
                <c:pt idx="275">
                  <c:v>26.518000000000001</c:v>
                </c:pt>
                <c:pt idx="276">
                  <c:v>26.666</c:v>
                </c:pt>
                <c:pt idx="277">
                  <c:v>25.577999999999999</c:v>
                </c:pt>
                <c:pt idx="278">
                  <c:v>32.283999999999999</c:v>
                </c:pt>
                <c:pt idx="279">
                  <c:v>49.996000000000002</c:v>
                </c:pt>
                <c:pt idx="280">
                  <c:v>51.06</c:v>
                </c:pt>
                <c:pt idx="281">
                  <c:v>42.435000000000002</c:v>
                </c:pt>
                <c:pt idx="282">
                  <c:v>35.923999999999999</c:v>
                </c:pt>
                <c:pt idx="283">
                  <c:v>50.654000000000003</c:v>
                </c:pt>
                <c:pt idx="284">
                  <c:v>61.039000000000001</c:v>
                </c:pt>
                <c:pt idx="285">
                  <c:v>37.646000000000001</c:v>
                </c:pt>
                <c:pt idx="286">
                  <c:v>55.728999999999999</c:v>
                </c:pt>
                <c:pt idx="287">
                  <c:v>68.692999999999998</c:v>
                </c:pt>
                <c:pt idx="288">
                  <c:v>241</c:v>
                </c:pt>
                <c:pt idx="289">
                  <c:v>134</c:v>
                </c:pt>
                <c:pt idx="290">
                  <c:v>128</c:v>
                </c:pt>
                <c:pt idx="291">
                  <c:v>95.584999999999994</c:v>
                </c:pt>
                <c:pt idx="292">
                  <c:v>81.379000000000005</c:v>
                </c:pt>
                <c:pt idx="293">
                  <c:v>96.748000000000005</c:v>
                </c:pt>
                <c:pt idx="294">
                  <c:v>53.302</c:v>
                </c:pt>
                <c:pt idx="295">
                  <c:v>46.694000000000003</c:v>
                </c:pt>
                <c:pt idx="296">
                  <c:v>81.926000000000002</c:v>
                </c:pt>
                <c:pt idx="297">
                  <c:v>88.893000000000001</c:v>
                </c:pt>
                <c:pt idx="298">
                  <c:v>97.998999999999995</c:v>
                </c:pt>
                <c:pt idx="299">
                  <c:v>53.142000000000003</c:v>
                </c:pt>
                <c:pt idx="300">
                  <c:v>107</c:v>
                </c:pt>
                <c:pt idx="301">
                  <c:v>66.424000000000007</c:v>
                </c:pt>
                <c:pt idx="302">
                  <c:v>64.222999999999999</c:v>
                </c:pt>
                <c:pt idx="303">
                  <c:v>32.101999999999997</c:v>
                </c:pt>
                <c:pt idx="304">
                  <c:v>32.567</c:v>
                </c:pt>
                <c:pt idx="305">
                  <c:v>67.188000000000002</c:v>
                </c:pt>
                <c:pt idx="306">
                  <c:v>70.539000000000001</c:v>
                </c:pt>
                <c:pt idx="307">
                  <c:v>39.927</c:v>
                </c:pt>
                <c:pt idx="308">
                  <c:v>21.684000000000001</c:v>
                </c:pt>
                <c:pt idx="309">
                  <c:v>26.831</c:v>
                </c:pt>
                <c:pt idx="310">
                  <c:v>41.204999999999998</c:v>
                </c:pt>
                <c:pt idx="311">
                  <c:v>29.745000000000001</c:v>
                </c:pt>
                <c:pt idx="312">
                  <c:v>23.4</c:v>
                </c:pt>
                <c:pt idx="313">
                  <c:v>30.969000000000001</c:v>
                </c:pt>
                <c:pt idx="314">
                  <c:v>35.904000000000003</c:v>
                </c:pt>
                <c:pt idx="315">
                  <c:v>38.582999999999998</c:v>
                </c:pt>
                <c:pt idx="316">
                  <c:v>38.654000000000003</c:v>
                </c:pt>
                <c:pt idx="317">
                  <c:v>24.039000000000001</c:v>
                </c:pt>
                <c:pt idx="318">
                  <c:v>35.343000000000004</c:v>
                </c:pt>
                <c:pt idx="319">
                  <c:v>32.805</c:v>
                </c:pt>
                <c:pt idx="320">
                  <c:v>18.146000000000001</c:v>
                </c:pt>
                <c:pt idx="321">
                  <c:v>23.739000000000001</c:v>
                </c:pt>
                <c:pt idx="322">
                  <c:v>22.75</c:v>
                </c:pt>
                <c:pt idx="323">
                  <c:v>27.956</c:v>
                </c:pt>
                <c:pt idx="324">
                  <c:v>32.76</c:v>
                </c:pt>
                <c:pt idx="325">
                  <c:v>24.331</c:v>
                </c:pt>
                <c:pt idx="326">
                  <c:v>114</c:v>
                </c:pt>
                <c:pt idx="327">
                  <c:v>32.954999999999998</c:v>
                </c:pt>
                <c:pt idx="328">
                  <c:v>22.846</c:v>
                </c:pt>
                <c:pt idx="329">
                  <c:v>34.436999999999998</c:v>
                </c:pt>
                <c:pt idx="330">
                  <c:v>49.991</c:v>
                </c:pt>
                <c:pt idx="331">
                  <c:v>35.529000000000003</c:v>
                </c:pt>
                <c:pt idx="332">
                  <c:v>35.945999999999998</c:v>
                </c:pt>
                <c:pt idx="333">
                  <c:v>21.745000000000001</c:v>
                </c:pt>
                <c:pt idx="334">
                  <c:v>32.372999999999998</c:v>
                </c:pt>
                <c:pt idx="335">
                  <c:v>31.922000000000001</c:v>
                </c:pt>
                <c:pt idx="336">
                  <c:v>68.566000000000003</c:v>
                </c:pt>
                <c:pt idx="337">
                  <c:v>63.718000000000004</c:v>
                </c:pt>
                <c:pt idx="338">
                  <c:v>37.195</c:v>
                </c:pt>
                <c:pt idx="339">
                  <c:v>25.911000000000001</c:v>
                </c:pt>
                <c:pt idx="340">
                  <c:v>37.454000000000001</c:v>
                </c:pt>
                <c:pt idx="341">
                  <c:v>52.856999999999999</c:v>
                </c:pt>
                <c:pt idx="342">
                  <c:v>45.896000000000001</c:v>
                </c:pt>
                <c:pt idx="343">
                  <c:v>57.156999999999996</c:v>
                </c:pt>
                <c:pt idx="344">
                  <c:v>51.295000000000009</c:v>
                </c:pt>
                <c:pt idx="345">
                  <c:v>29.062999999999999</c:v>
                </c:pt>
                <c:pt idx="346">
                  <c:v>33.055999999999997</c:v>
                </c:pt>
                <c:pt idx="347">
                  <c:v>43.146999999999998</c:v>
                </c:pt>
                <c:pt idx="348">
                  <c:v>26.863</c:v>
                </c:pt>
                <c:pt idx="349">
                  <c:v>32.009</c:v>
                </c:pt>
                <c:pt idx="350">
                  <c:v>222</c:v>
                </c:pt>
                <c:pt idx="351">
                  <c:v>99.971999999999994</c:v>
                </c:pt>
                <c:pt idx="352">
                  <c:v>120</c:v>
                </c:pt>
                <c:pt idx="353">
                  <c:v>60.518000000000001</c:v>
                </c:pt>
                <c:pt idx="354">
                  <c:v>37.530999999999999</c:v>
                </c:pt>
                <c:pt idx="355">
                  <c:v>49.348999999999997</c:v>
                </c:pt>
                <c:pt idx="356">
                  <c:v>44.134999999999998</c:v>
                </c:pt>
                <c:pt idx="357">
                  <c:v>61.091000000000001</c:v>
                </c:pt>
                <c:pt idx="358">
                  <c:v>28.675999999999998</c:v>
                </c:pt>
                <c:pt idx="359">
                  <c:v>73.222999999999999</c:v>
                </c:pt>
                <c:pt idx="360">
                  <c:v>81.935000000000002</c:v>
                </c:pt>
                <c:pt idx="361">
                  <c:v>50.613999999999997</c:v>
                </c:pt>
                <c:pt idx="362">
                  <c:v>29.241</c:v>
                </c:pt>
                <c:pt idx="363">
                  <c:v>21.481999999999999</c:v>
                </c:pt>
                <c:pt idx="364">
                  <c:v>29.670999999999999</c:v>
                </c:pt>
                <c:pt idx="365">
                  <c:v>26.585999999999999</c:v>
                </c:pt>
                <c:pt idx="366">
                  <c:v>22.661000000000001</c:v>
                </c:pt>
                <c:pt idx="367">
                  <c:v>27.811</c:v>
                </c:pt>
                <c:pt idx="368">
                  <c:v>49.061999999999998</c:v>
                </c:pt>
                <c:pt idx="369">
                  <c:v>57.281999999999996</c:v>
                </c:pt>
                <c:pt idx="370">
                  <c:v>32.960999999999999</c:v>
                </c:pt>
                <c:pt idx="371">
                  <c:v>16.596</c:v>
                </c:pt>
                <c:pt idx="372">
                  <c:v>30.797000000000001</c:v>
                </c:pt>
                <c:pt idx="373">
                  <c:v>37.195</c:v>
                </c:pt>
                <c:pt idx="374">
                  <c:v>26.158999999999995</c:v>
                </c:pt>
                <c:pt idx="375">
                  <c:v>41.097999999999999</c:v>
                </c:pt>
                <c:pt idx="376">
                  <c:v>18.966999999999999</c:v>
                </c:pt>
                <c:pt idx="377">
                  <c:v>17.192</c:v>
                </c:pt>
                <c:pt idx="378">
                  <c:v>26.369</c:v>
                </c:pt>
                <c:pt idx="379">
                  <c:v>28.568999999999999</c:v>
                </c:pt>
                <c:pt idx="380">
                  <c:v>25.574999999999999</c:v>
                </c:pt>
                <c:pt idx="381">
                  <c:v>51.292999999999992</c:v>
                </c:pt>
                <c:pt idx="382">
                  <c:v>55.557000000000002</c:v>
                </c:pt>
                <c:pt idx="383">
                  <c:v>37.119</c:v>
                </c:pt>
                <c:pt idx="384">
                  <c:v>32.860999999999997</c:v>
                </c:pt>
                <c:pt idx="385">
                  <c:v>144</c:v>
                </c:pt>
                <c:pt idx="386">
                  <c:v>91.905000000000001</c:v>
                </c:pt>
                <c:pt idx="387">
                  <c:v>54.944000000000003</c:v>
                </c:pt>
                <c:pt idx="388">
                  <c:v>42.406999999999996</c:v>
                </c:pt>
                <c:pt idx="389">
                  <c:v>46.246000000000002</c:v>
                </c:pt>
                <c:pt idx="390">
                  <c:v>36.085000000000001</c:v>
                </c:pt>
                <c:pt idx="391">
                  <c:v>41.433999999999997</c:v>
                </c:pt>
                <c:pt idx="392">
                  <c:v>27.466000000000001</c:v>
                </c:pt>
                <c:pt idx="393">
                  <c:v>26.635999999999999</c:v>
                </c:pt>
                <c:pt idx="394">
                  <c:v>27.582000000000001</c:v>
                </c:pt>
                <c:pt idx="395">
                  <c:v>74.125</c:v>
                </c:pt>
                <c:pt idx="396">
                  <c:v>31.390999999999998</c:v>
                </c:pt>
                <c:pt idx="397">
                  <c:v>27.129000000000001</c:v>
                </c:pt>
                <c:pt idx="398">
                  <c:v>30.338999999999999</c:v>
                </c:pt>
                <c:pt idx="399">
                  <c:v>26.992999999999999</c:v>
                </c:pt>
                <c:pt idx="400">
                  <c:v>27.03</c:v>
                </c:pt>
                <c:pt idx="401">
                  <c:v>34.106000000000002</c:v>
                </c:pt>
                <c:pt idx="402">
                  <c:v>30.099</c:v>
                </c:pt>
                <c:pt idx="403">
                  <c:v>64.129000000000005</c:v>
                </c:pt>
                <c:pt idx="404">
                  <c:v>34.595999999999997</c:v>
                </c:pt>
                <c:pt idx="405">
                  <c:v>37.930999999999997</c:v>
                </c:pt>
                <c:pt idx="406">
                  <c:v>22.31</c:v>
                </c:pt>
                <c:pt idx="407">
                  <c:v>47.069000000000003</c:v>
                </c:pt>
                <c:pt idx="408">
                  <c:v>41.57</c:v>
                </c:pt>
                <c:pt idx="409">
                  <c:v>36.646000000000001</c:v>
                </c:pt>
                <c:pt idx="410">
                  <c:v>46.715000000000003</c:v>
                </c:pt>
                <c:pt idx="411">
                  <c:v>38.622</c:v>
                </c:pt>
                <c:pt idx="412">
                  <c:v>26.850999999999999</c:v>
                </c:pt>
                <c:pt idx="413">
                  <c:v>38.530999999999999</c:v>
                </c:pt>
                <c:pt idx="414">
                  <c:v>34.122</c:v>
                </c:pt>
                <c:pt idx="415">
                  <c:v>91.86</c:v>
                </c:pt>
                <c:pt idx="416">
                  <c:v>87.968999999999994</c:v>
                </c:pt>
                <c:pt idx="417">
                  <c:v>56.706000000000003</c:v>
                </c:pt>
                <c:pt idx="418">
                  <c:v>48.804000000000002</c:v>
                </c:pt>
                <c:pt idx="419">
                  <c:v>41.23</c:v>
                </c:pt>
                <c:pt idx="420">
                  <c:v>54.395000000000003</c:v>
                </c:pt>
                <c:pt idx="421">
                  <c:v>43.758000000000003</c:v>
                </c:pt>
                <c:pt idx="422">
                  <c:v>83.164000000000001</c:v>
                </c:pt>
                <c:pt idx="423">
                  <c:v>80.881</c:v>
                </c:pt>
                <c:pt idx="424">
                  <c:v>37.383000000000003</c:v>
                </c:pt>
                <c:pt idx="425">
                  <c:v>61.616999999999997</c:v>
                </c:pt>
                <c:pt idx="426">
                  <c:v>49.21</c:v>
                </c:pt>
                <c:pt idx="427">
                  <c:v>57.052999999999997</c:v>
                </c:pt>
                <c:pt idx="428">
                  <c:v>49.746000000000002</c:v>
                </c:pt>
                <c:pt idx="429">
                  <c:v>46.795999999999999</c:v>
                </c:pt>
                <c:pt idx="430">
                  <c:v>37.89</c:v>
                </c:pt>
                <c:pt idx="431">
                  <c:v>40.756999999999998</c:v>
                </c:pt>
                <c:pt idx="432">
                  <c:v>44.289000000000001</c:v>
                </c:pt>
                <c:pt idx="433">
                  <c:v>33.792999999999999</c:v>
                </c:pt>
                <c:pt idx="434">
                  <c:v>30.727</c:v>
                </c:pt>
                <c:pt idx="435">
                  <c:v>49.561999999999998</c:v>
                </c:pt>
                <c:pt idx="436">
                  <c:v>45.488</c:v>
                </c:pt>
                <c:pt idx="437">
                  <c:v>28.263999999999999</c:v>
                </c:pt>
                <c:pt idx="438">
                  <c:v>27.652999999999999</c:v>
                </c:pt>
                <c:pt idx="439">
                  <c:v>22.335000000000001</c:v>
                </c:pt>
                <c:pt idx="440">
                  <c:v>31.436</c:v>
                </c:pt>
                <c:pt idx="441">
                  <c:v>24.928999999999998</c:v>
                </c:pt>
                <c:pt idx="442">
                  <c:v>45.390999999999998</c:v>
                </c:pt>
                <c:pt idx="443">
                  <c:v>55.828000000000003</c:v>
                </c:pt>
                <c:pt idx="444">
                  <c:v>91.915000000000006</c:v>
                </c:pt>
                <c:pt idx="445">
                  <c:v>47.695999999999998</c:v>
                </c:pt>
                <c:pt idx="446">
                  <c:v>30.79</c:v>
                </c:pt>
                <c:pt idx="447">
                  <c:v>5.6529999999999996</c:v>
                </c:pt>
                <c:pt idx="448">
                  <c:v>31.35</c:v>
                </c:pt>
                <c:pt idx="449">
                  <c:v>24.856000000000002</c:v>
                </c:pt>
                <c:pt idx="450">
                  <c:v>15.183</c:v>
                </c:pt>
                <c:pt idx="451">
                  <c:v>53.811</c:v>
                </c:pt>
                <c:pt idx="452">
                  <c:v>42.985999999999997</c:v>
                </c:pt>
                <c:pt idx="453">
                  <c:v>25.562999999999999</c:v>
                </c:pt>
                <c:pt idx="454">
                  <c:v>21.77</c:v>
                </c:pt>
                <c:pt idx="455">
                  <c:v>64.641000000000005</c:v>
                </c:pt>
                <c:pt idx="456">
                  <c:v>35.334000000000003</c:v>
                </c:pt>
                <c:pt idx="457">
                  <c:v>31.274999999999999</c:v>
                </c:pt>
                <c:pt idx="458">
                  <c:v>33.04</c:v>
                </c:pt>
                <c:pt idx="459">
                  <c:v>29.32</c:v>
                </c:pt>
                <c:pt idx="460">
                  <c:v>48.448</c:v>
                </c:pt>
                <c:pt idx="461">
                  <c:v>62.527000000000001</c:v>
                </c:pt>
                <c:pt idx="462">
                  <c:v>30.734999999999999</c:v>
                </c:pt>
                <c:pt idx="463">
                  <c:v>19.68</c:v>
                </c:pt>
                <c:pt idx="464">
                  <c:v>29.7</c:v>
                </c:pt>
                <c:pt idx="465">
                  <c:v>24.95</c:v>
                </c:pt>
                <c:pt idx="466">
                  <c:v>39.350999999999999</c:v>
                </c:pt>
                <c:pt idx="467">
                  <c:v>25.895</c:v>
                </c:pt>
                <c:pt idx="468">
                  <c:v>29.722999999999999</c:v>
                </c:pt>
                <c:pt idx="469">
                  <c:v>37.789000000000001</c:v>
                </c:pt>
                <c:pt idx="470">
                  <c:v>23.943999999999999</c:v>
                </c:pt>
                <c:pt idx="471">
                  <c:v>33.627000000000002</c:v>
                </c:pt>
                <c:pt idx="472">
                  <c:v>48.996000000000002</c:v>
                </c:pt>
                <c:pt idx="473">
                  <c:v>109</c:v>
                </c:pt>
                <c:pt idx="474">
                  <c:v>44.274000000000001</c:v>
                </c:pt>
                <c:pt idx="475">
                  <c:v>23.588999999999999</c:v>
                </c:pt>
                <c:pt idx="476">
                  <c:v>31.283999999999999</c:v>
                </c:pt>
                <c:pt idx="477">
                  <c:v>32.494</c:v>
                </c:pt>
                <c:pt idx="478">
                  <c:v>26.283000000000001</c:v>
                </c:pt>
                <c:pt idx="479">
                  <c:v>21.158000000000001</c:v>
                </c:pt>
                <c:pt idx="480">
                  <c:v>26.057999999999996</c:v>
                </c:pt>
                <c:pt idx="481">
                  <c:v>28.571000000000002</c:v>
                </c:pt>
                <c:pt idx="482">
                  <c:v>22.617999999999999</c:v>
                </c:pt>
                <c:pt idx="483">
                  <c:v>24.161000000000001</c:v>
                </c:pt>
                <c:pt idx="484">
                  <c:v>28.518000000000001</c:v>
                </c:pt>
                <c:pt idx="485">
                  <c:v>25.122</c:v>
                </c:pt>
                <c:pt idx="486">
                  <c:v>48.811999999999998</c:v>
                </c:pt>
                <c:pt idx="487">
                  <c:v>38.817</c:v>
                </c:pt>
                <c:pt idx="488">
                  <c:v>33.871000000000002</c:v>
                </c:pt>
                <c:pt idx="489">
                  <c:v>28.966000000000001</c:v>
                </c:pt>
                <c:pt idx="490">
                  <c:v>32.841000000000001</c:v>
                </c:pt>
                <c:pt idx="491">
                  <c:v>29.513999999999999</c:v>
                </c:pt>
                <c:pt idx="492">
                  <c:v>26.001999999999995</c:v>
                </c:pt>
                <c:pt idx="493">
                  <c:v>44.911999999999999</c:v>
                </c:pt>
                <c:pt idx="494">
                  <c:v>23.231999999999999</c:v>
                </c:pt>
                <c:pt idx="495">
                  <c:v>21.257999999999999</c:v>
                </c:pt>
                <c:pt idx="496">
                  <c:v>18.832000000000001</c:v>
                </c:pt>
                <c:pt idx="497">
                  <c:v>31.922000000000001</c:v>
                </c:pt>
                <c:pt idx="498">
                  <c:v>23.657</c:v>
                </c:pt>
                <c:pt idx="499">
                  <c:v>16.018000000000001</c:v>
                </c:pt>
                <c:pt idx="500">
                  <c:v>29.847000000000001</c:v>
                </c:pt>
                <c:pt idx="501">
                  <c:v>26.388999999999999</c:v>
                </c:pt>
                <c:pt idx="502">
                  <c:v>29.541</c:v>
                </c:pt>
                <c:pt idx="503">
                  <c:v>56.649000000000001</c:v>
                </c:pt>
                <c:pt idx="504">
                  <c:v>46.213000000000001</c:v>
                </c:pt>
                <c:pt idx="505">
                  <c:v>44.05</c:v>
                </c:pt>
                <c:pt idx="506">
                  <c:v>38.573</c:v>
                </c:pt>
                <c:pt idx="507">
                  <c:v>44.774000000000001</c:v>
                </c:pt>
                <c:pt idx="508">
                  <c:v>41.2</c:v>
                </c:pt>
                <c:pt idx="509">
                  <c:v>35.329000000000001</c:v>
                </c:pt>
                <c:pt idx="510">
                  <c:v>99.81</c:v>
                </c:pt>
                <c:pt idx="511">
                  <c:v>44.418999999999997</c:v>
                </c:pt>
                <c:pt idx="512">
                  <c:v>50.93</c:v>
                </c:pt>
                <c:pt idx="513">
                  <c:v>63.558</c:v>
                </c:pt>
                <c:pt idx="514">
                  <c:v>69.927000000000007</c:v>
                </c:pt>
                <c:pt idx="515">
                  <c:v>59.322000000000003</c:v>
                </c:pt>
                <c:pt idx="516">
                  <c:v>64.802000000000007</c:v>
                </c:pt>
                <c:pt idx="517">
                  <c:v>64.718999999999994</c:v>
                </c:pt>
                <c:pt idx="518">
                  <c:v>36.42</c:v>
                </c:pt>
                <c:pt idx="519">
                  <c:v>31.445</c:v>
                </c:pt>
                <c:pt idx="520">
                  <c:v>29.507000000000001</c:v>
                </c:pt>
                <c:pt idx="521">
                  <c:v>55.97</c:v>
                </c:pt>
                <c:pt idx="522">
                  <c:v>33.453000000000003</c:v>
                </c:pt>
                <c:pt idx="523">
                  <c:v>40.781999999999996</c:v>
                </c:pt>
                <c:pt idx="524">
                  <c:v>32.323999999999998</c:v>
                </c:pt>
                <c:pt idx="525">
                  <c:v>32.841999999999999</c:v>
                </c:pt>
                <c:pt idx="526">
                  <c:v>40.497</c:v>
                </c:pt>
                <c:pt idx="527">
                  <c:v>26.407</c:v>
                </c:pt>
                <c:pt idx="528">
                  <c:v>106</c:v>
                </c:pt>
                <c:pt idx="529">
                  <c:v>71.349999999999994</c:v>
                </c:pt>
                <c:pt idx="530">
                  <c:v>39.948999999999998</c:v>
                </c:pt>
                <c:pt idx="531">
                  <c:v>40.255000000000003</c:v>
                </c:pt>
                <c:pt idx="532">
                  <c:v>28.675000000000001</c:v>
                </c:pt>
                <c:pt idx="533">
                  <c:v>20.66</c:v>
                </c:pt>
                <c:pt idx="534">
                  <c:v>29.509</c:v>
                </c:pt>
                <c:pt idx="535">
                  <c:v>42.926000000000002</c:v>
                </c:pt>
                <c:pt idx="536">
                  <c:v>31.722000000000001</c:v>
                </c:pt>
                <c:pt idx="537">
                  <c:v>18.018000000000001</c:v>
                </c:pt>
                <c:pt idx="538">
                  <c:v>40.875</c:v>
                </c:pt>
                <c:pt idx="539">
                  <c:v>15.481999999999999</c:v>
                </c:pt>
                <c:pt idx="540">
                  <c:v>23.779</c:v>
                </c:pt>
                <c:pt idx="541">
                  <c:v>15.881</c:v>
                </c:pt>
                <c:pt idx="542">
                  <c:v>15.432</c:v>
                </c:pt>
                <c:pt idx="543">
                  <c:v>17.658000000000001</c:v>
                </c:pt>
                <c:pt idx="544">
                  <c:v>21.097999999999999</c:v>
                </c:pt>
                <c:pt idx="545">
                  <c:v>26.553999999999998</c:v>
                </c:pt>
                <c:pt idx="546">
                  <c:v>45.981000000000002</c:v>
                </c:pt>
                <c:pt idx="547">
                  <c:v>38.350999999999999</c:v>
                </c:pt>
                <c:pt idx="548">
                  <c:v>52.003999999999991</c:v>
                </c:pt>
                <c:pt idx="549">
                  <c:v>35.052</c:v>
                </c:pt>
                <c:pt idx="550">
                  <c:v>38.159999999999997</c:v>
                </c:pt>
                <c:pt idx="551">
                  <c:v>23.291</c:v>
                </c:pt>
                <c:pt idx="552">
                  <c:v>22.899000000000001</c:v>
                </c:pt>
                <c:pt idx="553">
                  <c:v>25.163</c:v>
                </c:pt>
                <c:pt idx="554">
                  <c:v>24.978000000000002</c:v>
                </c:pt>
                <c:pt idx="555">
                  <c:v>44.534999999999997</c:v>
                </c:pt>
                <c:pt idx="556">
                  <c:v>37.845999999999997</c:v>
                </c:pt>
                <c:pt idx="557">
                  <c:v>36.058</c:v>
                </c:pt>
                <c:pt idx="558">
                  <c:v>23.349</c:v>
                </c:pt>
                <c:pt idx="559">
                  <c:v>22.768000000000001</c:v>
                </c:pt>
                <c:pt idx="560">
                  <c:v>22.698</c:v>
                </c:pt>
                <c:pt idx="561">
                  <c:v>35.479999999999997</c:v>
                </c:pt>
                <c:pt idx="562">
                  <c:v>26.442</c:v>
                </c:pt>
                <c:pt idx="563">
                  <c:v>29.257000000000001</c:v>
                </c:pt>
                <c:pt idx="564">
                  <c:v>48.829000000000001</c:v>
                </c:pt>
                <c:pt idx="565">
                  <c:v>43.722999999999999</c:v>
                </c:pt>
                <c:pt idx="566">
                  <c:v>34.130000000000003</c:v>
                </c:pt>
                <c:pt idx="567">
                  <c:v>26.343</c:v>
                </c:pt>
                <c:pt idx="568">
                  <c:v>38.841000000000001</c:v>
                </c:pt>
                <c:pt idx="569">
                  <c:v>51.377000000000002</c:v>
                </c:pt>
                <c:pt idx="570">
                  <c:v>28.545000000000002</c:v>
                </c:pt>
                <c:pt idx="571">
                  <c:v>23.024999999999999</c:v>
                </c:pt>
                <c:pt idx="572">
                  <c:v>20.518000000000001</c:v>
                </c:pt>
                <c:pt idx="573">
                  <c:v>45.749000000000002</c:v>
                </c:pt>
                <c:pt idx="574">
                  <c:v>54.472999999999999</c:v>
                </c:pt>
                <c:pt idx="575">
                  <c:v>38.442999999999998</c:v>
                </c:pt>
                <c:pt idx="576">
                  <c:v>23.22</c:v>
                </c:pt>
                <c:pt idx="577">
                  <c:v>31.965</c:v>
                </c:pt>
                <c:pt idx="578">
                  <c:v>29.515999999999998</c:v>
                </c:pt>
                <c:pt idx="579">
                  <c:v>28.98</c:v>
                </c:pt>
                <c:pt idx="580">
                  <c:v>23.488</c:v>
                </c:pt>
                <c:pt idx="581">
                  <c:v>32.021999999999998</c:v>
                </c:pt>
                <c:pt idx="582">
                  <c:v>24.68</c:v>
                </c:pt>
                <c:pt idx="583">
                  <c:v>18.359000000000002</c:v>
                </c:pt>
                <c:pt idx="584">
                  <c:v>25.048999999999999</c:v>
                </c:pt>
                <c:pt idx="585">
                  <c:v>20.562999999999999</c:v>
                </c:pt>
                <c:pt idx="586">
                  <c:v>15.771000000000001</c:v>
                </c:pt>
                <c:pt idx="587">
                  <c:v>13.871</c:v>
                </c:pt>
                <c:pt idx="588">
                  <c:v>13.96</c:v>
                </c:pt>
                <c:pt idx="589">
                  <c:v>14.929</c:v>
                </c:pt>
                <c:pt idx="590">
                  <c:v>16.056999999999999</c:v>
                </c:pt>
                <c:pt idx="591">
                  <c:v>25.736000000000001</c:v>
                </c:pt>
                <c:pt idx="592">
                  <c:v>25.207999999999998</c:v>
                </c:pt>
                <c:pt idx="593">
                  <c:v>21.077000000000002</c:v>
                </c:pt>
                <c:pt idx="594">
                  <c:v>41.478999999999999</c:v>
                </c:pt>
                <c:pt idx="595">
                  <c:v>114</c:v>
                </c:pt>
                <c:pt idx="596">
                  <c:v>18.463999999999999</c:v>
                </c:pt>
                <c:pt idx="597">
                  <c:v>24.832999999999998</c:v>
                </c:pt>
                <c:pt idx="598">
                  <c:v>18.602</c:v>
                </c:pt>
                <c:pt idx="599">
                  <c:v>63.524000000000001</c:v>
                </c:pt>
                <c:pt idx="600">
                  <c:v>29.864999999999998</c:v>
                </c:pt>
                <c:pt idx="601">
                  <c:v>34.908999999999999</c:v>
                </c:pt>
                <c:pt idx="602">
                  <c:v>32.581000000000003</c:v>
                </c:pt>
                <c:pt idx="603">
                  <c:v>19.513000000000002</c:v>
                </c:pt>
                <c:pt idx="604">
                  <c:v>24.92</c:v>
                </c:pt>
                <c:pt idx="605">
                  <c:v>28.963999999999999</c:v>
                </c:pt>
                <c:pt idx="606">
                  <c:v>40.619999999999997</c:v>
                </c:pt>
                <c:pt idx="607">
                  <c:v>35.698</c:v>
                </c:pt>
                <c:pt idx="608">
                  <c:v>18.748999999999999</c:v>
                </c:pt>
                <c:pt idx="609">
                  <c:v>34.319000000000003</c:v>
                </c:pt>
                <c:pt idx="610">
                  <c:v>37.393000000000001</c:v>
                </c:pt>
                <c:pt idx="611">
                  <c:v>22.664999999999999</c:v>
                </c:pt>
                <c:pt idx="612">
                  <c:v>19.826000000000001</c:v>
                </c:pt>
                <c:pt idx="613">
                  <c:v>24.186</c:v>
                </c:pt>
                <c:pt idx="614">
                  <c:v>23.655999999999999</c:v>
                </c:pt>
                <c:pt idx="615">
                  <c:v>28.212</c:v>
                </c:pt>
                <c:pt idx="616">
                  <c:v>22.574999999999999</c:v>
                </c:pt>
                <c:pt idx="617">
                  <c:v>37.369999999999997</c:v>
                </c:pt>
                <c:pt idx="618">
                  <c:v>20.667999999999999</c:v>
                </c:pt>
                <c:pt idx="619">
                  <c:v>19.535</c:v>
                </c:pt>
                <c:pt idx="620">
                  <c:v>27.568999999999999</c:v>
                </c:pt>
                <c:pt idx="621">
                  <c:v>35.47</c:v>
                </c:pt>
                <c:pt idx="622">
                  <c:v>17.323</c:v>
                </c:pt>
                <c:pt idx="623">
                  <c:v>30.038</c:v>
                </c:pt>
                <c:pt idx="624">
                  <c:v>50.896999999999998</c:v>
                </c:pt>
                <c:pt idx="625">
                  <c:v>27.283999999999999</c:v>
                </c:pt>
                <c:pt idx="626">
                  <c:v>24.925000000000001</c:v>
                </c:pt>
                <c:pt idx="627">
                  <c:v>20.274000000000001</c:v>
                </c:pt>
                <c:pt idx="628">
                  <c:v>28.053000000000001</c:v>
                </c:pt>
                <c:pt idx="629">
                  <c:v>15.042999999999999</c:v>
                </c:pt>
                <c:pt idx="630">
                  <c:v>30.72</c:v>
                </c:pt>
                <c:pt idx="631">
                  <c:v>65.673000000000002</c:v>
                </c:pt>
                <c:pt idx="632">
                  <c:v>48.280999999999999</c:v>
                </c:pt>
                <c:pt idx="633">
                  <c:v>58.317</c:v>
                </c:pt>
                <c:pt idx="634">
                  <c:v>19.135000000000002</c:v>
                </c:pt>
                <c:pt idx="635">
                  <c:v>21.681999999999999</c:v>
                </c:pt>
                <c:pt idx="636">
                  <c:v>20.5</c:v>
                </c:pt>
                <c:pt idx="637">
                  <c:v>24.004000000000001</c:v>
                </c:pt>
                <c:pt idx="638">
                  <c:v>21.756</c:v>
                </c:pt>
                <c:pt idx="639">
                  <c:v>13.441000000000001</c:v>
                </c:pt>
                <c:pt idx="640">
                  <c:v>39.06</c:v>
                </c:pt>
                <c:pt idx="641">
                  <c:v>24.805</c:v>
                </c:pt>
                <c:pt idx="642">
                  <c:v>19.53</c:v>
                </c:pt>
                <c:pt idx="643">
                  <c:v>16.600999999999999</c:v>
                </c:pt>
                <c:pt idx="644">
                  <c:v>22.234000000000002</c:v>
                </c:pt>
                <c:pt idx="645">
                  <c:v>29.617999999999999</c:v>
                </c:pt>
                <c:pt idx="646">
                  <c:v>29.31</c:v>
                </c:pt>
                <c:pt idx="647">
                  <c:v>54.430999999999997</c:v>
                </c:pt>
                <c:pt idx="648">
                  <c:v>28.277999999999999</c:v>
                </c:pt>
                <c:pt idx="649">
                  <c:v>24.872</c:v>
                </c:pt>
                <c:pt idx="650">
                  <c:v>26.526</c:v>
                </c:pt>
                <c:pt idx="651">
                  <c:v>21.678999999999998</c:v>
                </c:pt>
                <c:pt idx="652">
                  <c:v>19.311</c:v>
                </c:pt>
                <c:pt idx="653">
                  <c:v>20.855</c:v>
                </c:pt>
                <c:pt idx="654">
                  <c:v>27.384</c:v>
                </c:pt>
                <c:pt idx="655">
                  <c:v>19.114999999999998</c:v>
                </c:pt>
                <c:pt idx="656">
                  <c:v>32.777999999999999</c:v>
                </c:pt>
                <c:pt idx="657">
                  <c:v>23.071000000000002</c:v>
                </c:pt>
                <c:pt idx="658">
                  <c:v>22.323</c:v>
                </c:pt>
                <c:pt idx="659">
                  <c:v>48.261000000000003</c:v>
                </c:pt>
                <c:pt idx="660">
                  <c:v>21.564</c:v>
                </c:pt>
                <c:pt idx="661">
                  <c:v>62.011000000000003</c:v>
                </c:pt>
                <c:pt idx="662">
                  <c:v>21.059000000000001</c:v>
                </c:pt>
                <c:pt idx="663">
                  <c:v>32.784999999999997</c:v>
                </c:pt>
                <c:pt idx="664">
                  <c:v>20.347999999999999</c:v>
                </c:pt>
                <c:pt idx="665">
                  <c:v>12.596</c:v>
                </c:pt>
                <c:pt idx="666">
                  <c:v>13.169</c:v>
                </c:pt>
                <c:pt idx="667">
                  <c:v>33.582000000000001</c:v>
                </c:pt>
                <c:pt idx="668">
                  <c:v>32.101999999999997</c:v>
                </c:pt>
                <c:pt idx="669">
                  <c:v>31.196999999999999</c:v>
                </c:pt>
                <c:pt idx="670">
                  <c:v>35.725000000000001</c:v>
                </c:pt>
                <c:pt idx="671">
                  <c:v>12.930999999999999</c:v>
                </c:pt>
                <c:pt idx="672">
                  <c:v>31.74</c:v>
                </c:pt>
                <c:pt idx="673">
                  <c:v>39.395000000000003</c:v>
                </c:pt>
                <c:pt idx="674">
                  <c:v>52.482999999999997</c:v>
                </c:pt>
                <c:pt idx="675">
                  <c:v>46.741999999999997</c:v>
                </c:pt>
                <c:pt idx="676">
                  <c:v>51.579999999999991</c:v>
                </c:pt>
                <c:pt idx="677">
                  <c:v>54.164000000000001</c:v>
                </c:pt>
                <c:pt idx="678">
                  <c:v>37.042999999999999</c:v>
                </c:pt>
                <c:pt idx="679">
                  <c:v>32.097000000000001</c:v>
                </c:pt>
                <c:pt idx="680">
                  <c:v>45.44</c:v>
                </c:pt>
                <c:pt idx="681">
                  <c:v>88.436999999999998</c:v>
                </c:pt>
                <c:pt idx="682">
                  <c:v>31.050999999999998</c:v>
                </c:pt>
                <c:pt idx="683">
                  <c:v>15.849</c:v>
                </c:pt>
                <c:pt idx="684">
                  <c:v>15.253</c:v>
                </c:pt>
                <c:pt idx="685">
                  <c:v>18.702000000000002</c:v>
                </c:pt>
                <c:pt idx="686">
                  <c:v>43.962000000000003</c:v>
                </c:pt>
                <c:pt idx="687">
                  <c:v>17.77</c:v>
                </c:pt>
                <c:pt idx="688">
                  <c:v>28.507999999999999</c:v>
                </c:pt>
                <c:pt idx="689">
                  <c:v>36.399000000000001</c:v>
                </c:pt>
                <c:pt idx="690">
                  <c:v>20.523</c:v>
                </c:pt>
                <c:pt idx="691">
                  <c:v>32.213999999999999</c:v>
                </c:pt>
                <c:pt idx="692">
                  <c:v>83.75</c:v>
                </c:pt>
                <c:pt idx="693">
                  <c:v>53.929000000000002</c:v>
                </c:pt>
                <c:pt idx="694">
                  <c:v>21.754999999999999</c:v>
                </c:pt>
                <c:pt idx="695">
                  <c:v>25.568000000000001</c:v>
                </c:pt>
                <c:pt idx="696">
                  <c:v>63.743000000000002</c:v>
                </c:pt>
                <c:pt idx="697">
                  <c:v>22.768000000000001</c:v>
                </c:pt>
                <c:pt idx="698">
                  <c:v>24.407</c:v>
                </c:pt>
                <c:pt idx="699">
                  <c:v>21.890999999999998</c:v>
                </c:pt>
                <c:pt idx="700">
                  <c:v>20.922999999999998</c:v>
                </c:pt>
                <c:pt idx="701">
                  <c:v>20.059000000000001</c:v>
                </c:pt>
                <c:pt idx="702">
                  <c:v>24.369</c:v>
                </c:pt>
                <c:pt idx="703">
                  <c:v>19.472000000000001</c:v>
                </c:pt>
                <c:pt idx="704">
                  <c:v>20.635999999999999</c:v>
                </c:pt>
                <c:pt idx="705">
                  <c:v>13.237</c:v>
                </c:pt>
                <c:pt idx="706">
                  <c:v>12.813999999999998</c:v>
                </c:pt>
                <c:pt idx="707">
                  <c:v>14.994</c:v>
                </c:pt>
                <c:pt idx="708">
                  <c:v>1.369</c:v>
                </c:pt>
                <c:pt idx="709">
                  <c:v>6.4409999999999998</c:v>
                </c:pt>
                <c:pt idx="710">
                  <c:v>19.234999999999999</c:v>
                </c:pt>
                <c:pt idx="711">
                  <c:v>23.343</c:v>
                </c:pt>
                <c:pt idx="712">
                  <c:v>15.182</c:v>
                </c:pt>
                <c:pt idx="713">
                  <c:v>17.431000000000001</c:v>
                </c:pt>
                <c:pt idx="714">
                  <c:v>18.350999999999999</c:v>
                </c:pt>
                <c:pt idx="715">
                  <c:v>32.531999999999996</c:v>
                </c:pt>
                <c:pt idx="716">
                  <c:v>34.427</c:v>
                </c:pt>
                <c:pt idx="717">
                  <c:v>19.728000000000002</c:v>
                </c:pt>
                <c:pt idx="718">
                  <c:v>34.334000000000003</c:v>
                </c:pt>
                <c:pt idx="719">
                  <c:v>20.773</c:v>
                </c:pt>
                <c:pt idx="720">
                  <c:v>103</c:v>
                </c:pt>
                <c:pt idx="721">
                  <c:v>35.302</c:v>
                </c:pt>
                <c:pt idx="722">
                  <c:v>47.356999999999999</c:v>
                </c:pt>
                <c:pt idx="723">
                  <c:v>44.845999999999997</c:v>
                </c:pt>
                <c:pt idx="724">
                  <c:v>30.890999999999998</c:v>
                </c:pt>
                <c:pt idx="725">
                  <c:v>34.683</c:v>
                </c:pt>
                <c:pt idx="726">
                  <c:v>31.175999999999998</c:v>
                </c:pt>
                <c:pt idx="727">
                  <c:v>58.808</c:v>
                </c:pt>
                <c:pt idx="728">
                  <c:v>106</c:v>
                </c:pt>
                <c:pt idx="729">
                  <c:v>150</c:v>
                </c:pt>
                <c:pt idx="730">
                  <c:v>71.042000000000002</c:v>
                </c:pt>
                <c:pt idx="731">
                  <c:v>43.951999999999998</c:v>
                </c:pt>
                <c:pt idx="732">
                  <c:v>26.655999999999999</c:v>
                </c:pt>
                <c:pt idx="733">
                  <c:v>67.516999999999996</c:v>
                </c:pt>
                <c:pt idx="734">
                  <c:v>50.145000000000003</c:v>
                </c:pt>
                <c:pt idx="735">
                  <c:v>21.672999999999998</c:v>
                </c:pt>
                <c:pt idx="736">
                  <c:v>22.693999999999999</c:v>
                </c:pt>
                <c:pt idx="737">
                  <c:v>22.611000000000001</c:v>
                </c:pt>
                <c:pt idx="738">
                  <c:v>65.811999999999998</c:v>
                </c:pt>
                <c:pt idx="739">
                  <c:v>42.140999999999998</c:v>
                </c:pt>
                <c:pt idx="740">
                  <c:v>24.309000000000001</c:v>
                </c:pt>
                <c:pt idx="741">
                  <c:v>9.7680000000000007</c:v>
                </c:pt>
                <c:pt idx="742">
                  <c:v>33.753</c:v>
                </c:pt>
                <c:pt idx="743">
                  <c:v>17.957999999999998</c:v>
                </c:pt>
                <c:pt idx="744">
                  <c:v>31.376000000000001</c:v>
                </c:pt>
                <c:pt idx="745">
                  <c:v>16.318999999999999</c:v>
                </c:pt>
                <c:pt idx="746">
                  <c:v>17.684000000000001</c:v>
                </c:pt>
                <c:pt idx="747">
                  <c:v>24.292999999999999</c:v>
                </c:pt>
                <c:pt idx="748">
                  <c:v>37.433</c:v>
                </c:pt>
                <c:pt idx="749">
                  <c:v>37.521000000000001</c:v>
                </c:pt>
                <c:pt idx="750">
                  <c:v>37.682000000000002</c:v>
                </c:pt>
                <c:pt idx="751">
                  <c:v>27.393000000000001</c:v>
                </c:pt>
                <c:pt idx="752">
                  <c:v>14.678000000000001</c:v>
                </c:pt>
                <c:pt idx="753">
                  <c:v>25.282</c:v>
                </c:pt>
                <c:pt idx="754">
                  <c:v>27.834</c:v>
                </c:pt>
                <c:pt idx="755">
                  <c:v>56.762</c:v>
                </c:pt>
                <c:pt idx="756">
                  <c:v>13.826000000000001</c:v>
                </c:pt>
                <c:pt idx="757">
                  <c:v>58.029000000000003</c:v>
                </c:pt>
                <c:pt idx="758">
                  <c:v>27.242000000000001</c:v>
                </c:pt>
                <c:pt idx="759">
                  <c:v>29.626999999999999</c:v>
                </c:pt>
                <c:pt idx="760">
                  <c:v>33.445999999999998</c:v>
                </c:pt>
                <c:pt idx="761">
                  <c:v>36.883000000000003</c:v>
                </c:pt>
                <c:pt idx="762">
                  <c:v>34.156999999999996</c:v>
                </c:pt>
                <c:pt idx="763">
                  <c:v>40.15</c:v>
                </c:pt>
                <c:pt idx="764">
                  <c:v>33.439</c:v>
                </c:pt>
                <c:pt idx="765">
                  <c:v>16.247</c:v>
                </c:pt>
                <c:pt idx="766">
                  <c:v>25.087</c:v>
                </c:pt>
                <c:pt idx="767">
                  <c:v>25.018000000000001</c:v>
                </c:pt>
                <c:pt idx="768">
                  <c:v>32.091000000000001</c:v>
                </c:pt>
                <c:pt idx="769">
                  <c:v>40.082000000000001</c:v>
                </c:pt>
                <c:pt idx="770">
                  <c:v>19.169</c:v>
                </c:pt>
                <c:pt idx="771">
                  <c:v>27.645</c:v>
                </c:pt>
                <c:pt idx="772">
                  <c:v>41.78</c:v>
                </c:pt>
                <c:pt idx="773">
                  <c:v>41.509</c:v>
                </c:pt>
                <c:pt idx="774">
                  <c:v>25.055</c:v>
                </c:pt>
                <c:pt idx="775">
                  <c:v>10.978</c:v>
                </c:pt>
                <c:pt idx="776">
                  <c:v>32.091000000000001</c:v>
                </c:pt>
                <c:pt idx="777">
                  <c:v>32.295999999999999</c:v>
                </c:pt>
                <c:pt idx="778">
                  <c:v>36.384</c:v>
                </c:pt>
                <c:pt idx="779">
                  <c:v>30.423999999999999</c:v>
                </c:pt>
                <c:pt idx="780">
                  <c:v>16.253</c:v>
                </c:pt>
                <c:pt idx="781">
                  <c:v>21.419</c:v>
                </c:pt>
                <c:pt idx="782">
                  <c:v>30.067</c:v>
                </c:pt>
                <c:pt idx="783">
                  <c:v>32.884999999999998</c:v>
                </c:pt>
                <c:pt idx="784">
                  <c:v>35.295000000000002</c:v>
                </c:pt>
                <c:pt idx="785">
                  <c:v>0.69599999999999995</c:v>
                </c:pt>
                <c:pt idx="786">
                  <c:v>22.128</c:v>
                </c:pt>
                <c:pt idx="787">
                  <c:v>31.071999999999999</c:v>
                </c:pt>
                <c:pt idx="788">
                  <c:v>53.482999999999997</c:v>
                </c:pt>
                <c:pt idx="789">
                  <c:v>58.500999999999998</c:v>
                </c:pt>
                <c:pt idx="790">
                  <c:v>31.93</c:v>
                </c:pt>
                <c:pt idx="791">
                  <c:v>23.542999999999999</c:v>
                </c:pt>
                <c:pt idx="792">
                  <c:v>41.593000000000004</c:v>
                </c:pt>
                <c:pt idx="793">
                  <c:v>34.781999999999996</c:v>
                </c:pt>
                <c:pt idx="794">
                  <c:v>37.965000000000003</c:v>
                </c:pt>
                <c:pt idx="795">
                  <c:v>22.645</c:v>
                </c:pt>
                <c:pt idx="796">
                  <c:v>31.600999999999999</c:v>
                </c:pt>
                <c:pt idx="797">
                  <c:v>17.122</c:v>
                </c:pt>
                <c:pt idx="798">
                  <c:v>21.584</c:v>
                </c:pt>
                <c:pt idx="799">
                  <c:v>22.451000000000001</c:v>
                </c:pt>
                <c:pt idx="800">
                  <c:v>39.78</c:v>
                </c:pt>
                <c:pt idx="801">
                  <c:v>26.794</c:v>
                </c:pt>
                <c:pt idx="802">
                  <c:v>50.639000000000003</c:v>
                </c:pt>
                <c:pt idx="803">
                  <c:v>38.744</c:v>
                </c:pt>
                <c:pt idx="804">
                  <c:v>30.710999999999999</c:v>
                </c:pt>
                <c:pt idx="805">
                  <c:v>48.186</c:v>
                </c:pt>
                <c:pt idx="806">
                  <c:v>34.637999999999998</c:v>
                </c:pt>
                <c:pt idx="807">
                  <c:v>28.007999999999999</c:v>
                </c:pt>
                <c:pt idx="808">
                  <c:v>21.523</c:v>
                </c:pt>
                <c:pt idx="809">
                  <c:v>27.591999999999999</c:v>
                </c:pt>
                <c:pt idx="810">
                  <c:v>18.622</c:v>
                </c:pt>
                <c:pt idx="811">
                  <c:v>44.095999999999997</c:v>
                </c:pt>
                <c:pt idx="812">
                  <c:v>22.068999999999999</c:v>
                </c:pt>
                <c:pt idx="813">
                  <c:v>54.765000000000001</c:v>
                </c:pt>
                <c:pt idx="814">
                  <c:v>58.427</c:v>
                </c:pt>
                <c:pt idx="815">
                  <c:v>41.555999999999997</c:v>
                </c:pt>
                <c:pt idx="816">
                  <c:v>27.777999999999999</c:v>
                </c:pt>
                <c:pt idx="817">
                  <c:v>31.745000000000001</c:v>
                </c:pt>
                <c:pt idx="818">
                  <c:v>31.792999999999999</c:v>
                </c:pt>
                <c:pt idx="819">
                  <c:v>39.826000000000001</c:v>
                </c:pt>
                <c:pt idx="820">
                  <c:v>26.577999999999999</c:v>
                </c:pt>
                <c:pt idx="821">
                  <c:v>80.850999999999999</c:v>
                </c:pt>
                <c:pt idx="822">
                  <c:v>77.784000000000006</c:v>
                </c:pt>
                <c:pt idx="823">
                  <c:v>31.885999999999999</c:v>
                </c:pt>
                <c:pt idx="824">
                  <c:v>51.734999999999999</c:v>
                </c:pt>
                <c:pt idx="825">
                  <c:v>23.852</c:v>
                </c:pt>
                <c:pt idx="826">
                  <c:v>21.431000000000001</c:v>
                </c:pt>
                <c:pt idx="827">
                  <c:v>39.207000000000001</c:v>
                </c:pt>
                <c:pt idx="828">
                  <c:v>32.872</c:v>
                </c:pt>
                <c:pt idx="829">
                  <c:v>20.52</c:v>
                </c:pt>
                <c:pt idx="830">
                  <c:v>21.539000000000001</c:v>
                </c:pt>
                <c:pt idx="831">
                  <c:v>17.193999999999999</c:v>
                </c:pt>
                <c:pt idx="832">
                  <c:v>16.106999999999999</c:v>
                </c:pt>
                <c:pt idx="833">
                  <c:v>36.844999999999999</c:v>
                </c:pt>
                <c:pt idx="834">
                  <c:v>28.385000000000002</c:v>
                </c:pt>
                <c:pt idx="835">
                  <c:v>1.2290000000000001</c:v>
                </c:pt>
                <c:pt idx="836">
                  <c:v>34.695</c:v>
                </c:pt>
                <c:pt idx="837">
                  <c:v>28.024000000000001</c:v>
                </c:pt>
                <c:pt idx="838">
                  <c:v>52.161999999999999</c:v>
                </c:pt>
                <c:pt idx="839">
                  <c:v>51.941999999999993</c:v>
                </c:pt>
                <c:pt idx="840">
                  <c:v>38.933</c:v>
                </c:pt>
                <c:pt idx="841">
                  <c:v>40.377000000000002</c:v>
                </c:pt>
                <c:pt idx="842">
                  <c:v>31.788</c:v>
                </c:pt>
                <c:pt idx="843">
                  <c:v>32.341999999999999</c:v>
                </c:pt>
                <c:pt idx="844">
                  <c:v>79.106999999999999</c:v>
                </c:pt>
                <c:pt idx="845">
                  <c:v>73.263000000000005</c:v>
                </c:pt>
                <c:pt idx="846">
                  <c:v>97.201999999999998</c:v>
                </c:pt>
                <c:pt idx="847">
                  <c:v>36.171999999999997</c:v>
                </c:pt>
                <c:pt idx="848">
                  <c:v>48.356999999999999</c:v>
                </c:pt>
                <c:pt idx="849">
                  <c:v>54.527999999999999</c:v>
                </c:pt>
                <c:pt idx="850">
                  <c:v>70.525999999999996</c:v>
                </c:pt>
                <c:pt idx="851">
                  <c:v>65.013999999999996</c:v>
                </c:pt>
                <c:pt idx="852">
                  <c:v>43.914000000000001</c:v>
                </c:pt>
                <c:pt idx="853">
                  <c:v>60.231999999999999</c:v>
                </c:pt>
                <c:pt idx="854">
                  <c:v>30.532</c:v>
                </c:pt>
                <c:pt idx="855">
                  <c:v>32.271999999999998</c:v>
                </c:pt>
                <c:pt idx="856">
                  <c:v>65.927000000000007</c:v>
                </c:pt>
                <c:pt idx="857">
                  <c:v>44.536999999999999</c:v>
                </c:pt>
                <c:pt idx="858">
                  <c:v>58.674999999999997</c:v>
                </c:pt>
                <c:pt idx="859">
                  <c:v>27.614999999999998</c:v>
                </c:pt>
                <c:pt idx="860">
                  <c:v>56.207999999999998</c:v>
                </c:pt>
                <c:pt idx="861">
                  <c:v>79.319999999999993</c:v>
                </c:pt>
                <c:pt idx="862">
                  <c:v>234</c:v>
                </c:pt>
                <c:pt idx="863">
                  <c:v>68.478999999999999</c:v>
                </c:pt>
                <c:pt idx="864">
                  <c:v>52.034000000000006</c:v>
                </c:pt>
                <c:pt idx="865">
                  <c:v>42.216999999999999</c:v>
                </c:pt>
                <c:pt idx="866">
                  <c:v>20.617000000000001</c:v>
                </c:pt>
                <c:pt idx="867">
                  <c:v>22.722999999999999</c:v>
                </c:pt>
                <c:pt idx="868">
                  <c:v>42.598999999999997</c:v>
                </c:pt>
                <c:pt idx="869">
                  <c:v>14.920999999999999</c:v>
                </c:pt>
                <c:pt idx="870">
                  <c:v>53.09</c:v>
                </c:pt>
                <c:pt idx="871">
                  <c:v>20.241</c:v>
                </c:pt>
                <c:pt idx="872">
                  <c:v>36.682000000000002</c:v>
                </c:pt>
                <c:pt idx="873">
                  <c:v>36.627000000000002</c:v>
                </c:pt>
                <c:pt idx="874">
                  <c:v>39.447000000000003</c:v>
                </c:pt>
                <c:pt idx="875">
                  <c:v>55.606000000000002</c:v>
                </c:pt>
                <c:pt idx="876">
                  <c:v>73.126999999999995</c:v>
                </c:pt>
                <c:pt idx="877">
                  <c:v>51.414999999999999</c:v>
                </c:pt>
                <c:pt idx="878">
                  <c:v>57.383000000000003</c:v>
                </c:pt>
                <c:pt idx="879">
                  <c:v>52.515999999999998</c:v>
                </c:pt>
                <c:pt idx="880">
                  <c:v>26.814</c:v>
                </c:pt>
                <c:pt idx="881">
                  <c:v>25.468</c:v>
                </c:pt>
                <c:pt idx="882">
                  <c:v>33.320999999999998</c:v>
                </c:pt>
                <c:pt idx="883">
                  <c:v>49.643999999999998</c:v>
                </c:pt>
                <c:pt idx="884">
                  <c:v>43.811</c:v>
                </c:pt>
                <c:pt idx="885">
                  <c:v>32.253</c:v>
                </c:pt>
                <c:pt idx="886">
                  <c:v>25.013000000000002</c:v>
                </c:pt>
                <c:pt idx="887">
                  <c:v>27.341999999999999</c:v>
                </c:pt>
                <c:pt idx="888">
                  <c:v>40.084000000000003</c:v>
                </c:pt>
                <c:pt idx="889">
                  <c:v>36.895000000000003</c:v>
                </c:pt>
                <c:pt idx="890">
                  <c:v>23.021000000000001</c:v>
                </c:pt>
                <c:pt idx="891">
                  <c:v>29.035</c:v>
                </c:pt>
                <c:pt idx="892">
                  <c:v>18.922999999999998</c:v>
                </c:pt>
                <c:pt idx="893">
                  <c:v>20.041</c:v>
                </c:pt>
                <c:pt idx="894">
                  <c:v>18.997</c:v>
                </c:pt>
                <c:pt idx="895">
                  <c:v>40.466999999999999</c:v>
                </c:pt>
                <c:pt idx="896">
                  <c:v>43.563000000000002</c:v>
                </c:pt>
                <c:pt idx="897">
                  <c:v>24.425999999999998</c:v>
                </c:pt>
                <c:pt idx="898">
                  <c:v>42.107999999999997</c:v>
                </c:pt>
                <c:pt idx="899">
                  <c:v>45.679000000000002</c:v>
                </c:pt>
                <c:pt idx="900">
                  <c:v>30.545999999999999</c:v>
                </c:pt>
                <c:pt idx="901">
                  <c:v>25.873000000000005</c:v>
                </c:pt>
                <c:pt idx="902">
                  <c:v>23.422000000000001</c:v>
                </c:pt>
                <c:pt idx="903">
                  <c:v>18.443000000000001</c:v>
                </c:pt>
                <c:pt idx="904">
                  <c:v>20.11</c:v>
                </c:pt>
                <c:pt idx="905">
                  <c:v>40.625999999999998</c:v>
                </c:pt>
                <c:pt idx="906">
                  <c:v>46.219000000000001</c:v>
                </c:pt>
                <c:pt idx="907">
                  <c:v>24.867000000000001</c:v>
                </c:pt>
                <c:pt idx="908">
                  <c:v>18.172000000000001</c:v>
                </c:pt>
                <c:pt idx="909">
                  <c:v>19.818999999999999</c:v>
                </c:pt>
                <c:pt idx="910">
                  <c:v>40.682000000000002</c:v>
                </c:pt>
                <c:pt idx="911">
                  <c:v>24.524999999999999</c:v>
                </c:pt>
                <c:pt idx="912">
                  <c:v>15.467000000000001</c:v>
                </c:pt>
                <c:pt idx="913">
                  <c:v>23.75</c:v>
                </c:pt>
                <c:pt idx="914">
                  <c:v>14.134</c:v>
                </c:pt>
                <c:pt idx="915">
                  <c:v>45.593000000000004</c:v>
                </c:pt>
                <c:pt idx="916">
                  <c:v>27.966000000000001</c:v>
                </c:pt>
                <c:pt idx="917">
                  <c:v>25.786000000000001</c:v>
                </c:pt>
                <c:pt idx="918">
                  <c:v>20.273</c:v>
                </c:pt>
                <c:pt idx="919">
                  <c:v>18.507000000000001</c:v>
                </c:pt>
                <c:pt idx="920">
                  <c:v>22.725000000000001</c:v>
                </c:pt>
                <c:pt idx="921">
                  <c:v>60.878999999999998</c:v>
                </c:pt>
                <c:pt idx="922">
                  <c:v>27.931999999999999</c:v>
                </c:pt>
                <c:pt idx="923">
                  <c:v>24.204000000000001</c:v>
                </c:pt>
                <c:pt idx="924">
                  <c:v>19.669</c:v>
                </c:pt>
                <c:pt idx="925">
                  <c:v>27.707999999999998</c:v>
                </c:pt>
                <c:pt idx="926">
                  <c:v>40.427999999999997</c:v>
                </c:pt>
                <c:pt idx="927">
                  <c:v>40.548999999999999</c:v>
                </c:pt>
                <c:pt idx="928">
                  <c:v>32.491</c:v>
                </c:pt>
                <c:pt idx="929">
                  <c:v>30.460999999999999</c:v>
                </c:pt>
                <c:pt idx="930">
                  <c:v>35.728000000000002</c:v>
                </c:pt>
                <c:pt idx="931">
                  <c:v>37.466000000000001</c:v>
                </c:pt>
                <c:pt idx="932">
                  <c:v>44.722000000000001</c:v>
                </c:pt>
                <c:pt idx="933">
                  <c:v>28.638000000000002</c:v>
                </c:pt>
                <c:pt idx="934">
                  <c:v>18.053999999999998</c:v>
                </c:pt>
                <c:pt idx="935">
                  <c:v>12.028</c:v>
                </c:pt>
                <c:pt idx="936">
                  <c:v>14.416</c:v>
                </c:pt>
                <c:pt idx="937">
                  <c:v>18.228999999999999</c:v>
                </c:pt>
                <c:pt idx="938">
                  <c:v>27.681000000000001</c:v>
                </c:pt>
                <c:pt idx="939">
                  <c:v>35.332999999999998</c:v>
                </c:pt>
                <c:pt idx="940">
                  <c:v>33.07</c:v>
                </c:pt>
                <c:pt idx="941">
                  <c:v>56.667000000000002</c:v>
                </c:pt>
                <c:pt idx="942">
                  <c:v>79.388999999999996</c:v>
                </c:pt>
                <c:pt idx="943">
                  <c:v>35.171999999999997</c:v>
                </c:pt>
                <c:pt idx="944">
                  <c:v>34.14</c:v>
                </c:pt>
                <c:pt idx="945">
                  <c:v>51.965000000000003</c:v>
                </c:pt>
                <c:pt idx="946">
                  <c:v>22.911000000000001</c:v>
                </c:pt>
                <c:pt idx="947">
                  <c:v>26.675999999999998</c:v>
                </c:pt>
                <c:pt idx="948">
                  <c:v>23.992999999999999</c:v>
                </c:pt>
                <c:pt idx="949">
                  <c:v>42.369</c:v>
                </c:pt>
                <c:pt idx="950">
                  <c:v>1.903</c:v>
                </c:pt>
                <c:pt idx="951">
                  <c:v>27.698</c:v>
                </c:pt>
                <c:pt idx="952">
                  <c:v>27.442</c:v>
                </c:pt>
                <c:pt idx="953">
                  <c:v>28.248999999999999</c:v>
                </c:pt>
                <c:pt idx="954">
                  <c:v>32.625</c:v>
                </c:pt>
                <c:pt idx="955">
                  <c:v>15.589</c:v>
                </c:pt>
                <c:pt idx="956">
                  <c:v>10.747</c:v>
                </c:pt>
                <c:pt idx="957">
                  <c:v>16.635000000000002</c:v>
                </c:pt>
                <c:pt idx="958">
                  <c:v>21.69</c:v>
                </c:pt>
                <c:pt idx="959">
                  <c:v>29.744</c:v>
                </c:pt>
                <c:pt idx="960">
                  <c:v>42.418999999999997</c:v>
                </c:pt>
                <c:pt idx="961">
                  <c:v>22.036000000000001</c:v>
                </c:pt>
                <c:pt idx="962">
                  <c:v>25.692000000000004</c:v>
                </c:pt>
                <c:pt idx="963">
                  <c:v>32.843000000000004</c:v>
                </c:pt>
                <c:pt idx="964">
                  <c:v>46.506</c:v>
                </c:pt>
                <c:pt idx="965">
                  <c:v>24.370999999999999</c:v>
                </c:pt>
                <c:pt idx="966">
                  <c:v>33.027999999999999</c:v>
                </c:pt>
                <c:pt idx="967">
                  <c:v>32.613999999999997</c:v>
                </c:pt>
                <c:pt idx="968">
                  <c:v>36.756999999999998</c:v>
                </c:pt>
                <c:pt idx="969">
                  <c:v>63.369</c:v>
                </c:pt>
                <c:pt idx="970">
                  <c:v>50.180999999999997</c:v>
                </c:pt>
                <c:pt idx="971">
                  <c:v>30.677</c:v>
                </c:pt>
                <c:pt idx="972">
                  <c:v>43.637</c:v>
                </c:pt>
                <c:pt idx="973">
                  <c:v>19.332000000000001</c:v>
                </c:pt>
                <c:pt idx="974">
                  <c:v>26.818000000000001</c:v>
                </c:pt>
                <c:pt idx="975">
                  <c:v>23.276</c:v>
                </c:pt>
                <c:pt idx="976">
                  <c:v>52.703000000000003</c:v>
                </c:pt>
                <c:pt idx="977">
                  <c:v>24.780999999999999</c:v>
                </c:pt>
                <c:pt idx="978">
                  <c:v>40.887999999999998</c:v>
                </c:pt>
                <c:pt idx="979">
                  <c:v>21.495000000000001</c:v>
                </c:pt>
                <c:pt idx="980">
                  <c:v>24.463999999999999</c:v>
                </c:pt>
                <c:pt idx="981">
                  <c:v>22.29</c:v>
                </c:pt>
                <c:pt idx="982">
                  <c:v>16.225000000000001</c:v>
                </c:pt>
                <c:pt idx="983">
                  <c:v>29.98</c:v>
                </c:pt>
                <c:pt idx="984">
                  <c:v>14.935</c:v>
                </c:pt>
                <c:pt idx="985">
                  <c:v>10.8</c:v>
                </c:pt>
                <c:pt idx="986">
                  <c:v>14.428000000000001</c:v>
                </c:pt>
                <c:pt idx="987">
                  <c:v>11.840999999999999</c:v>
                </c:pt>
                <c:pt idx="988">
                  <c:v>16.472999999999999</c:v>
                </c:pt>
                <c:pt idx="989">
                  <c:v>24.173999999999999</c:v>
                </c:pt>
                <c:pt idx="990">
                  <c:v>10.795</c:v>
                </c:pt>
                <c:pt idx="991">
                  <c:v>26.760999999999999</c:v>
                </c:pt>
                <c:pt idx="992">
                  <c:v>23.765000000000001</c:v>
                </c:pt>
                <c:pt idx="993">
                  <c:v>13.981999999999999</c:v>
                </c:pt>
                <c:pt idx="994">
                  <c:v>19.721</c:v>
                </c:pt>
                <c:pt idx="995">
                  <c:v>15.958</c:v>
                </c:pt>
                <c:pt idx="996">
                  <c:v>19.655999999999999</c:v>
                </c:pt>
                <c:pt idx="997">
                  <c:v>22.861999999999998</c:v>
                </c:pt>
                <c:pt idx="998">
                  <c:v>22.59</c:v>
                </c:pt>
                <c:pt idx="999">
                  <c:v>34.44</c:v>
                </c:pt>
                <c:pt idx="1000">
                  <c:v>37.146000000000001</c:v>
                </c:pt>
                <c:pt idx="1001">
                  <c:v>37.591000000000001</c:v>
                </c:pt>
                <c:pt idx="1002">
                  <c:v>29.776</c:v>
                </c:pt>
                <c:pt idx="1003">
                  <c:v>33.206000000000003</c:v>
                </c:pt>
                <c:pt idx="1004">
                  <c:v>59.384</c:v>
                </c:pt>
                <c:pt idx="1005">
                  <c:v>24.954999999999998</c:v>
                </c:pt>
                <c:pt idx="1006">
                  <c:v>151</c:v>
                </c:pt>
                <c:pt idx="1007">
                  <c:v>54.594000000000001</c:v>
                </c:pt>
                <c:pt idx="1008">
                  <c:v>41.499000000000002</c:v>
                </c:pt>
                <c:pt idx="1009">
                  <c:v>43.670999999999999</c:v>
                </c:pt>
                <c:pt idx="1010">
                  <c:v>37.776000000000003</c:v>
                </c:pt>
                <c:pt idx="1011">
                  <c:v>27.481999999999999</c:v>
                </c:pt>
                <c:pt idx="1012">
                  <c:v>36.165999999999997</c:v>
                </c:pt>
                <c:pt idx="1013">
                  <c:v>51.36</c:v>
                </c:pt>
                <c:pt idx="1014">
                  <c:v>45.058999999999997</c:v>
                </c:pt>
                <c:pt idx="1015">
                  <c:v>31.475000000000001</c:v>
                </c:pt>
                <c:pt idx="1016">
                  <c:v>23.69</c:v>
                </c:pt>
                <c:pt idx="1017">
                  <c:v>30.866</c:v>
                </c:pt>
                <c:pt idx="1018">
                  <c:v>31.055</c:v>
                </c:pt>
                <c:pt idx="1019">
                  <c:v>26.245999999999999</c:v>
                </c:pt>
                <c:pt idx="1020">
                  <c:v>30.134</c:v>
                </c:pt>
                <c:pt idx="1021">
                  <c:v>34.72</c:v>
                </c:pt>
                <c:pt idx="1022">
                  <c:v>33.613</c:v>
                </c:pt>
                <c:pt idx="1023">
                  <c:v>27.92</c:v>
                </c:pt>
                <c:pt idx="1024">
                  <c:v>16.605</c:v>
                </c:pt>
                <c:pt idx="1025">
                  <c:v>26.88</c:v>
                </c:pt>
                <c:pt idx="1026">
                  <c:v>15.757999999999999</c:v>
                </c:pt>
                <c:pt idx="1027">
                  <c:v>14.218999999999999</c:v>
                </c:pt>
                <c:pt idx="1028">
                  <c:v>32.024000000000001</c:v>
                </c:pt>
                <c:pt idx="1029">
                  <c:v>17.529</c:v>
                </c:pt>
                <c:pt idx="1030">
                  <c:v>29.65</c:v>
                </c:pt>
                <c:pt idx="1031">
                  <c:v>172</c:v>
                </c:pt>
                <c:pt idx="1032">
                  <c:v>123</c:v>
                </c:pt>
                <c:pt idx="1033">
                  <c:v>83.534000000000006</c:v>
                </c:pt>
                <c:pt idx="1034">
                  <c:v>35.292000000000002</c:v>
                </c:pt>
                <c:pt idx="1035">
                  <c:v>31.082999999999998</c:v>
                </c:pt>
                <c:pt idx="1036">
                  <c:v>36.591999999999999</c:v>
                </c:pt>
                <c:pt idx="1037">
                  <c:v>30.234000000000002</c:v>
                </c:pt>
                <c:pt idx="1038">
                  <c:v>16.565000000000001</c:v>
                </c:pt>
                <c:pt idx="1039">
                  <c:v>18.074999999999999</c:v>
                </c:pt>
                <c:pt idx="1040">
                  <c:v>29.977</c:v>
                </c:pt>
                <c:pt idx="1041">
                  <c:v>21.946999999999999</c:v>
                </c:pt>
                <c:pt idx="1042">
                  <c:v>21.206</c:v>
                </c:pt>
                <c:pt idx="1043">
                  <c:v>35.462000000000003</c:v>
                </c:pt>
                <c:pt idx="1044">
                  <c:v>26.917999999999999</c:v>
                </c:pt>
                <c:pt idx="1045">
                  <c:v>54.924999999999997</c:v>
                </c:pt>
                <c:pt idx="1046">
                  <c:v>65.656999999999996</c:v>
                </c:pt>
                <c:pt idx="1047">
                  <c:v>29.469000000000001</c:v>
                </c:pt>
                <c:pt idx="1048">
                  <c:v>75.445999999999998</c:v>
                </c:pt>
                <c:pt idx="1049">
                  <c:v>40.156999999999996</c:v>
                </c:pt>
                <c:pt idx="1050">
                  <c:v>40.610999999999997</c:v>
                </c:pt>
                <c:pt idx="1051">
                  <c:v>28.096</c:v>
                </c:pt>
                <c:pt idx="1052">
                  <c:v>26.314</c:v>
                </c:pt>
                <c:pt idx="1053">
                  <c:v>37.646999999999998</c:v>
                </c:pt>
                <c:pt idx="1054">
                  <c:v>36.188000000000002</c:v>
                </c:pt>
                <c:pt idx="1055">
                  <c:v>22.219000000000001</c:v>
                </c:pt>
                <c:pt idx="1056">
                  <c:v>48.451000000000001</c:v>
                </c:pt>
                <c:pt idx="1057">
                  <c:v>60.212000000000003</c:v>
                </c:pt>
                <c:pt idx="1058">
                  <c:v>23.061</c:v>
                </c:pt>
                <c:pt idx="1059">
                  <c:v>35.103999999999999</c:v>
                </c:pt>
                <c:pt idx="1060">
                  <c:v>34.526000000000003</c:v>
                </c:pt>
                <c:pt idx="1061">
                  <c:v>26.815000000000001</c:v>
                </c:pt>
                <c:pt idx="1062">
                  <c:v>29.047000000000001</c:v>
                </c:pt>
                <c:pt idx="1063">
                  <c:v>23.06</c:v>
                </c:pt>
                <c:pt idx="1064">
                  <c:v>33.466999999999999</c:v>
                </c:pt>
                <c:pt idx="1065">
                  <c:v>26.771999999999998</c:v>
                </c:pt>
                <c:pt idx="1066">
                  <c:v>33.973999999999997</c:v>
                </c:pt>
                <c:pt idx="1067">
                  <c:v>41.256</c:v>
                </c:pt>
                <c:pt idx="1068">
                  <c:v>51.674999999999997</c:v>
                </c:pt>
                <c:pt idx="1069">
                  <c:v>51.65</c:v>
                </c:pt>
                <c:pt idx="1070">
                  <c:v>63.039000000000001</c:v>
                </c:pt>
                <c:pt idx="1071">
                  <c:v>25.524999999999999</c:v>
                </c:pt>
                <c:pt idx="1072">
                  <c:v>14.57</c:v>
                </c:pt>
                <c:pt idx="1073">
                  <c:v>27.305</c:v>
                </c:pt>
                <c:pt idx="1074">
                  <c:v>21.745999999999999</c:v>
                </c:pt>
                <c:pt idx="1075">
                  <c:v>38.890999999999998</c:v>
                </c:pt>
                <c:pt idx="1076">
                  <c:v>20.027000000000001</c:v>
                </c:pt>
                <c:pt idx="1077">
                  <c:v>18.28</c:v>
                </c:pt>
                <c:pt idx="1078">
                  <c:v>30.768000000000001</c:v>
                </c:pt>
                <c:pt idx="1079">
                  <c:v>17.934000000000001</c:v>
                </c:pt>
                <c:pt idx="1080">
                  <c:v>37.137</c:v>
                </c:pt>
                <c:pt idx="1081">
                  <c:v>20.971</c:v>
                </c:pt>
                <c:pt idx="1082">
                  <c:v>12.824000000000002</c:v>
                </c:pt>
                <c:pt idx="1083">
                  <c:v>15.893000000000001</c:v>
                </c:pt>
                <c:pt idx="1084">
                  <c:v>17.302</c:v>
                </c:pt>
                <c:pt idx="1085">
                  <c:v>17.536999999999999</c:v>
                </c:pt>
                <c:pt idx="1086">
                  <c:v>18.146000000000001</c:v>
                </c:pt>
                <c:pt idx="1087">
                  <c:v>19.8</c:v>
                </c:pt>
                <c:pt idx="1088">
                  <c:v>47.835000000000001</c:v>
                </c:pt>
                <c:pt idx="1089">
                  <c:v>20.12</c:v>
                </c:pt>
                <c:pt idx="1090">
                  <c:v>35.021000000000001</c:v>
                </c:pt>
                <c:pt idx="1091">
                  <c:v>39.417999999999999</c:v>
                </c:pt>
                <c:pt idx="1092">
                  <c:v>31.494</c:v>
                </c:pt>
                <c:pt idx="1093">
                  <c:v>34.962000000000003</c:v>
                </c:pt>
                <c:pt idx="1094">
                  <c:v>34.505000000000003</c:v>
                </c:pt>
                <c:pt idx="1095">
                  <c:v>19.117999999999999</c:v>
                </c:pt>
                <c:pt idx="1096">
                  <c:v>14.372</c:v>
                </c:pt>
                <c:pt idx="1097">
                  <c:v>20.922999999999998</c:v>
                </c:pt>
                <c:pt idx="1098">
                  <c:v>27.992000000000001</c:v>
                </c:pt>
                <c:pt idx="1099">
                  <c:v>23.774999999999999</c:v>
                </c:pt>
                <c:pt idx="1100">
                  <c:v>26.253</c:v>
                </c:pt>
                <c:pt idx="1101">
                  <c:v>18.135999999999999</c:v>
                </c:pt>
                <c:pt idx="1102">
                  <c:v>40.11</c:v>
                </c:pt>
                <c:pt idx="1103">
                  <c:v>12.141999999999999</c:v>
                </c:pt>
                <c:pt idx="1104">
                  <c:v>15.682</c:v>
                </c:pt>
                <c:pt idx="1105">
                  <c:v>15.776</c:v>
                </c:pt>
                <c:pt idx="1106">
                  <c:v>62.99</c:v>
                </c:pt>
                <c:pt idx="1107">
                  <c:v>30.491</c:v>
                </c:pt>
                <c:pt idx="1108">
                  <c:v>73.569999999999993</c:v>
                </c:pt>
                <c:pt idx="1109">
                  <c:v>25.312999999999999</c:v>
                </c:pt>
                <c:pt idx="1110">
                  <c:v>50.658000000000001</c:v>
                </c:pt>
                <c:pt idx="1111">
                  <c:v>50.128999999999998</c:v>
                </c:pt>
                <c:pt idx="1112">
                  <c:v>33.31</c:v>
                </c:pt>
                <c:pt idx="1113">
                  <c:v>20.744</c:v>
                </c:pt>
                <c:pt idx="1114">
                  <c:v>44.582999999999998</c:v>
                </c:pt>
                <c:pt idx="1115">
                  <c:v>27.576000000000001</c:v>
                </c:pt>
                <c:pt idx="1116">
                  <c:v>19.152000000000001</c:v>
                </c:pt>
                <c:pt idx="1117">
                  <c:v>14.994</c:v>
                </c:pt>
                <c:pt idx="1118">
                  <c:v>21.922999999999998</c:v>
                </c:pt>
                <c:pt idx="1119">
                  <c:v>37.991999999999997</c:v>
                </c:pt>
                <c:pt idx="1120">
                  <c:v>26.931999999999999</c:v>
                </c:pt>
                <c:pt idx="1121">
                  <c:v>24.003</c:v>
                </c:pt>
                <c:pt idx="1122">
                  <c:v>27.891999999999999</c:v>
                </c:pt>
                <c:pt idx="1123">
                  <c:v>15.412000000000001</c:v>
                </c:pt>
                <c:pt idx="1124">
                  <c:v>15.631</c:v>
                </c:pt>
                <c:pt idx="1125">
                  <c:v>16.614000000000001</c:v>
                </c:pt>
                <c:pt idx="1126">
                  <c:v>9.8339999999999996</c:v>
                </c:pt>
                <c:pt idx="1127">
                  <c:v>51.252000000000002</c:v>
                </c:pt>
                <c:pt idx="1128">
                  <c:v>53.362000000000002</c:v>
                </c:pt>
                <c:pt idx="1129">
                  <c:v>18.962</c:v>
                </c:pt>
                <c:pt idx="1130">
                  <c:v>18.007999999999999</c:v>
                </c:pt>
                <c:pt idx="1131">
                  <c:v>29.038</c:v>
                </c:pt>
                <c:pt idx="1132">
                  <c:v>21.411000000000001</c:v>
                </c:pt>
                <c:pt idx="1133">
                  <c:v>20.844999999999999</c:v>
                </c:pt>
                <c:pt idx="1134">
                  <c:v>18.568000000000001</c:v>
                </c:pt>
                <c:pt idx="1135">
                  <c:v>15.038</c:v>
                </c:pt>
                <c:pt idx="1136">
                  <c:v>21.257000000000001</c:v>
                </c:pt>
                <c:pt idx="1137">
                  <c:v>20.788</c:v>
                </c:pt>
                <c:pt idx="1138">
                  <c:v>26.754000000000001</c:v>
                </c:pt>
                <c:pt idx="1139">
                  <c:v>19.209</c:v>
                </c:pt>
                <c:pt idx="1140">
                  <c:v>20.202999999999999</c:v>
                </c:pt>
                <c:pt idx="1141">
                  <c:v>20.177</c:v>
                </c:pt>
                <c:pt idx="1142">
                  <c:v>21.861000000000001</c:v>
                </c:pt>
                <c:pt idx="1143">
                  <c:v>33.409999999999997</c:v>
                </c:pt>
                <c:pt idx="1144">
                  <c:v>20.736000000000001</c:v>
                </c:pt>
                <c:pt idx="1145">
                  <c:v>23.574000000000002</c:v>
                </c:pt>
                <c:pt idx="1146">
                  <c:v>80.847999999999999</c:v>
                </c:pt>
                <c:pt idx="1147">
                  <c:v>35.125</c:v>
                </c:pt>
                <c:pt idx="1148">
                  <c:v>29.096</c:v>
                </c:pt>
                <c:pt idx="1149">
                  <c:v>15.545999999999999</c:v>
                </c:pt>
                <c:pt idx="1150">
                  <c:v>22.695</c:v>
                </c:pt>
                <c:pt idx="1151">
                  <c:v>19.919</c:v>
                </c:pt>
                <c:pt idx="1152">
                  <c:v>29.032</c:v>
                </c:pt>
                <c:pt idx="1153">
                  <c:v>28.367999999999999</c:v>
                </c:pt>
                <c:pt idx="1154">
                  <c:v>17.786000000000001</c:v>
                </c:pt>
                <c:pt idx="1155">
                  <c:v>21.423999999999999</c:v>
                </c:pt>
                <c:pt idx="1156">
                  <c:v>21.41</c:v>
                </c:pt>
                <c:pt idx="1157">
                  <c:v>14.002000000000001</c:v>
                </c:pt>
                <c:pt idx="1158">
                  <c:v>30.504000000000001</c:v>
                </c:pt>
                <c:pt idx="1159">
                  <c:v>15.377000000000001</c:v>
                </c:pt>
                <c:pt idx="1160">
                  <c:v>12.645</c:v>
                </c:pt>
                <c:pt idx="1161">
                  <c:v>24.023</c:v>
                </c:pt>
                <c:pt idx="1162">
                  <c:v>17.558</c:v>
                </c:pt>
                <c:pt idx="1163">
                  <c:v>13.266</c:v>
                </c:pt>
                <c:pt idx="1164">
                  <c:v>15.308999999999999</c:v>
                </c:pt>
                <c:pt idx="1165">
                  <c:v>17.952999999999999</c:v>
                </c:pt>
                <c:pt idx="1166">
                  <c:v>18.904</c:v>
                </c:pt>
                <c:pt idx="1167">
                  <c:v>26.431999999999999</c:v>
                </c:pt>
                <c:pt idx="1168">
                  <c:v>19.007999999999999</c:v>
                </c:pt>
                <c:pt idx="1169">
                  <c:v>57.167000000000002</c:v>
                </c:pt>
                <c:pt idx="1170">
                  <c:v>49.954999999999998</c:v>
                </c:pt>
                <c:pt idx="1171">
                  <c:v>40.363999999999997</c:v>
                </c:pt>
                <c:pt idx="1172">
                  <c:v>16.652000000000001</c:v>
                </c:pt>
                <c:pt idx="1173">
                  <c:v>27.254000000000001</c:v>
                </c:pt>
                <c:pt idx="1174">
                  <c:v>18.154</c:v>
                </c:pt>
                <c:pt idx="1175">
                  <c:v>21.481000000000002</c:v>
                </c:pt>
                <c:pt idx="1176">
                  <c:v>27.916</c:v>
                </c:pt>
                <c:pt idx="1177">
                  <c:v>12.952999999999999</c:v>
                </c:pt>
                <c:pt idx="1178">
                  <c:v>25.841000000000005</c:v>
                </c:pt>
                <c:pt idx="1179">
                  <c:v>10.635999999999999</c:v>
                </c:pt>
                <c:pt idx="1180">
                  <c:v>22.547000000000001</c:v>
                </c:pt>
                <c:pt idx="1181">
                  <c:v>17.396999999999998</c:v>
                </c:pt>
                <c:pt idx="1182">
                  <c:v>17.173999999999999</c:v>
                </c:pt>
                <c:pt idx="1183">
                  <c:v>19.846</c:v>
                </c:pt>
                <c:pt idx="1184">
                  <c:v>8.7750000000000004</c:v>
                </c:pt>
                <c:pt idx="1185">
                  <c:v>12.919999999999998</c:v>
                </c:pt>
                <c:pt idx="1186">
                  <c:v>14.233000000000001</c:v>
                </c:pt>
                <c:pt idx="1187">
                  <c:v>12.936999999999999</c:v>
                </c:pt>
                <c:pt idx="1188">
                  <c:v>18.224</c:v>
                </c:pt>
                <c:pt idx="1189">
                  <c:v>39.337000000000003</c:v>
                </c:pt>
                <c:pt idx="1190">
                  <c:v>1.4470000000000001</c:v>
                </c:pt>
                <c:pt idx="1191">
                  <c:v>37.081000000000003</c:v>
                </c:pt>
                <c:pt idx="1192">
                  <c:v>31.884</c:v>
                </c:pt>
                <c:pt idx="1193">
                  <c:v>40.807000000000002</c:v>
                </c:pt>
                <c:pt idx="1194">
                  <c:v>51.31</c:v>
                </c:pt>
                <c:pt idx="1195">
                  <c:v>39.427</c:v>
                </c:pt>
                <c:pt idx="1196">
                  <c:v>15.994</c:v>
                </c:pt>
                <c:pt idx="1197">
                  <c:v>17.518999999999998</c:v>
                </c:pt>
                <c:pt idx="1198">
                  <c:v>9.8390000000000004</c:v>
                </c:pt>
                <c:pt idx="1199">
                  <c:v>19.936</c:v>
                </c:pt>
                <c:pt idx="1200">
                  <c:v>18.965</c:v>
                </c:pt>
                <c:pt idx="1201">
                  <c:v>14.816000000000001</c:v>
                </c:pt>
                <c:pt idx="1202">
                  <c:v>19.709</c:v>
                </c:pt>
                <c:pt idx="1203">
                  <c:v>12.585000000000001</c:v>
                </c:pt>
                <c:pt idx="1204">
                  <c:v>18.454000000000001</c:v>
                </c:pt>
                <c:pt idx="1205">
                  <c:v>17.442</c:v>
                </c:pt>
                <c:pt idx="1206">
                  <c:v>16.132000000000001</c:v>
                </c:pt>
                <c:pt idx="1207">
                  <c:v>19.437999999999999</c:v>
                </c:pt>
                <c:pt idx="1208">
                  <c:v>31.812000000000001</c:v>
                </c:pt>
                <c:pt idx="1209">
                  <c:v>27.14</c:v>
                </c:pt>
                <c:pt idx="1210">
                  <c:v>18.54</c:v>
                </c:pt>
                <c:pt idx="1211">
                  <c:v>19.204999999999998</c:v>
                </c:pt>
                <c:pt idx="1212">
                  <c:v>40.729999999999997</c:v>
                </c:pt>
                <c:pt idx="1213">
                  <c:v>20.015000000000001</c:v>
                </c:pt>
                <c:pt idx="1214">
                  <c:v>18.748000000000001</c:v>
                </c:pt>
                <c:pt idx="1215">
                  <c:v>27.529</c:v>
                </c:pt>
                <c:pt idx="1216">
                  <c:v>15.999000000000001</c:v>
                </c:pt>
                <c:pt idx="1217">
                  <c:v>22.873000000000001</c:v>
                </c:pt>
                <c:pt idx="1218">
                  <c:v>19.093</c:v>
                </c:pt>
                <c:pt idx="1219">
                  <c:v>20.629000000000001</c:v>
                </c:pt>
                <c:pt idx="1220">
                  <c:v>15.968999999999999</c:v>
                </c:pt>
                <c:pt idx="1221">
                  <c:v>22.657</c:v>
                </c:pt>
                <c:pt idx="1222">
                  <c:v>14.819000000000001</c:v>
                </c:pt>
                <c:pt idx="1223">
                  <c:v>27.448</c:v>
                </c:pt>
                <c:pt idx="1224">
                  <c:v>27.292000000000002</c:v>
                </c:pt>
                <c:pt idx="1225">
                  <c:v>19.651</c:v>
                </c:pt>
                <c:pt idx="1226">
                  <c:v>38.948</c:v>
                </c:pt>
                <c:pt idx="1227">
                  <c:v>17.806999999999999</c:v>
                </c:pt>
                <c:pt idx="1228">
                  <c:v>17.969000000000001</c:v>
                </c:pt>
                <c:pt idx="1229">
                  <c:v>20.533999999999999</c:v>
                </c:pt>
                <c:pt idx="1230">
                  <c:v>10.346</c:v>
                </c:pt>
                <c:pt idx="1231">
                  <c:v>15.295999999999999</c:v>
                </c:pt>
                <c:pt idx="1232">
                  <c:v>17.081</c:v>
                </c:pt>
                <c:pt idx="1233">
                  <c:v>16.183</c:v>
                </c:pt>
                <c:pt idx="1234">
                  <c:v>18.204999999999998</c:v>
                </c:pt>
                <c:pt idx="1235">
                  <c:v>19.312000000000001</c:v>
                </c:pt>
                <c:pt idx="1236">
                  <c:v>19.760000000000002</c:v>
                </c:pt>
                <c:pt idx="1237">
                  <c:v>23.632000000000001</c:v>
                </c:pt>
                <c:pt idx="1238">
                  <c:v>17.227</c:v>
                </c:pt>
                <c:pt idx="1239">
                  <c:v>7.1890000000000001</c:v>
                </c:pt>
                <c:pt idx="1240">
                  <c:v>20.623999999999999</c:v>
                </c:pt>
              </c:numCache>
            </c:numRef>
          </c:val>
          <c:extLst>
            <c:ext xmlns:c16="http://schemas.microsoft.com/office/drawing/2014/chart" uri="{C3380CC4-5D6E-409C-BE32-E72D297353CC}">
              <c16:uniqueId val="{00000000-92A4-40CD-B8EC-C0CCA0BCAF0E}"/>
            </c:ext>
          </c:extLst>
        </c:ser>
        <c:dLbls>
          <c:showLegendKey val="0"/>
          <c:showVal val="0"/>
          <c:showCatName val="0"/>
          <c:showSerName val="0"/>
          <c:showPercent val="0"/>
          <c:showBubbleSize val="0"/>
        </c:dLbls>
        <c:gapWidth val="219"/>
        <c:overlap val="-27"/>
        <c:axId val="317936175"/>
        <c:axId val="290187871"/>
      </c:barChart>
      <c:dateAx>
        <c:axId val="31793617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3000000" spcFirstLastPara="1" vertOverflow="ellipsis" wrap="square" anchor="ctr" anchorCtr="1"/>
          <a:lstStyle/>
          <a:p>
            <a:pPr>
              <a:defRPr sz="900" b="0" i="0" u="none" strike="noStrike" kern="1200" baseline="0">
                <a:solidFill>
                  <a:sysClr val="windowText" lastClr="000000"/>
                </a:solidFill>
                <a:latin typeface="+mn-lt"/>
                <a:ea typeface="+mn-ea"/>
                <a:cs typeface="+mn-cs"/>
              </a:defRPr>
            </a:pPr>
            <a:endParaRPr lang="en-US"/>
          </a:p>
        </c:txPr>
        <c:crossAx val="290187871"/>
        <c:crosses val="autoZero"/>
        <c:auto val="1"/>
        <c:lblOffset val="100"/>
        <c:baseTimeUnit val="days"/>
      </c:dateAx>
      <c:valAx>
        <c:axId val="290187871"/>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17936175"/>
        <c:crosses val="autoZero"/>
        <c:crossBetween val="between"/>
        <c:majorUnit val="1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5975634038599106"/>
          <c:y val="5.0925925925925923E-2"/>
          <c:w val="0.46855597919027592"/>
          <c:h val="0.8416746864975212"/>
        </c:manualLayout>
      </c:layout>
      <c:barChart>
        <c:barDir val="bar"/>
        <c:grouping val="clustered"/>
        <c:varyColors val="0"/>
        <c:ser>
          <c:idx val="0"/>
          <c:order val="0"/>
          <c:spPr>
            <a:solidFill>
              <a:schemeClr val="accent1"/>
            </a:solidFill>
            <a:ln>
              <a:noFill/>
            </a:ln>
            <a:effectLst/>
          </c:spPr>
          <c:invertIfNegative val="0"/>
          <c:dPt>
            <c:idx val="0"/>
            <c:invertIfNegative val="0"/>
            <c:bubble3D val="0"/>
            <c:spPr>
              <a:solidFill>
                <a:schemeClr val="accent3">
                  <a:lumMod val="50000"/>
                </a:schemeClr>
              </a:solidFill>
              <a:ln>
                <a:noFill/>
              </a:ln>
              <a:effectLst/>
            </c:spPr>
            <c:extLst>
              <c:ext xmlns:c16="http://schemas.microsoft.com/office/drawing/2014/chart" uri="{C3380CC4-5D6E-409C-BE32-E72D297353CC}">
                <c16:uniqueId val="{00000001-3279-429B-9AB1-4032DE88583E}"/>
              </c:ext>
            </c:extLst>
          </c:dPt>
          <c:dPt>
            <c:idx val="1"/>
            <c:invertIfNegative val="0"/>
            <c:bubble3D val="0"/>
            <c:spPr>
              <a:solidFill>
                <a:schemeClr val="accent3">
                  <a:lumMod val="75000"/>
                </a:schemeClr>
              </a:solidFill>
              <a:ln>
                <a:noFill/>
              </a:ln>
              <a:effectLst/>
            </c:spPr>
            <c:extLst>
              <c:ext xmlns:c16="http://schemas.microsoft.com/office/drawing/2014/chart" uri="{C3380CC4-5D6E-409C-BE32-E72D297353CC}">
                <c16:uniqueId val="{00000003-3279-429B-9AB1-4032DE88583E}"/>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3279-429B-9AB1-4032DE88583E}"/>
              </c:ext>
            </c:extLst>
          </c:dPt>
          <c:dPt>
            <c:idx val="3"/>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7-3279-429B-9AB1-4032DE8858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UltraTech_Beta!$AF$3:$AF$6</c:f>
              <c:strCache>
                <c:ptCount val="4"/>
                <c:pt idx="0">
                  <c:v>Promoters</c:v>
                </c:pt>
                <c:pt idx="1">
                  <c:v>FIIs</c:v>
                </c:pt>
                <c:pt idx="2">
                  <c:v>DIIs</c:v>
                </c:pt>
                <c:pt idx="3">
                  <c:v>Public &amp; Govt.</c:v>
                </c:pt>
              </c:strCache>
            </c:strRef>
          </c:cat>
          <c:val>
            <c:numRef>
              <c:f>UltraTech_Beta!$AG$3:$AG$6</c:f>
              <c:numCache>
                <c:formatCode>0.00%</c:formatCode>
                <c:ptCount val="4"/>
                <c:pt idx="0">
                  <c:v>0.59230000000000005</c:v>
                </c:pt>
                <c:pt idx="1">
                  <c:v>0.15329999999999999</c:v>
                </c:pt>
                <c:pt idx="2">
                  <c:v>0.16650000000000001</c:v>
                </c:pt>
                <c:pt idx="3">
                  <c:v>8.8000000000000009E-2</c:v>
                </c:pt>
              </c:numCache>
            </c:numRef>
          </c:val>
          <c:extLst>
            <c:ext xmlns:c16="http://schemas.microsoft.com/office/drawing/2014/chart" uri="{C3380CC4-5D6E-409C-BE32-E72D297353CC}">
              <c16:uniqueId val="{00000008-3279-429B-9AB1-4032DE88583E}"/>
            </c:ext>
          </c:extLst>
        </c:ser>
        <c:dLbls>
          <c:dLblPos val="outEnd"/>
          <c:showLegendKey val="0"/>
          <c:showVal val="1"/>
          <c:showCatName val="0"/>
          <c:showSerName val="0"/>
          <c:showPercent val="0"/>
          <c:showBubbleSize val="0"/>
        </c:dLbls>
        <c:gapWidth val="182"/>
        <c:axId val="317939375"/>
        <c:axId val="389486031"/>
      </c:barChart>
      <c:catAx>
        <c:axId val="317939375"/>
        <c:scaling>
          <c:orientation val="minMax"/>
        </c:scaling>
        <c:delete val="0"/>
        <c:axPos val="l"/>
        <c:numFmt formatCode="General" sourceLinked="1"/>
        <c:majorTickMark val="none"/>
        <c:minorTickMark val="none"/>
        <c:tickLblPos val="nextTo"/>
        <c:spPr>
          <a:noFill/>
          <a:ln w="9525" cap="flat" cmpd="sng" algn="ctr">
            <a:solidFill>
              <a:schemeClr val="accent3">
                <a:lumMod val="50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89486031"/>
        <c:crosses val="autoZero"/>
        <c:auto val="1"/>
        <c:lblAlgn val="ctr"/>
        <c:lblOffset val="100"/>
        <c:noMultiLvlLbl val="0"/>
      </c:catAx>
      <c:valAx>
        <c:axId val="389486031"/>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17939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b="1">
                <a:solidFill>
                  <a:schemeClr val="bg1"/>
                </a:solidFill>
              </a:rPr>
              <a:t>Football</a:t>
            </a:r>
            <a:r>
              <a:rPr lang="en-IN" b="1" baseline="0">
                <a:solidFill>
                  <a:schemeClr val="bg1"/>
                </a:solidFill>
              </a:rPr>
              <a:t> Field Analysis - Summary Valuation</a:t>
            </a:r>
            <a:endParaRPr lang="en-IN" b="1">
              <a:solidFill>
                <a:schemeClr val="bg1"/>
              </a:solidFill>
            </a:endParaRPr>
          </a:p>
        </c:rich>
      </c:tx>
      <c:layout>
        <c:manualLayout>
          <c:xMode val="edge"/>
          <c:yMode val="edge"/>
          <c:x val="0.11432613837488499"/>
          <c:y val="0"/>
        </c:manualLayout>
      </c:layout>
      <c:overlay val="1"/>
      <c:spPr>
        <a:solidFill>
          <a:schemeClr val="accent3">
            <a:lumMod val="50000"/>
          </a:schemeClr>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stockChart>
        <c:ser>
          <c:idx val="0"/>
          <c:order val="0"/>
          <c:spPr>
            <a:ln w="38100" cap="rnd">
              <a:noFill/>
              <a:round/>
            </a:ln>
            <a:effectLst/>
          </c:spPr>
          <c:marker>
            <c:symbol val="none"/>
          </c:marker>
          <c:dLbls>
            <c:dLbl>
              <c:idx val="6"/>
              <c:dLblPos val="b"/>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B2-4DF9-A823-6C0EA6AD825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Football_Field!$Q$11:$Q$17</c:f>
              <c:strCache>
                <c:ptCount val="7"/>
                <c:pt idx="0">
                  <c:v>Comps</c:v>
                </c:pt>
                <c:pt idx="1">
                  <c:v>DCF Bear</c:v>
                </c:pt>
                <c:pt idx="2">
                  <c:v>DCF Base</c:v>
                </c:pt>
                <c:pt idx="3">
                  <c:v>DCF Bull</c:v>
                </c:pt>
                <c:pt idx="4">
                  <c:v>52W H/L</c:v>
                </c:pt>
                <c:pt idx="5">
                  <c:v>Transaction Comps</c:v>
                </c:pt>
                <c:pt idx="6">
                  <c:v>CMP</c:v>
                </c:pt>
              </c:strCache>
            </c:strRef>
          </c:cat>
          <c:val>
            <c:numRef>
              <c:f>Football_Field!$R$11:$R$17</c:f>
              <c:numCache>
                <c:formatCode>#,##0.00</c:formatCode>
                <c:ptCount val="7"/>
                <c:pt idx="0">
                  <c:v>8561.0344270222686</c:v>
                </c:pt>
                <c:pt idx="1">
                  <c:v>871.55785152257715</c:v>
                </c:pt>
                <c:pt idx="2">
                  <c:v>1084.981957034794</c:v>
                </c:pt>
                <c:pt idx="3">
                  <c:v>1255.7212414445682</c:v>
                </c:pt>
                <c:pt idx="4">
                  <c:v>10048</c:v>
                </c:pt>
                <c:pt idx="5">
                  <c:v>6660</c:v>
                </c:pt>
                <c:pt idx="6">
                  <c:v>11937</c:v>
                </c:pt>
              </c:numCache>
            </c:numRef>
          </c:val>
          <c:smooth val="0"/>
          <c:extLst>
            <c:ext xmlns:c16="http://schemas.microsoft.com/office/drawing/2014/chart" uri="{C3380CC4-5D6E-409C-BE32-E72D297353CC}">
              <c16:uniqueId val="{00000000-EB5F-46CC-A387-771E8083A911}"/>
            </c:ext>
          </c:extLst>
        </c:ser>
        <c:ser>
          <c:idx val="1"/>
          <c:order val="1"/>
          <c:spPr>
            <a:ln w="38100" cap="rnd">
              <a:noFill/>
              <a:round/>
            </a:ln>
            <a:effectLst/>
          </c:spPr>
          <c:marker>
            <c:symbol val="none"/>
          </c:marker>
          <c:dLbls>
            <c:delete val="1"/>
          </c:dLbls>
          <c:cat>
            <c:strRef>
              <c:f>Football_Field!$Q$11:$Q$17</c:f>
              <c:strCache>
                <c:ptCount val="7"/>
                <c:pt idx="0">
                  <c:v>Comps</c:v>
                </c:pt>
                <c:pt idx="1">
                  <c:v>DCF Bear</c:v>
                </c:pt>
                <c:pt idx="2">
                  <c:v>DCF Base</c:v>
                </c:pt>
                <c:pt idx="3">
                  <c:v>DCF Bull</c:v>
                </c:pt>
                <c:pt idx="4">
                  <c:v>52W H/L</c:v>
                </c:pt>
                <c:pt idx="5">
                  <c:v>Transaction Comps</c:v>
                </c:pt>
                <c:pt idx="6">
                  <c:v>CMP</c:v>
                </c:pt>
              </c:strCache>
            </c:strRef>
          </c:cat>
          <c:val>
            <c:numRef>
              <c:f>Football_Field!$S$11:$S$17</c:f>
              <c:numCache>
                <c:formatCode>#,##0.00</c:formatCode>
                <c:ptCount val="7"/>
                <c:pt idx="0">
                  <c:v>8561.0344270222686</c:v>
                </c:pt>
                <c:pt idx="1">
                  <c:v>871.55785152257715</c:v>
                </c:pt>
                <c:pt idx="2">
                  <c:v>1084.981957034794</c:v>
                </c:pt>
                <c:pt idx="3">
                  <c:v>1255.7212414445682</c:v>
                </c:pt>
                <c:pt idx="4">
                  <c:v>10048</c:v>
                </c:pt>
                <c:pt idx="5">
                  <c:v>6660</c:v>
                </c:pt>
                <c:pt idx="6">
                  <c:v>11937</c:v>
                </c:pt>
              </c:numCache>
            </c:numRef>
          </c:val>
          <c:smooth val="0"/>
          <c:extLst>
            <c:ext xmlns:c16="http://schemas.microsoft.com/office/drawing/2014/chart" uri="{C3380CC4-5D6E-409C-BE32-E72D297353CC}">
              <c16:uniqueId val="{00000001-EB5F-46CC-A387-771E8083A911}"/>
            </c:ext>
          </c:extLst>
        </c:ser>
        <c:ser>
          <c:idx val="2"/>
          <c:order val="2"/>
          <c:spPr>
            <a:ln w="38100" cap="rnd">
              <a:noFill/>
              <a:round/>
            </a:ln>
            <a:effectLst/>
          </c:spPr>
          <c:marker>
            <c:symbol val="none"/>
          </c:marker>
          <c:dLbls>
            <c:delete val="1"/>
          </c:dLbls>
          <c:cat>
            <c:strRef>
              <c:f>Football_Field!$Q$11:$Q$17</c:f>
              <c:strCache>
                <c:ptCount val="7"/>
                <c:pt idx="0">
                  <c:v>Comps</c:v>
                </c:pt>
                <c:pt idx="1">
                  <c:v>DCF Bear</c:v>
                </c:pt>
                <c:pt idx="2">
                  <c:v>DCF Base</c:v>
                </c:pt>
                <c:pt idx="3">
                  <c:v>DCF Bull</c:v>
                </c:pt>
                <c:pt idx="4">
                  <c:v>52W H/L</c:v>
                </c:pt>
                <c:pt idx="5">
                  <c:v>Transaction Comps</c:v>
                </c:pt>
                <c:pt idx="6">
                  <c:v>CMP</c:v>
                </c:pt>
              </c:strCache>
            </c:strRef>
          </c:cat>
          <c:val>
            <c:numRef>
              <c:f>Football_Field!$T$11:$T$17</c:f>
              <c:numCache>
                <c:formatCode>#,##0.00</c:formatCode>
                <c:ptCount val="7"/>
                <c:pt idx="0">
                  <c:v>10160.965099343301</c:v>
                </c:pt>
                <c:pt idx="1">
                  <c:v>1511.830168059229</c:v>
                </c:pt>
                <c:pt idx="2">
                  <c:v>2792.3748011325315</c:v>
                </c:pt>
                <c:pt idx="3">
                  <c:v>5353.4640672791411</c:v>
                </c:pt>
                <c:pt idx="4">
                  <c:v>13102</c:v>
                </c:pt>
                <c:pt idx="5">
                  <c:v>9856</c:v>
                </c:pt>
                <c:pt idx="6">
                  <c:v>11937</c:v>
                </c:pt>
              </c:numCache>
            </c:numRef>
          </c:val>
          <c:smooth val="0"/>
          <c:extLst>
            <c:ext xmlns:c16="http://schemas.microsoft.com/office/drawing/2014/chart" uri="{C3380CC4-5D6E-409C-BE32-E72D297353CC}">
              <c16:uniqueId val="{00000002-EB5F-46CC-A387-771E8083A911}"/>
            </c:ext>
          </c:extLst>
        </c:ser>
        <c:ser>
          <c:idx val="3"/>
          <c:order val="3"/>
          <c:spPr>
            <a:ln w="38100" cap="rnd">
              <a:noFill/>
              <a:round/>
            </a:ln>
            <a:effectLst/>
          </c:spPr>
          <c:marker>
            <c:symbol val="none"/>
          </c:marker>
          <c:dLbls>
            <c:dLbl>
              <c:idx val="6"/>
              <c:dLblPos val="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B2-4DF9-A823-6C0EA6AD825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Football_Field!$Q$11:$Q$17</c:f>
              <c:strCache>
                <c:ptCount val="7"/>
                <c:pt idx="0">
                  <c:v>Comps</c:v>
                </c:pt>
                <c:pt idx="1">
                  <c:v>DCF Bear</c:v>
                </c:pt>
                <c:pt idx="2">
                  <c:v>DCF Base</c:v>
                </c:pt>
                <c:pt idx="3">
                  <c:v>DCF Bull</c:v>
                </c:pt>
                <c:pt idx="4">
                  <c:v>52W H/L</c:v>
                </c:pt>
                <c:pt idx="5">
                  <c:v>Transaction Comps</c:v>
                </c:pt>
                <c:pt idx="6">
                  <c:v>CMP</c:v>
                </c:pt>
              </c:strCache>
            </c:strRef>
          </c:cat>
          <c:val>
            <c:numRef>
              <c:f>Football_Field!$U$11:$U$17</c:f>
              <c:numCache>
                <c:formatCode>#,##0.00</c:formatCode>
                <c:ptCount val="7"/>
                <c:pt idx="0">
                  <c:v>10160.965099343301</c:v>
                </c:pt>
                <c:pt idx="1">
                  <c:v>1511.830168059229</c:v>
                </c:pt>
                <c:pt idx="2">
                  <c:v>2792.3748011325315</c:v>
                </c:pt>
                <c:pt idx="3">
                  <c:v>5353.4640672791411</c:v>
                </c:pt>
                <c:pt idx="4">
                  <c:v>13102</c:v>
                </c:pt>
                <c:pt idx="5">
                  <c:v>9856</c:v>
                </c:pt>
                <c:pt idx="6">
                  <c:v>11937</c:v>
                </c:pt>
              </c:numCache>
            </c:numRef>
          </c:val>
          <c:smooth val="0"/>
          <c:extLst>
            <c:ext xmlns:c16="http://schemas.microsoft.com/office/drawing/2014/chart" uri="{C3380CC4-5D6E-409C-BE32-E72D297353CC}">
              <c16:uniqueId val="{00000003-EB5F-46CC-A387-771E8083A911}"/>
            </c:ext>
          </c:extLst>
        </c:ser>
        <c:dLbls>
          <c:showLegendKey val="0"/>
          <c:showVal val="1"/>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chemeClr val="accent3">
                  <a:lumMod val="50000"/>
                </a:schemeClr>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776131680"/>
        <c:axId val="778458304"/>
      </c:stockChart>
      <c:catAx>
        <c:axId val="7761316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78458304"/>
        <c:crosses val="autoZero"/>
        <c:auto val="1"/>
        <c:lblAlgn val="ctr"/>
        <c:lblOffset val="100"/>
        <c:noMultiLvlLbl val="0"/>
      </c:catAx>
      <c:valAx>
        <c:axId val="778458304"/>
        <c:scaling>
          <c:orientation val="minMax"/>
        </c:scaling>
        <c:delete val="0"/>
        <c:axPos val="l"/>
        <c:title>
          <c:tx>
            <c:rich>
              <a:bodyPr rot="-5400000" spcFirstLastPara="1" vertOverflow="ellipsis" vert="horz" wrap="square" anchor="ctr" anchorCtr="1"/>
              <a:lstStyle/>
              <a:p>
                <a:pPr>
                  <a:defRPr sz="1050" b="1" i="0" u="none" strike="noStrike" kern="1200" baseline="0">
                    <a:solidFill>
                      <a:schemeClr val="accent3">
                        <a:lumMod val="50000"/>
                      </a:schemeClr>
                    </a:solidFill>
                    <a:latin typeface="+mn-lt"/>
                    <a:ea typeface="+mn-ea"/>
                    <a:cs typeface="+mn-cs"/>
                  </a:defRPr>
                </a:pPr>
                <a:r>
                  <a:rPr lang="en-IN" sz="1050" b="1">
                    <a:solidFill>
                      <a:schemeClr val="accent3">
                        <a:lumMod val="50000"/>
                      </a:schemeClr>
                    </a:solidFill>
                  </a:rPr>
                  <a:t>Share</a:t>
                </a:r>
                <a:r>
                  <a:rPr lang="en-IN" sz="1050" b="1" baseline="0">
                    <a:solidFill>
                      <a:schemeClr val="accent3">
                        <a:lumMod val="50000"/>
                      </a:schemeClr>
                    </a:solidFill>
                  </a:rPr>
                  <a:t> Price (INR)</a:t>
                </a:r>
              </a:p>
            </c:rich>
          </c:tx>
          <c:overlay val="0"/>
          <c:spPr>
            <a:solidFill>
              <a:sysClr val="window" lastClr="FFFFFF"/>
            </a:solidFill>
            <a:ln>
              <a:noFill/>
            </a:ln>
            <a:effectLst/>
          </c:spPr>
          <c:txPr>
            <a:bodyPr rot="-5400000" spcFirstLastPara="1" vertOverflow="ellipsis" vert="horz" wrap="square" anchor="ctr" anchorCtr="1"/>
            <a:lstStyle/>
            <a:p>
              <a:pPr>
                <a:defRPr sz="1050" b="1" i="0" u="none" strike="noStrike" kern="1200" baseline="0">
                  <a:solidFill>
                    <a:schemeClr val="accent3">
                      <a:lumMod val="50000"/>
                    </a:schemeClr>
                  </a:solidFill>
                  <a:latin typeface="+mn-lt"/>
                  <a:ea typeface="+mn-ea"/>
                  <a:cs typeface="+mn-cs"/>
                </a:defRPr>
              </a:pPr>
              <a:endParaRPr lang="en-US"/>
            </a:p>
          </c:txPr>
        </c:title>
        <c:numFmt formatCode="&quot;₹&quot;\ #,##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76131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1" i="0" u="none" strike="noStrike" kern="1200" cap="all" spc="150" baseline="0">
                <a:solidFill>
                  <a:schemeClr val="tx1"/>
                </a:solidFill>
                <a:latin typeface="Calibri" panose="020F0502020204030204" pitchFamily="34" charset="0"/>
                <a:ea typeface="+mn-ea"/>
                <a:cs typeface="Calibri" panose="020F0502020204030204" pitchFamily="34" charset="0"/>
              </a:defRPr>
            </a:pPr>
            <a:r>
              <a:rPr lang="en-IN" sz="900" b="1" baseline="0">
                <a:solidFill>
                  <a:schemeClr val="tx1"/>
                </a:solidFill>
                <a:latin typeface="Calibri" panose="020F0502020204030204" pitchFamily="34" charset="0"/>
                <a:cs typeface="Calibri" panose="020F0502020204030204" pitchFamily="34" charset="0"/>
              </a:rPr>
              <a:t>Equity Multiplier</a:t>
            </a:r>
          </a:p>
        </c:rich>
      </c:tx>
      <c:overlay val="0"/>
      <c:spPr>
        <a:noFill/>
        <a:ln>
          <a:noFill/>
        </a:ln>
        <a:effectLst/>
      </c:spPr>
      <c:txPr>
        <a:bodyPr rot="0" spcFirstLastPara="1" vertOverflow="ellipsis" vert="horz" wrap="square" anchor="ctr" anchorCtr="1"/>
        <a:lstStyle/>
        <a:p>
          <a:pPr>
            <a:defRPr sz="900" b="1" i="0" u="none" strike="noStrike" kern="1200" cap="all" spc="150" baseline="0">
              <a:solidFill>
                <a:schemeClr val="tx1"/>
              </a:solidFill>
              <a:latin typeface="Calibri" panose="020F0502020204030204" pitchFamily="34" charset="0"/>
              <a:ea typeface="+mn-ea"/>
              <a:cs typeface="Calibri" panose="020F0502020204030204" pitchFamily="34" charset="0"/>
            </a:defRPr>
          </a:pPr>
          <a:endParaRPr lang="en-US"/>
        </a:p>
      </c:txPr>
    </c:title>
    <c:autoTitleDeleted val="0"/>
    <c:plotArea>
      <c:layout/>
      <c:barChart>
        <c:barDir val="col"/>
        <c:grouping val="clustered"/>
        <c:varyColors val="0"/>
        <c:ser>
          <c:idx val="0"/>
          <c:order val="0"/>
          <c:spPr>
            <a:solidFill>
              <a:schemeClr val="accent3">
                <a:lumMod val="75000"/>
              </a:schemeClr>
            </a:solidFill>
            <a:ln w="12700" cap="flat" cmpd="sng" algn="ctr">
              <a:noFill/>
              <a:prstDash val="solid"/>
            </a:ln>
            <a:effectLst/>
          </c:spPr>
          <c:invertIfNegative val="0"/>
          <c:dPt>
            <c:idx val="0"/>
            <c:invertIfNegative val="0"/>
            <c:bubble3D val="0"/>
            <c:spPr>
              <a:solidFill>
                <a:schemeClr val="accent3">
                  <a:lumMod val="50000"/>
                </a:schemeClr>
              </a:solidFill>
              <a:ln w="12700" cap="flat" cmpd="sng" algn="ctr">
                <a:noFill/>
                <a:prstDash val="solid"/>
              </a:ln>
              <a:effectLst/>
            </c:spPr>
            <c:extLst>
              <c:ext xmlns:c16="http://schemas.microsoft.com/office/drawing/2014/chart" uri="{C3380CC4-5D6E-409C-BE32-E72D297353CC}">
                <c16:uniqueId val="{00000000-31DD-4D04-B70A-2496078B834A}"/>
              </c:ext>
            </c:extLst>
          </c:dPt>
          <c:dPt>
            <c:idx val="1"/>
            <c:invertIfNegative val="0"/>
            <c:bubble3D val="0"/>
            <c:spPr>
              <a:solidFill>
                <a:schemeClr val="accent3">
                  <a:lumMod val="60000"/>
                  <a:lumOff val="40000"/>
                </a:schemeClr>
              </a:solidFill>
              <a:ln w="12700" cap="flat" cmpd="sng" algn="ctr">
                <a:noFill/>
                <a:prstDash val="solid"/>
              </a:ln>
              <a:effectLst/>
            </c:spPr>
            <c:extLst>
              <c:ext xmlns:c16="http://schemas.microsoft.com/office/drawing/2014/chart" uri="{C3380CC4-5D6E-409C-BE32-E72D297353CC}">
                <c16:uniqueId val="{00000001-31DD-4D04-B70A-2496078B834A}"/>
              </c:ext>
            </c:extLst>
          </c:dPt>
          <c:dPt>
            <c:idx val="2"/>
            <c:invertIfNegative val="0"/>
            <c:bubble3D val="0"/>
            <c:spPr>
              <a:solidFill>
                <a:schemeClr val="accent3"/>
              </a:solidFill>
              <a:ln w="12700" cap="flat" cmpd="sng" algn="ctr">
                <a:noFill/>
                <a:prstDash val="solid"/>
              </a:ln>
              <a:effectLst/>
            </c:spPr>
            <c:extLst>
              <c:ext xmlns:c16="http://schemas.microsoft.com/office/drawing/2014/chart" uri="{C3380CC4-5D6E-409C-BE32-E72D297353CC}">
                <c16:uniqueId val="{00000002-31DD-4D04-B70A-2496078B83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DuPont!$H$49:$K$49</c:f>
              <c:numCache>
                <c:formatCode>mmm/yyyy</c:formatCode>
                <c:ptCount val="4"/>
                <c:pt idx="0">
                  <c:v>44651</c:v>
                </c:pt>
                <c:pt idx="1">
                  <c:v>45016</c:v>
                </c:pt>
                <c:pt idx="2">
                  <c:v>45382</c:v>
                </c:pt>
                <c:pt idx="3">
                  <c:v>45747</c:v>
                </c:pt>
              </c:numCache>
            </c:numRef>
          </c:cat>
          <c:val>
            <c:numRef>
              <c:f>DuPont!$H$66:$K$66</c:f>
              <c:numCache>
                <c:formatCode>0.00\x</c:formatCode>
                <c:ptCount val="4"/>
                <c:pt idx="0">
                  <c:v>1.7967221206648982</c:v>
                </c:pt>
                <c:pt idx="1">
                  <c:v>1.6723191842367791</c:v>
                </c:pt>
                <c:pt idx="2">
                  <c:v>1.6776440083727899</c:v>
                </c:pt>
                <c:pt idx="3">
                  <c:v>1.790434282855708</c:v>
                </c:pt>
              </c:numCache>
            </c:numRef>
          </c:val>
          <c:extLst>
            <c:ext xmlns:c16="http://schemas.microsoft.com/office/drawing/2014/chart" uri="{C3380CC4-5D6E-409C-BE32-E72D297353CC}">
              <c16:uniqueId val="{00000000-1CCE-49CB-8576-D85D8A629F36}"/>
            </c:ext>
          </c:extLst>
        </c:ser>
        <c:dLbls>
          <c:dLblPos val="outEnd"/>
          <c:showLegendKey val="0"/>
          <c:showVal val="1"/>
          <c:showCatName val="0"/>
          <c:showSerName val="0"/>
          <c:showPercent val="0"/>
          <c:showBubbleSize val="0"/>
        </c:dLbls>
        <c:gapWidth val="164"/>
        <c:overlap val="-22"/>
        <c:axId val="1055550303"/>
        <c:axId val="1055568191"/>
      </c:barChart>
      <c:catAx>
        <c:axId val="1055550303"/>
        <c:scaling>
          <c:orientation val="minMax"/>
        </c:scaling>
        <c:delete val="0"/>
        <c:axPos val="b"/>
        <c:numFmt formatCode="yyyy" sourceLinked="0"/>
        <c:majorTickMark val="none"/>
        <c:minorTickMark val="none"/>
        <c:tickLblPos val="nextTo"/>
        <c:spPr>
          <a:noFill/>
          <a:ln w="19050"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55568191"/>
        <c:crosses val="autoZero"/>
        <c:auto val="0"/>
        <c:lblAlgn val="ctr"/>
        <c:lblOffset val="100"/>
        <c:noMultiLvlLbl val="0"/>
      </c:catAx>
      <c:valAx>
        <c:axId val="1055568191"/>
        <c:scaling>
          <c:orientation val="minMax"/>
        </c:scaling>
        <c:delete val="1"/>
        <c:axPos val="l"/>
        <c:numFmt formatCode="0.00\x" sourceLinked="1"/>
        <c:majorTickMark val="none"/>
        <c:minorTickMark val="none"/>
        <c:tickLblPos val="nextTo"/>
        <c:crossAx val="1055550303"/>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1" i="0" u="none" strike="noStrike" kern="1200" cap="all" spc="150" baseline="0">
                <a:solidFill>
                  <a:schemeClr val="tx1"/>
                </a:solidFill>
                <a:latin typeface="Calibri" panose="020F0502020204030204" pitchFamily="34" charset="0"/>
                <a:ea typeface="+mn-ea"/>
                <a:cs typeface="Calibri" panose="020F0502020204030204" pitchFamily="34" charset="0"/>
              </a:defRPr>
            </a:pPr>
            <a:r>
              <a:rPr lang="en-IN" sz="900" b="1" baseline="0">
                <a:solidFill>
                  <a:schemeClr val="tx1"/>
                </a:solidFill>
                <a:latin typeface="Calibri" panose="020F0502020204030204" pitchFamily="34" charset="0"/>
                <a:cs typeface="Calibri" panose="020F0502020204030204" pitchFamily="34" charset="0"/>
              </a:rPr>
              <a:t>Sales</a:t>
            </a:r>
          </a:p>
        </c:rich>
      </c:tx>
      <c:overlay val="0"/>
      <c:spPr>
        <a:noFill/>
        <a:ln>
          <a:noFill/>
        </a:ln>
        <a:effectLst/>
      </c:spPr>
      <c:txPr>
        <a:bodyPr rot="0" spcFirstLastPara="1" vertOverflow="ellipsis" vert="horz" wrap="square" anchor="ctr" anchorCtr="1"/>
        <a:lstStyle/>
        <a:p>
          <a:pPr>
            <a:defRPr sz="900" b="1" i="0" u="none" strike="noStrike" kern="1200" cap="all" spc="150" baseline="0">
              <a:solidFill>
                <a:schemeClr val="tx1"/>
              </a:solidFill>
              <a:latin typeface="Calibri" panose="020F0502020204030204" pitchFamily="34" charset="0"/>
              <a:ea typeface="+mn-ea"/>
              <a:cs typeface="Calibri" panose="020F0502020204030204" pitchFamily="34" charset="0"/>
            </a:defRPr>
          </a:pPr>
          <a:endParaRPr lang="en-US"/>
        </a:p>
      </c:txPr>
    </c:title>
    <c:autoTitleDeleted val="0"/>
    <c:plotArea>
      <c:layout/>
      <c:barChart>
        <c:barDir val="col"/>
        <c:grouping val="clustered"/>
        <c:varyColors val="0"/>
        <c:ser>
          <c:idx val="0"/>
          <c:order val="0"/>
          <c:spPr>
            <a:solidFill>
              <a:schemeClr val="accent3">
                <a:lumMod val="75000"/>
              </a:schemeClr>
            </a:solidFill>
            <a:ln w="12700" cap="flat" cmpd="sng" algn="ctr">
              <a:noFill/>
              <a:prstDash val="solid"/>
            </a:ln>
            <a:effectLst/>
          </c:spPr>
          <c:invertIfNegative val="0"/>
          <c:dPt>
            <c:idx val="0"/>
            <c:invertIfNegative val="0"/>
            <c:bubble3D val="0"/>
            <c:spPr>
              <a:solidFill>
                <a:schemeClr val="accent3">
                  <a:lumMod val="60000"/>
                  <a:lumOff val="40000"/>
                </a:schemeClr>
              </a:solidFill>
              <a:ln w="12700" cap="flat" cmpd="sng" algn="ctr">
                <a:noFill/>
                <a:prstDash val="solid"/>
              </a:ln>
              <a:effectLst/>
            </c:spPr>
            <c:extLst>
              <c:ext xmlns:c16="http://schemas.microsoft.com/office/drawing/2014/chart" uri="{C3380CC4-5D6E-409C-BE32-E72D297353CC}">
                <c16:uniqueId val="{00000000-65EC-46FC-92CE-4FE6FEF778FC}"/>
              </c:ext>
            </c:extLst>
          </c:dPt>
          <c:dPt>
            <c:idx val="1"/>
            <c:invertIfNegative val="0"/>
            <c:bubble3D val="0"/>
            <c:spPr>
              <a:solidFill>
                <a:schemeClr val="accent3"/>
              </a:solidFill>
              <a:ln w="12700" cap="flat" cmpd="sng" algn="ctr">
                <a:noFill/>
                <a:prstDash val="solid"/>
              </a:ln>
              <a:effectLst/>
            </c:spPr>
            <c:extLst>
              <c:ext xmlns:c16="http://schemas.microsoft.com/office/drawing/2014/chart" uri="{C3380CC4-5D6E-409C-BE32-E72D297353CC}">
                <c16:uniqueId val="{00000001-65EC-46FC-92CE-4FE6FEF778FC}"/>
              </c:ext>
            </c:extLst>
          </c:dPt>
          <c:dPt>
            <c:idx val="2"/>
            <c:invertIfNegative val="0"/>
            <c:bubble3D val="0"/>
            <c:extLst>
              <c:ext xmlns:c16="http://schemas.microsoft.com/office/drawing/2014/chart" uri="{C3380CC4-5D6E-409C-BE32-E72D297353CC}">
                <c16:uniqueId val="{00000002-65EC-46FC-92CE-4FE6FEF778FC}"/>
              </c:ext>
            </c:extLst>
          </c:dPt>
          <c:dPt>
            <c:idx val="3"/>
            <c:invertIfNegative val="0"/>
            <c:bubble3D val="0"/>
            <c:spPr>
              <a:solidFill>
                <a:schemeClr val="accent3">
                  <a:lumMod val="50000"/>
                </a:schemeClr>
              </a:solidFill>
              <a:ln w="12700" cap="flat" cmpd="sng" algn="ctr">
                <a:noFill/>
                <a:prstDash val="solid"/>
              </a:ln>
              <a:effectLst/>
            </c:spPr>
            <c:extLst>
              <c:ext xmlns:c16="http://schemas.microsoft.com/office/drawing/2014/chart" uri="{C3380CC4-5D6E-409C-BE32-E72D297353CC}">
                <c16:uniqueId val="{00000003-65EC-46FC-92CE-4FE6FEF778FC}"/>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DuPont!$H$49:$K$49</c:f>
              <c:numCache>
                <c:formatCode>mmm/yyyy</c:formatCode>
                <c:ptCount val="4"/>
                <c:pt idx="0">
                  <c:v>44651</c:v>
                </c:pt>
                <c:pt idx="1">
                  <c:v>45016</c:v>
                </c:pt>
                <c:pt idx="2">
                  <c:v>45382</c:v>
                </c:pt>
                <c:pt idx="3">
                  <c:v>45747</c:v>
                </c:pt>
              </c:numCache>
            </c:numRef>
          </c:cat>
          <c:val>
            <c:numRef>
              <c:f>DuPont!$H$57:$K$57</c:f>
              <c:numCache>
                <c:formatCode>"₹"\ #,##0.00;\("₹"\ #,##0.00\);\-</c:formatCode>
                <c:ptCount val="4"/>
                <c:pt idx="0">
                  <c:v>52598.83</c:v>
                </c:pt>
                <c:pt idx="1">
                  <c:v>63239.98</c:v>
                </c:pt>
                <c:pt idx="2">
                  <c:v>70908.14</c:v>
                </c:pt>
                <c:pt idx="3">
                  <c:v>75955.13</c:v>
                </c:pt>
              </c:numCache>
            </c:numRef>
          </c:val>
          <c:extLst>
            <c:ext xmlns:c16="http://schemas.microsoft.com/office/drawing/2014/chart" uri="{C3380CC4-5D6E-409C-BE32-E72D297353CC}">
              <c16:uniqueId val="{00000000-622B-457B-B17A-5789D32620DC}"/>
            </c:ext>
          </c:extLst>
        </c:ser>
        <c:dLbls>
          <c:dLblPos val="outEnd"/>
          <c:showLegendKey val="0"/>
          <c:showVal val="1"/>
          <c:showCatName val="0"/>
          <c:showSerName val="0"/>
          <c:showPercent val="0"/>
          <c:showBubbleSize val="0"/>
        </c:dLbls>
        <c:gapWidth val="164"/>
        <c:overlap val="-22"/>
        <c:axId val="1055550303"/>
        <c:axId val="1055568191"/>
      </c:barChart>
      <c:catAx>
        <c:axId val="1055550303"/>
        <c:scaling>
          <c:orientation val="minMax"/>
        </c:scaling>
        <c:delete val="0"/>
        <c:axPos val="b"/>
        <c:numFmt formatCode="yyyy" sourceLinked="0"/>
        <c:majorTickMark val="none"/>
        <c:minorTickMark val="none"/>
        <c:tickLblPos val="nextTo"/>
        <c:spPr>
          <a:noFill/>
          <a:ln w="19050"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55568191"/>
        <c:crosses val="autoZero"/>
        <c:auto val="0"/>
        <c:lblAlgn val="ctr"/>
        <c:lblOffset val="100"/>
        <c:noMultiLvlLbl val="0"/>
      </c:catAx>
      <c:valAx>
        <c:axId val="1055568191"/>
        <c:scaling>
          <c:orientation val="minMax"/>
        </c:scaling>
        <c:delete val="1"/>
        <c:axPos val="l"/>
        <c:numFmt formatCode="&quot;₹&quot;\ #,##0.00;\(&quot;₹&quot;\ #,##0.00\);\-" sourceLinked="1"/>
        <c:majorTickMark val="none"/>
        <c:minorTickMark val="none"/>
        <c:tickLblPos val="nextTo"/>
        <c:crossAx val="1055550303"/>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1" i="0" u="none" strike="noStrike" kern="1200" cap="all" spc="150" baseline="0">
                <a:solidFill>
                  <a:schemeClr val="tx1"/>
                </a:solidFill>
                <a:latin typeface="Calibri" panose="020F0502020204030204" pitchFamily="34" charset="0"/>
                <a:ea typeface="+mn-ea"/>
                <a:cs typeface="Calibri" panose="020F0502020204030204" pitchFamily="34" charset="0"/>
              </a:defRPr>
            </a:pPr>
            <a:r>
              <a:rPr lang="en-IN" sz="900" b="1" baseline="0">
                <a:solidFill>
                  <a:schemeClr val="tx1"/>
                </a:solidFill>
                <a:latin typeface="Calibri" panose="020F0502020204030204" pitchFamily="34" charset="0"/>
                <a:cs typeface="Calibri" panose="020F0502020204030204" pitchFamily="34" charset="0"/>
              </a:rPr>
              <a:t>Return on Equity</a:t>
            </a:r>
          </a:p>
        </c:rich>
      </c:tx>
      <c:overlay val="0"/>
      <c:spPr>
        <a:noFill/>
        <a:ln>
          <a:noFill/>
        </a:ln>
        <a:effectLst/>
      </c:spPr>
      <c:txPr>
        <a:bodyPr rot="0" spcFirstLastPara="1" vertOverflow="ellipsis" vert="horz" wrap="square" anchor="ctr" anchorCtr="1"/>
        <a:lstStyle/>
        <a:p>
          <a:pPr>
            <a:defRPr sz="900" b="1" i="0" u="none" strike="noStrike" kern="1200" cap="all" spc="150" baseline="0">
              <a:solidFill>
                <a:schemeClr val="tx1"/>
              </a:solidFill>
              <a:latin typeface="Calibri" panose="020F0502020204030204" pitchFamily="34" charset="0"/>
              <a:ea typeface="+mn-ea"/>
              <a:cs typeface="Calibri" panose="020F0502020204030204" pitchFamily="34" charset="0"/>
            </a:defRPr>
          </a:pPr>
          <a:endParaRPr lang="en-US"/>
        </a:p>
      </c:txPr>
    </c:title>
    <c:autoTitleDeleted val="0"/>
    <c:plotArea>
      <c:layout/>
      <c:barChart>
        <c:barDir val="col"/>
        <c:grouping val="clustered"/>
        <c:varyColors val="0"/>
        <c:ser>
          <c:idx val="0"/>
          <c:order val="0"/>
          <c:spPr>
            <a:solidFill>
              <a:schemeClr val="accent3">
                <a:lumMod val="75000"/>
              </a:schemeClr>
            </a:solidFill>
            <a:ln w="12700" cap="flat" cmpd="sng" algn="ctr">
              <a:noFill/>
              <a:prstDash val="solid"/>
            </a:ln>
            <a:effectLst/>
          </c:spPr>
          <c:invertIfNegative val="0"/>
          <c:dPt>
            <c:idx val="0"/>
            <c:invertIfNegative val="0"/>
            <c:bubble3D val="0"/>
            <c:spPr>
              <a:solidFill>
                <a:schemeClr val="accent3">
                  <a:lumMod val="50000"/>
                </a:schemeClr>
              </a:solidFill>
              <a:ln w="12700" cap="flat" cmpd="sng" algn="ctr">
                <a:noFill/>
                <a:prstDash val="solid"/>
              </a:ln>
              <a:effectLst/>
            </c:spPr>
            <c:extLst>
              <c:ext xmlns:c16="http://schemas.microsoft.com/office/drawing/2014/chart" uri="{C3380CC4-5D6E-409C-BE32-E72D297353CC}">
                <c16:uniqueId val="{00000003-9DE2-4193-AF6F-873F92BF84CC}"/>
              </c:ext>
            </c:extLst>
          </c:dPt>
          <c:dPt>
            <c:idx val="1"/>
            <c:invertIfNegative val="0"/>
            <c:bubble3D val="0"/>
            <c:spPr>
              <a:solidFill>
                <a:schemeClr val="accent3"/>
              </a:solidFill>
              <a:ln w="12700" cap="flat" cmpd="sng" algn="ctr">
                <a:noFill/>
                <a:prstDash val="solid"/>
              </a:ln>
              <a:effectLst/>
            </c:spPr>
            <c:extLst>
              <c:ext xmlns:c16="http://schemas.microsoft.com/office/drawing/2014/chart" uri="{C3380CC4-5D6E-409C-BE32-E72D297353CC}">
                <c16:uniqueId val="{00000000-6DD7-4C38-82A4-CE2B93DD0665}"/>
              </c:ext>
            </c:extLst>
          </c:dPt>
          <c:dPt>
            <c:idx val="2"/>
            <c:invertIfNegative val="0"/>
            <c:bubble3D val="0"/>
            <c:extLst>
              <c:ext xmlns:c16="http://schemas.microsoft.com/office/drawing/2014/chart" uri="{C3380CC4-5D6E-409C-BE32-E72D297353CC}">
                <c16:uniqueId val="{00000001-6DD7-4C38-82A4-CE2B93DD0665}"/>
              </c:ext>
            </c:extLst>
          </c:dPt>
          <c:dPt>
            <c:idx val="3"/>
            <c:invertIfNegative val="0"/>
            <c:bubble3D val="0"/>
            <c:spPr>
              <a:solidFill>
                <a:schemeClr val="accent3">
                  <a:lumMod val="60000"/>
                  <a:lumOff val="40000"/>
                </a:schemeClr>
              </a:solidFill>
              <a:ln w="12700" cap="flat" cmpd="sng" algn="ctr">
                <a:noFill/>
                <a:prstDash val="solid"/>
              </a:ln>
              <a:effectLst/>
            </c:spPr>
            <c:extLst>
              <c:ext xmlns:c16="http://schemas.microsoft.com/office/drawing/2014/chart" uri="{C3380CC4-5D6E-409C-BE32-E72D297353CC}">
                <c16:uniqueId val="{00000002-6DD7-4C38-82A4-CE2B93DD066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DuPont!$H$49:$K$49</c:f>
              <c:numCache>
                <c:formatCode>mmm/yyyy</c:formatCode>
                <c:ptCount val="4"/>
                <c:pt idx="0">
                  <c:v>44651</c:v>
                </c:pt>
                <c:pt idx="1">
                  <c:v>45016</c:v>
                </c:pt>
                <c:pt idx="2">
                  <c:v>45382</c:v>
                </c:pt>
                <c:pt idx="3">
                  <c:v>45747</c:v>
                </c:pt>
              </c:numCache>
            </c:numRef>
          </c:cat>
          <c:val>
            <c:numRef>
              <c:f>DuPont!$H$52:$K$52</c:f>
              <c:numCache>
                <c:formatCode>0.00%</c:formatCode>
                <c:ptCount val="4"/>
                <c:pt idx="0">
                  <c:v>0.15504204367511029</c:v>
                </c:pt>
                <c:pt idx="1">
                  <c:v>9.6857754896653658E-2</c:v>
                </c:pt>
                <c:pt idx="2">
                  <c:v>0.12228435605063978</c:v>
                </c:pt>
                <c:pt idx="3">
                  <c:v>9.2254547606909723E-2</c:v>
                </c:pt>
              </c:numCache>
            </c:numRef>
          </c:val>
          <c:extLst>
            <c:ext xmlns:c16="http://schemas.microsoft.com/office/drawing/2014/chart" uri="{C3380CC4-5D6E-409C-BE32-E72D297353CC}">
              <c16:uniqueId val="{00000000-4B16-4E4B-A4F6-B83D6E8FC469}"/>
            </c:ext>
          </c:extLst>
        </c:ser>
        <c:dLbls>
          <c:dLblPos val="outEnd"/>
          <c:showLegendKey val="0"/>
          <c:showVal val="1"/>
          <c:showCatName val="0"/>
          <c:showSerName val="0"/>
          <c:showPercent val="0"/>
          <c:showBubbleSize val="0"/>
        </c:dLbls>
        <c:gapWidth val="164"/>
        <c:overlap val="-22"/>
        <c:axId val="1055550303"/>
        <c:axId val="1055568191"/>
      </c:barChart>
      <c:catAx>
        <c:axId val="1055550303"/>
        <c:scaling>
          <c:orientation val="minMax"/>
        </c:scaling>
        <c:delete val="0"/>
        <c:axPos val="b"/>
        <c:numFmt formatCode="yyyy" sourceLinked="0"/>
        <c:majorTickMark val="none"/>
        <c:minorTickMark val="none"/>
        <c:tickLblPos val="nextTo"/>
        <c:spPr>
          <a:noFill/>
          <a:ln w="19050"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55568191"/>
        <c:crosses val="autoZero"/>
        <c:auto val="0"/>
        <c:lblAlgn val="ctr"/>
        <c:lblOffset val="100"/>
        <c:noMultiLvlLbl val="0"/>
      </c:catAx>
      <c:valAx>
        <c:axId val="1055568191"/>
        <c:scaling>
          <c:orientation val="minMax"/>
        </c:scaling>
        <c:delete val="1"/>
        <c:axPos val="l"/>
        <c:numFmt formatCode="0.00%" sourceLinked="1"/>
        <c:majorTickMark val="none"/>
        <c:minorTickMark val="none"/>
        <c:tickLblPos val="nextTo"/>
        <c:crossAx val="1055550303"/>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1" i="0" u="none" strike="noStrike" kern="1200" cap="all" spc="150" baseline="0">
                <a:solidFill>
                  <a:schemeClr val="tx1"/>
                </a:solidFill>
                <a:latin typeface="Calibri" panose="020F0502020204030204" pitchFamily="34" charset="0"/>
                <a:ea typeface="+mn-ea"/>
                <a:cs typeface="Calibri" panose="020F0502020204030204" pitchFamily="34" charset="0"/>
              </a:defRPr>
            </a:pPr>
            <a:r>
              <a:rPr lang="en-IN" sz="900" b="1" baseline="0">
                <a:solidFill>
                  <a:schemeClr val="tx1"/>
                </a:solidFill>
                <a:latin typeface="Calibri" panose="020F0502020204030204" pitchFamily="34" charset="0"/>
                <a:cs typeface="Calibri" panose="020F0502020204030204" pitchFamily="34" charset="0"/>
              </a:rPr>
              <a:t>Return On Assets</a:t>
            </a:r>
          </a:p>
        </c:rich>
      </c:tx>
      <c:overlay val="0"/>
      <c:spPr>
        <a:noFill/>
        <a:ln>
          <a:noFill/>
        </a:ln>
        <a:effectLst/>
      </c:spPr>
      <c:txPr>
        <a:bodyPr rot="0" spcFirstLastPara="1" vertOverflow="ellipsis" vert="horz" wrap="square" anchor="ctr" anchorCtr="1"/>
        <a:lstStyle/>
        <a:p>
          <a:pPr>
            <a:defRPr sz="900" b="1" i="0" u="none" strike="noStrike" kern="1200" cap="all" spc="150" baseline="0">
              <a:solidFill>
                <a:schemeClr val="tx1"/>
              </a:solidFill>
              <a:latin typeface="Calibri" panose="020F0502020204030204" pitchFamily="34" charset="0"/>
              <a:ea typeface="+mn-ea"/>
              <a:cs typeface="Calibri" panose="020F0502020204030204" pitchFamily="34" charset="0"/>
            </a:defRPr>
          </a:pPr>
          <a:endParaRPr lang="en-US"/>
        </a:p>
      </c:txPr>
    </c:title>
    <c:autoTitleDeleted val="0"/>
    <c:plotArea>
      <c:layout/>
      <c:barChart>
        <c:barDir val="col"/>
        <c:grouping val="clustered"/>
        <c:varyColors val="0"/>
        <c:ser>
          <c:idx val="0"/>
          <c:order val="0"/>
          <c:spPr>
            <a:solidFill>
              <a:schemeClr val="accent3">
                <a:lumMod val="75000"/>
              </a:schemeClr>
            </a:solidFill>
            <a:ln w="12700" cap="flat" cmpd="sng" algn="ctr">
              <a:noFill/>
              <a:prstDash val="solid"/>
            </a:ln>
            <a:effectLst/>
          </c:spPr>
          <c:invertIfNegative val="0"/>
          <c:dPt>
            <c:idx val="0"/>
            <c:invertIfNegative val="0"/>
            <c:bubble3D val="0"/>
            <c:spPr>
              <a:solidFill>
                <a:schemeClr val="accent3">
                  <a:lumMod val="50000"/>
                </a:schemeClr>
              </a:solidFill>
              <a:ln w="12700" cap="flat" cmpd="sng" algn="ctr">
                <a:noFill/>
                <a:prstDash val="solid"/>
              </a:ln>
              <a:effectLst/>
            </c:spPr>
            <c:extLst>
              <c:ext xmlns:c16="http://schemas.microsoft.com/office/drawing/2014/chart" uri="{C3380CC4-5D6E-409C-BE32-E72D297353CC}">
                <c16:uniqueId val="{00000000-9747-4241-A2B7-8D5819EAD6E4}"/>
              </c:ext>
            </c:extLst>
          </c:dPt>
          <c:dPt>
            <c:idx val="1"/>
            <c:invertIfNegative val="0"/>
            <c:bubble3D val="0"/>
            <c:spPr>
              <a:solidFill>
                <a:schemeClr val="accent3"/>
              </a:solidFill>
              <a:ln w="12700" cap="flat" cmpd="sng" algn="ctr">
                <a:noFill/>
                <a:prstDash val="solid"/>
              </a:ln>
              <a:effectLst/>
            </c:spPr>
            <c:extLst>
              <c:ext xmlns:c16="http://schemas.microsoft.com/office/drawing/2014/chart" uri="{C3380CC4-5D6E-409C-BE32-E72D297353CC}">
                <c16:uniqueId val="{00000001-9747-4241-A2B7-8D5819EAD6E4}"/>
              </c:ext>
            </c:extLst>
          </c:dPt>
          <c:dPt>
            <c:idx val="2"/>
            <c:invertIfNegative val="0"/>
            <c:bubble3D val="0"/>
            <c:extLst>
              <c:ext xmlns:c16="http://schemas.microsoft.com/office/drawing/2014/chart" uri="{C3380CC4-5D6E-409C-BE32-E72D297353CC}">
                <c16:uniqueId val="{00000002-9747-4241-A2B7-8D5819EAD6E4}"/>
              </c:ext>
            </c:extLst>
          </c:dPt>
          <c:dPt>
            <c:idx val="3"/>
            <c:invertIfNegative val="0"/>
            <c:bubble3D val="0"/>
            <c:spPr>
              <a:solidFill>
                <a:schemeClr val="accent3">
                  <a:lumMod val="60000"/>
                  <a:lumOff val="40000"/>
                </a:schemeClr>
              </a:solidFill>
              <a:ln w="12700" cap="flat" cmpd="sng" algn="ctr">
                <a:noFill/>
                <a:prstDash val="solid"/>
              </a:ln>
              <a:effectLst/>
            </c:spPr>
            <c:extLst>
              <c:ext xmlns:c16="http://schemas.microsoft.com/office/drawing/2014/chart" uri="{C3380CC4-5D6E-409C-BE32-E72D297353CC}">
                <c16:uniqueId val="{00000003-9747-4241-A2B7-8D5819EAD6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DuPont!$H$73:$K$73</c:f>
              <c:numCache>
                <c:formatCode>mmm/yyyy</c:formatCode>
                <c:ptCount val="4"/>
                <c:pt idx="0">
                  <c:v>44651</c:v>
                </c:pt>
                <c:pt idx="1">
                  <c:v>45016</c:v>
                </c:pt>
                <c:pt idx="2">
                  <c:v>45382</c:v>
                </c:pt>
                <c:pt idx="3">
                  <c:v>45747</c:v>
                </c:pt>
              </c:numCache>
            </c:numRef>
          </c:cat>
          <c:val>
            <c:numRef>
              <c:f>DuPont!$H$76:$K$76</c:f>
              <c:numCache>
                <c:formatCode>0.00%</c:formatCode>
                <c:ptCount val="4"/>
                <c:pt idx="0">
                  <c:v>8.6291609532661157E-2</c:v>
                </c:pt>
                <c:pt idx="1">
                  <c:v>5.7918222675211406E-2</c:v>
                </c:pt>
                <c:pt idx="2">
                  <c:v>7.2890527096536997E-2</c:v>
                </c:pt>
                <c:pt idx="3">
                  <c:v>5.1526352287985404E-2</c:v>
                </c:pt>
              </c:numCache>
            </c:numRef>
          </c:val>
          <c:extLst>
            <c:ext xmlns:c16="http://schemas.microsoft.com/office/drawing/2014/chart" uri="{C3380CC4-5D6E-409C-BE32-E72D297353CC}">
              <c16:uniqueId val="{00000000-6829-4EA0-9CF1-CB724B317C9C}"/>
            </c:ext>
          </c:extLst>
        </c:ser>
        <c:dLbls>
          <c:dLblPos val="outEnd"/>
          <c:showLegendKey val="0"/>
          <c:showVal val="1"/>
          <c:showCatName val="0"/>
          <c:showSerName val="0"/>
          <c:showPercent val="0"/>
          <c:showBubbleSize val="0"/>
        </c:dLbls>
        <c:gapWidth val="164"/>
        <c:overlap val="-22"/>
        <c:axId val="1055550303"/>
        <c:axId val="1055568191"/>
      </c:barChart>
      <c:catAx>
        <c:axId val="1055550303"/>
        <c:scaling>
          <c:orientation val="minMax"/>
        </c:scaling>
        <c:delete val="0"/>
        <c:axPos val="b"/>
        <c:numFmt formatCode="yyyy" sourceLinked="0"/>
        <c:majorTickMark val="none"/>
        <c:minorTickMark val="none"/>
        <c:tickLblPos val="nextTo"/>
        <c:spPr>
          <a:noFill/>
          <a:ln w="19050"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55568191"/>
        <c:crosses val="autoZero"/>
        <c:auto val="0"/>
        <c:lblAlgn val="ctr"/>
        <c:lblOffset val="100"/>
        <c:noMultiLvlLbl val="0"/>
      </c:catAx>
      <c:valAx>
        <c:axId val="1055568191"/>
        <c:scaling>
          <c:orientation val="minMax"/>
        </c:scaling>
        <c:delete val="1"/>
        <c:axPos val="l"/>
        <c:numFmt formatCode="0.00%" sourceLinked="1"/>
        <c:majorTickMark val="none"/>
        <c:minorTickMark val="none"/>
        <c:tickLblPos val="nextTo"/>
        <c:crossAx val="1055550303"/>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1" i="0" u="none" strike="noStrike" kern="1200" cap="all" spc="150" baseline="0">
                <a:solidFill>
                  <a:schemeClr val="tx1"/>
                </a:solidFill>
                <a:latin typeface="Calibri" panose="020F0502020204030204" pitchFamily="34" charset="0"/>
                <a:ea typeface="+mn-ea"/>
                <a:cs typeface="Calibri" panose="020F0502020204030204" pitchFamily="34" charset="0"/>
              </a:defRPr>
            </a:pPr>
            <a:r>
              <a:rPr lang="en-IN" sz="900" b="1" baseline="0">
                <a:solidFill>
                  <a:schemeClr val="tx1"/>
                </a:solidFill>
                <a:latin typeface="Calibri" panose="020F0502020204030204" pitchFamily="34" charset="0"/>
                <a:cs typeface="Calibri" panose="020F0502020204030204" pitchFamily="34" charset="0"/>
              </a:rPr>
              <a:t>Net Margin</a:t>
            </a:r>
          </a:p>
        </c:rich>
      </c:tx>
      <c:overlay val="0"/>
      <c:spPr>
        <a:noFill/>
        <a:ln>
          <a:noFill/>
        </a:ln>
        <a:effectLst/>
      </c:spPr>
      <c:txPr>
        <a:bodyPr rot="0" spcFirstLastPara="1" vertOverflow="ellipsis" vert="horz" wrap="square" anchor="ctr" anchorCtr="1"/>
        <a:lstStyle/>
        <a:p>
          <a:pPr>
            <a:defRPr sz="900" b="1" i="0" u="none" strike="noStrike" kern="1200" cap="all" spc="150" baseline="0">
              <a:solidFill>
                <a:schemeClr val="tx1"/>
              </a:solidFill>
              <a:latin typeface="Calibri" panose="020F0502020204030204" pitchFamily="34" charset="0"/>
              <a:ea typeface="+mn-ea"/>
              <a:cs typeface="Calibri" panose="020F0502020204030204" pitchFamily="34" charset="0"/>
            </a:defRPr>
          </a:pPr>
          <a:endParaRPr lang="en-US"/>
        </a:p>
      </c:txPr>
    </c:title>
    <c:autoTitleDeleted val="0"/>
    <c:plotArea>
      <c:layout/>
      <c:barChart>
        <c:barDir val="col"/>
        <c:grouping val="clustered"/>
        <c:varyColors val="0"/>
        <c:ser>
          <c:idx val="0"/>
          <c:order val="0"/>
          <c:spPr>
            <a:solidFill>
              <a:schemeClr val="accent3">
                <a:lumMod val="75000"/>
              </a:schemeClr>
            </a:solidFill>
            <a:ln w="12700" cap="flat" cmpd="sng" algn="ctr">
              <a:noFill/>
              <a:prstDash val="solid"/>
            </a:ln>
            <a:effectLst/>
          </c:spPr>
          <c:invertIfNegative val="0"/>
          <c:dPt>
            <c:idx val="0"/>
            <c:invertIfNegative val="0"/>
            <c:bubble3D val="0"/>
            <c:spPr>
              <a:solidFill>
                <a:schemeClr val="accent3">
                  <a:lumMod val="50000"/>
                </a:schemeClr>
              </a:solidFill>
              <a:ln w="12700" cap="flat" cmpd="sng" algn="ctr">
                <a:noFill/>
                <a:prstDash val="solid"/>
              </a:ln>
              <a:effectLst/>
            </c:spPr>
            <c:extLst>
              <c:ext xmlns:c16="http://schemas.microsoft.com/office/drawing/2014/chart" uri="{C3380CC4-5D6E-409C-BE32-E72D297353CC}">
                <c16:uniqueId val="{00000000-99C2-4311-BFD2-790DDA3177BB}"/>
              </c:ext>
            </c:extLst>
          </c:dPt>
          <c:dPt>
            <c:idx val="1"/>
            <c:invertIfNegative val="0"/>
            <c:bubble3D val="0"/>
            <c:spPr>
              <a:solidFill>
                <a:schemeClr val="accent3"/>
              </a:solidFill>
              <a:ln w="12700" cap="flat" cmpd="sng" algn="ctr">
                <a:noFill/>
                <a:prstDash val="solid"/>
              </a:ln>
              <a:effectLst/>
            </c:spPr>
            <c:extLst>
              <c:ext xmlns:c16="http://schemas.microsoft.com/office/drawing/2014/chart" uri="{C3380CC4-5D6E-409C-BE32-E72D297353CC}">
                <c16:uniqueId val="{00000001-99C2-4311-BFD2-790DDA3177BB}"/>
              </c:ext>
            </c:extLst>
          </c:dPt>
          <c:dPt>
            <c:idx val="2"/>
            <c:invertIfNegative val="0"/>
            <c:bubble3D val="0"/>
            <c:extLst>
              <c:ext xmlns:c16="http://schemas.microsoft.com/office/drawing/2014/chart" uri="{C3380CC4-5D6E-409C-BE32-E72D297353CC}">
                <c16:uniqueId val="{00000002-99C2-4311-BFD2-790DDA3177BB}"/>
              </c:ext>
            </c:extLst>
          </c:dPt>
          <c:dPt>
            <c:idx val="3"/>
            <c:invertIfNegative val="0"/>
            <c:bubble3D val="0"/>
            <c:spPr>
              <a:solidFill>
                <a:schemeClr val="accent3">
                  <a:lumMod val="60000"/>
                  <a:lumOff val="40000"/>
                </a:schemeClr>
              </a:solidFill>
              <a:ln w="12700" cap="flat" cmpd="sng" algn="ctr">
                <a:noFill/>
                <a:prstDash val="solid"/>
              </a:ln>
              <a:effectLst/>
            </c:spPr>
            <c:extLst>
              <c:ext xmlns:c16="http://schemas.microsoft.com/office/drawing/2014/chart" uri="{C3380CC4-5D6E-409C-BE32-E72D297353CC}">
                <c16:uniqueId val="{00000003-99C2-4311-BFD2-790DDA3177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DuPont!$H$55:$K$55</c:f>
              <c:numCache>
                <c:formatCode>mmm/yyyy</c:formatCode>
                <c:ptCount val="4"/>
                <c:pt idx="0">
                  <c:v>44651</c:v>
                </c:pt>
                <c:pt idx="1">
                  <c:v>45016</c:v>
                </c:pt>
                <c:pt idx="2">
                  <c:v>45382</c:v>
                </c:pt>
                <c:pt idx="3">
                  <c:v>45747</c:v>
                </c:pt>
              </c:numCache>
            </c:numRef>
          </c:cat>
          <c:val>
            <c:numRef>
              <c:f>DuPont!$H$58:$K$58</c:f>
              <c:numCache>
                <c:formatCode>0.00%</c:formatCode>
                <c:ptCount val="4"/>
                <c:pt idx="0">
                  <c:v>0.13943770232151551</c:v>
                </c:pt>
                <c:pt idx="1">
                  <c:v>8.0224566800938313E-2</c:v>
                </c:pt>
                <c:pt idx="2">
                  <c:v>9.8775119471474007E-2</c:v>
                </c:pt>
                <c:pt idx="3">
                  <c:v>7.9515893133222326E-2</c:v>
                </c:pt>
              </c:numCache>
            </c:numRef>
          </c:val>
          <c:extLst>
            <c:ext xmlns:c16="http://schemas.microsoft.com/office/drawing/2014/chart" uri="{C3380CC4-5D6E-409C-BE32-E72D297353CC}">
              <c16:uniqueId val="{00000000-4442-45EA-BAC3-4BBAD9500EBD}"/>
            </c:ext>
          </c:extLst>
        </c:ser>
        <c:dLbls>
          <c:dLblPos val="outEnd"/>
          <c:showLegendKey val="0"/>
          <c:showVal val="1"/>
          <c:showCatName val="0"/>
          <c:showSerName val="0"/>
          <c:showPercent val="0"/>
          <c:showBubbleSize val="0"/>
        </c:dLbls>
        <c:gapWidth val="164"/>
        <c:overlap val="-22"/>
        <c:axId val="1055550303"/>
        <c:axId val="1055568191"/>
      </c:barChart>
      <c:catAx>
        <c:axId val="1055550303"/>
        <c:scaling>
          <c:orientation val="minMax"/>
        </c:scaling>
        <c:delete val="0"/>
        <c:axPos val="b"/>
        <c:numFmt formatCode="yyyy" sourceLinked="0"/>
        <c:majorTickMark val="none"/>
        <c:minorTickMark val="none"/>
        <c:tickLblPos val="nextTo"/>
        <c:spPr>
          <a:noFill/>
          <a:ln w="19050"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55568191"/>
        <c:crosses val="autoZero"/>
        <c:auto val="0"/>
        <c:lblAlgn val="ctr"/>
        <c:lblOffset val="100"/>
        <c:noMultiLvlLbl val="0"/>
      </c:catAx>
      <c:valAx>
        <c:axId val="1055568191"/>
        <c:scaling>
          <c:orientation val="minMax"/>
        </c:scaling>
        <c:delete val="1"/>
        <c:axPos val="l"/>
        <c:numFmt formatCode="0.00%" sourceLinked="1"/>
        <c:majorTickMark val="none"/>
        <c:minorTickMark val="none"/>
        <c:tickLblPos val="nextTo"/>
        <c:crossAx val="1055550303"/>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1" i="0" u="none" strike="noStrike" kern="1200" cap="all" spc="150" baseline="0">
                <a:solidFill>
                  <a:schemeClr val="tx1"/>
                </a:solidFill>
                <a:latin typeface="Calibri" panose="020F0502020204030204" pitchFamily="34" charset="0"/>
                <a:ea typeface="+mn-ea"/>
                <a:cs typeface="Calibri" panose="020F0502020204030204" pitchFamily="34" charset="0"/>
              </a:defRPr>
            </a:pPr>
            <a:r>
              <a:rPr lang="en-IN" sz="900" b="1" baseline="0">
                <a:solidFill>
                  <a:schemeClr val="tx1"/>
                </a:solidFill>
                <a:latin typeface="Calibri" panose="020F0502020204030204" pitchFamily="34" charset="0"/>
                <a:cs typeface="Calibri" panose="020F0502020204030204" pitchFamily="34" charset="0"/>
              </a:rPr>
              <a:t>Asset Turnover ratio</a:t>
            </a:r>
          </a:p>
        </c:rich>
      </c:tx>
      <c:overlay val="0"/>
      <c:spPr>
        <a:noFill/>
        <a:ln>
          <a:noFill/>
        </a:ln>
        <a:effectLst/>
      </c:spPr>
      <c:txPr>
        <a:bodyPr rot="0" spcFirstLastPara="1" vertOverflow="ellipsis" vert="horz" wrap="square" anchor="ctr" anchorCtr="1"/>
        <a:lstStyle/>
        <a:p>
          <a:pPr>
            <a:defRPr sz="900" b="1" i="0" u="none" strike="noStrike" kern="1200" cap="all" spc="150" baseline="0">
              <a:solidFill>
                <a:schemeClr val="tx1"/>
              </a:solidFill>
              <a:latin typeface="Calibri" panose="020F0502020204030204" pitchFamily="34" charset="0"/>
              <a:ea typeface="+mn-ea"/>
              <a:cs typeface="Calibri" panose="020F0502020204030204" pitchFamily="34" charset="0"/>
            </a:defRPr>
          </a:pPr>
          <a:endParaRPr lang="en-US"/>
        </a:p>
      </c:txPr>
    </c:title>
    <c:autoTitleDeleted val="0"/>
    <c:plotArea>
      <c:layout/>
      <c:barChart>
        <c:barDir val="col"/>
        <c:grouping val="clustered"/>
        <c:varyColors val="0"/>
        <c:ser>
          <c:idx val="0"/>
          <c:order val="0"/>
          <c:spPr>
            <a:solidFill>
              <a:schemeClr val="accent3">
                <a:lumMod val="60000"/>
                <a:lumOff val="40000"/>
              </a:schemeClr>
            </a:solidFill>
            <a:ln w="12700" cap="flat" cmpd="sng" algn="ctr">
              <a:noFill/>
              <a:prstDash val="solid"/>
            </a:ln>
            <a:effectLst/>
          </c:spPr>
          <c:invertIfNegative val="0"/>
          <c:dPt>
            <c:idx val="0"/>
            <c:invertIfNegative val="0"/>
            <c:bubble3D val="0"/>
            <c:extLst>
              <c:ext xmlns:c16="http://schemas.microsoft.com/office/drawing/2014/chart" uri="{C3380CC4-5D6E-409C-BE32-E72D297353CC}">
                <c16:uniqueId val="{00000000-AE4A-4872-A467-6006A4698AA5}"/>
              </c:ext>
            </c:extLst>
          </c:dPt>
          <c:dPt>
            <c:idx val="1"/>
            <c:invertIfNegative val="0"/>
            <c:bubble3D val="0"/>
            <c:spPr>
              <a:solidFill>
                <a:schemeClr val="accent3">
                  <a:lumMod val="75000"/>
                </a:schemeClr>
              </a:solidFill>
              <a:ln w="12700" cap="flat" cmpd="sng" algn="ctr">
                <a:noFill/>
                <a:prstDash val="solid"/>
              </a:ln>
              <a:effectLst/>
            </c:spPr>
            <c:extLst>
              <c:ext xmlns:c16="http://schemas.microsoft.com/office/drawing/2014/chart" uri="{C3380CC4-5D6E-409C-BE32-E72D297353CC}">
                <c16:uniqueId val="{00000001-AE4A-4872-A467-6006A4698AA5}"/>
              </c:ext>
            </c:extLst>
          </c:dPt>
          <c:dPt>
            <c:idx val="2"/>
            <c:invertIfNegative val="0"/>
            <c:bubble3D val="0"/>
            <c:spPr>
              <a:solidFill>
                <a:schemeClr val="accent3">
                  <a:lumMod val="50000"/>
                </a:schemeClr>
              </a:solidFill>
              <a:ln w="12700" cap="flat" cmpd="sng" algn="ctr">
                <a:noFill/>
                <a:prstDash val="solid"/>
              </a:ln>
              <a:effectLst/>
            </c:spPr>
            <c:extLst>
              <c:ext xmlns:c16="http://schemas.microsoft.com/office/drawing/2014/chart" uri="{C3380CC4-5D6E-409C-BE32-E72D297353CC}">
                <c16:uniqueId val="{00000002-AE4A-4872-A467-6006A4698AA5}"/>
              </c:ext>
            </c:extLst>
          </c:dPt>
          <c:dPt>
            <c:idx val="3"/>
            <c:invertIfNegative val="0"/>
            <c:bubble3D val="0"/>
            <c:spPr>
              <a:solidFill>
                <a:schemeClr val="accent3"/>
              </a:solidFill>
              <a:ln w="12700" cap="flat" cmpd="sng" algn="ctr">
                <a:noFill/>
                <a:prstDash val="solid"/>
              </a:ln>
              <a:effectLst/>
            </c:spPr>
            <c:extLst>
              <c:ext xmlns:c16="http://schemas.microsoft.com/office/drawing/2014/chart" uri="{C3380CC4-5D6E-409C-BE32-E72D297353CC}">
                <c16:uniqueId val="{00000003-AE4A-4872-A467-6006A4698AA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DuPont!$H$55:$K$55</c:f>
              <c:numCache>
                <c:formatCode>mmm/yyyy</c:formatCode>
                <c:ptCount val="4"/>
                <c:pt idx="0">
                  <c:v>44651</c:v>
                </c:pt>
                <c:pt idx="1">
                  <c:v>45016</c:v>
                </c:pt>
                <c:pt idx="2">
                  <c:v>45382</c:v>
                </c:pt>
                <c:pt idx="3">
                  <c:v>45747</c:v>
                </c:pt>
              </c:numCache>
            </c:numRef>
          </c:cat>
          <c:val>
            <c:numRef>
              <c:f>DuPont!$H$62:$K$62</c:f>
              <c:numCache>
                <c:formatCode>0.00\x</c:formatCode>
                <c:ptCount val="4"/>
                <c:pt idx="0">
                  <c:v>0.61885421299965138</c:v>
                </c:pt>
                <c:pt idx="1">
                  <c:v>0.72195120503329391</c:v>
                </c:pt>
                <c:pt idx="2">
                  <c:v>0.73794420585426457</c:v>
                </c:pt>
                <c:pt idx="3">
                  <c:v>0.64800067329505118</c:v>
                </c:pt>
              </c:numCache>
            </c:numRef>
          </c:val>
          <c:extLst>
            <c:ext xmlns:c16="http://schemas.microsoft.com/office/drawing/2014/chart" uri="{C3380CC4-5D6E-409C-BE32-E72D297353CC}">
              <c16:uniqueId val="{00000000-E5A1-4F06-A1C4-5A11D22480F7}"/>
            </c:ext>
          </c:extLst>
        </c:ser>
        <c:dLbls>
          <c:dLblPos val="outEnd"/>
          <c:showLegendKey val="0"/>
          <c:showVal val="1"/>
          <c:showCatName val="0"/>
          <c:showSerName val="0"/>
          <c:showPercent val="0"/>
          <c:showBubbleSize val="0"/>
        </c:dLbls>
        <c:gapWidth val="164"/>
        <c:overlap val="-22"/>
        <c:axId val="1055550303"/>
        <c:axId val="1055568191"/>
      </c:barChart>
      <c:catAx>
        <c:axId val="1055550303"/>
        <c:scaling>
          <c:orientation val="minMax"/>
        </c:scaling>
        <c:delete val="0"/>
        <c:axPos val="b"/>
        <c:numFmt formatCode="yyyy" sourceLinked="0"/>
        <c:majorTickMark val="none"/>
        <c:minorTickMark val="none"/>
        <c:tickLblPos val="nextTo"/>
        <c:spPr>
          <a:noFill/>
          <a:ln w="19050"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55568191"/>
        <c:crosses val="autoZero"/>
        <c:auto val="0"/>
        <c:lblAlgn val="ctr"/>
        <c:lblOffset val="100"/>
        <c:noMultiLvlLbl val="0"/>
      </c:catAx>
      <c:valAx>
        <c:axId val="1055568191"/>
        <c:scaling>
          <c:orientation val="minMax"/>
        </c:scaling>
        <c:delete val="1"/>
        <c:axPos val="l"/>
        <c:numFmt formatCode="0.00\x" sourceLinked="1"/>
        <c:majorTickMark val="none"/>
        <c:minorTickMark val="none"/>
        <c:tickLblPos val="nextTo"/>
        <c:crossAx val="1055550303"/>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1" i="0" u="none" strike="noStrike" kern="1200" cap="all" spc="150" baseline="0">
                <a:solidFill>
                  <a:schemeClr val="tx1"/>
                </a:solidFill>
                <a:latin typeface="Calibri" panose="020F0502020204030204" pitchFamily="34" charset="0"/>
                <a:ea typeface="+mn-ea"/>
                <a:cs typeface="Calibri" panose="020F0502020204030204" pitchFamily="34" charset="0"/>
              </a:defRPr>
            </a:pPr>
            <a:r>
              <a:rPr lang="en-IN" sz="900" b="1" baseline="0">
                <a:solidFill>
                  <a:schemeClr val="tx1"/>
                </a:solidFill>
                <a:latin typeface="Calibri" panose="020F0502020204030204" pitchFamily="34" charset="0"/>
                <a:cs typeface="Calibri" panose="020F0502020204030204" pitchFamily="34" charset="0"/>
              </a:rPr>
              <a:t>Retained Earnings/TA</a:t>
            </a:r>
          </a:p>
        </c:rich>
      </c:tx>
      <c:overlay val="0"/>
      <c:spPr>
        <a:noFill/>
        <a:ln>
          <a:noFill/>
        </a:ln>
        <a:effectLst/>
      </c:spPr>
      <c:txPr>
        <a:bodyPr rot="0" spcFirstLastPara="1" vertOverflow="ellipsis" vert="horz" wrap="square" anchor="ctr" anchorCtr="1"/>
        <a:lstStyle/>
        <a:p>
          <a:pPr>
            <a:defRPr sz="900" b="1" i="0" u="none" strike="noStrike" kern="1200" cap="all" spc="150" baseline="0">
              <a:solidFill>
                <a:schemeClr val="tx1"/>
              </a:solidFill>
              <a:latin typeface="Calibri" panose="020F0502020204030204" pitchFamily="34" charset="0"/>
              <a:ea typeface="+mn-ea"/>
              <a:cs typeface="Calibri" panose="020F0502020204030204" pitchFamily="34" charset="0"/>
            </a:defRPr>
          </a:pPr>
          <a:endParaRPr lang="en-US"/>
        </a:p>
      </c:txPr>
    </c:title>
    <c:autoTitleDeleted val="0"/>
    <c:plotArea>
      <c:layout/>
      <c:barChart>
        <c:barDir val="col"/>
        <c:grouping val="clustered"/>
        <c:varyColors val="0"/>
        <c:ser>
          <c:idx val="0"/>
          <c:order val="0"/>
          <c:spPr>
            <a:solidFill>
              <a:schemeClr val="accent3">
                <a:lumMod val="75000"/>
              </a:schemeClr>
            </a:solidFill>
            <a:ln w="12700" cap="flat" cmpd="sng" algn="ctr">
              <a:noFill/>
              <a:prstDash val="solid"/>
            </a:ln>
            <a:effectLst/>
          </c:spPr>
          <c:invertIfNegative val="0"/>
          <c:dPt>
            <c:idx val="0"/>
            <c:invertIfNegative val="0"/>
            <c:bubble3D val="0"/>
            <c:spPr>
              <a:solidFill>
                <a:schemeClr val="accent3">
                  <a:lumMod val="50000"/>
                </a:schemeClr>
              </a:solidFill>
              <a:ln w="12700" cap="flat" cmpd="sng" algn="ctr">
                <a:noFill/>
                <a:prstDash val="solid"/>
              </a:ln>
              <a:effectLst/>
            </c:spPr>
            <c:extLst>
              <c:ext xmlns:c16="http://schemas.microsoft.com/office/drawing/2014/chart" uri="{C3380CC4-5D6E-409C-BE32-E72D297353CC}">
                <c16:uniqueId val="{00000001-D3B7-41DF-B8C4-AF4A41D11381}"/>
              </c:ext>
            </c:extLst>
          </c:dPt>
          <c:dPt>
            <c:idx val="1"/>
            <c:invertIfNegative val="0"/>
            <c:bubble3D val="0"/>
            <c:spPr>
              <a:solidFill>
                <a:schemeClr val="accent3">
                  <a:lumMod val="60000"/>
                  <a:lumOff val="40000"/>
                </a:schemeClr>
              </a:solidFill>
              <a:ln w="12700" cap="flat" cmpd="sng" algn="ctr">
                <a:noFill/>
                <a:prstDash val="solid"/>
              </a:ln>
              <a:effectLst/>
            </c:spPr>
            <c:extLst>
              <c:ext xmlns:c16="http://schemas.microsoft.com/office/drawing/2014/chart" uri="{C3380CC4-5D6E-409C-BE32-E72D297353CC}">
                <c16:uniqueId val="{00000003-D3B7-41DF-B8C4-AF4A41D11381}"/>
              </c:ext>
            </c:extLst>
          </c:dPt>
          <c:dPt>
            <c:idx val="2"/>
            <c:invertIfNegative val="0"/>
            <c:bubble3D val="0"/>
            <c:spPr>
              <a:solidFill>
                <a:schemeClr val="accent3"/>
              </a:solidFill>
              <a:ln w="12700" cap="flat" cmpd="sng" algn="ctr">
                <a:noFill/>
                <a:prstDash val="solid"/>
              </a:ln>
              <a:effectLst/>
            </c:spPr>
            <c:extLst>
              <c:ext xmlns:c16="http://schemas.microsoft.com/office/drawing/2014/chart" uri="{C3380CC4-5D6E-409C-BE32-E72D297353CC}">
                <c16:uniqueId val="{00000005-D3B7-41DF-B8C4-AF4A41D1138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'Altman Z'!$G$57:$K$57</c:f>
              <c:numCache>
                <c:formatCode>mmm/yyyy</c:formatCode>
                <c:ptCount val="5"/>
                <c:pt idx="0">
                  <c:v>44286</c:v>
                </c:pt>
                <c:pt idx="1">
                  <c:v>44651</c:v>
                </c:pt>
                <c:pt idx="2">
                  <c:v>45016</c:v>
                </c:pt>
                <c:pt idx="3">
                  <c:v>45382</c:v>
                </c:pt>
                <c:pt idx="4">
                  <c:v>45747</c:v>
                </c:pt>
              </c:numCache>
            </c:numRef>
          </c:cat>
          <c:val>
            <c:numRef>
              <c:f>'Altman Z'!$G$60:$K$60</c:f>
              <c:numCache>
                <c:formatCode>0.00%</c:formatCode>
                <c:ptCount val="5"/>
                <c:pt idx="0">
                  <c:v>5.0986726636716412E-2</c:v>
                </c:pt>
                <c:pt idx="1">
                  <c:v>7.4420747334731391E-2</c:v>
                </c:pt>
                <c:pt idx="2">
                  <c:v>4.3514582995916005E-2</c:v>
                </c:pt>
                <c:pt idx="3">
                  <c:v>4.9437230888861837E-2</c:v>
                </c:pt>
                <c:pt idx="4">
                  <c:v>2.8106054789546829E-2</c:v>
                </c:pt>
              </c:numCache>
            </c:numRef>
          </c:val>
          <c:extLst>
            <c:ext xmlns:c16="http://schemas.microsoft.com/office/drawing/2014/chart" uri="{C3380CC4-5D6E-409C-BE32-E72D297353CC}">
              <c16:uniqueId val="{00000006-D3B7-41DF-B8C4-AF4A41D11381}"/>
            </c:ext>
          </c:extLst>
        </c:ser>
        <c:dLbls>
          <c:dLblPos val="outEnd"/>
          <c:showLegendKey val="0"/>
          <c:showVal val="1"/>
          <c:showCatName val="0"/>
          <c:showSerName val="0"/>
          <c:showPercent val="0"/>
          <c:showBubbleSize val="0"/>
        </c:dLbls>
        <c:gapWidth val="164"/>
        <c:overlap val="-22"/>
        <c:axId val="1055550303"/>
        <c:axId val="1055568191"/>
      </c:barChart>
      <c:catAx>
        <c:axId val="1055550303"/>
        <c:scaling>
          <c:orientation val="minMax"/>
        </c:scaling>
        <c:delete val="0"/>
        <c:axPos val="b"/>
        <c:numFmt formatCode="yyyy" sourceLinked="0"/>
        <c:majorTickMark val="none"/>
        <c:minorTickMark val="none"/>
        <c:tickLblPos val="nextTo"/>
        <c:spPr>
          <a:noFill/>
          <a:ln w="19050"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55568191"/>
        <c:crosses val="autoZero"/>
        <c:auto val="0"/>
        <c:lblAlgn val="ctr"/>
        <c:lblOffset val="100"/>
        <c:noMultiLvlLbl val="0"/>
      </c:catAx>
      <c:valAx>
        <c:axId val="1055568191"/>
        <c:scaling>
          <c:orientation val="minMax"/>
        </c:scaling>
        <c:delete val="1"/>
        <c:axPos val="l"/>
        <c:numFmt formatCode="0.00%" sourceLinked="1"/>
        <c:majorTickMark val="none"/>
        <c:minorTickMark val="none"/>
        <c:tickLblPos val="nextTo"/>
        <c:crossAx val="1055550303"/>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1" i="0" u="none" strike="noStrike" kern="1200" cap="all" spc="150" baseline="0">
                <a:solidFill>
                  <a:schemeClr val="tx1"/>
                </a:solidFill>
                <a:latin typeface="Calibri" panose="020F0502020204030204" pitchFamily="34" charset="0"/>
                <a:ea typeface="+mn-ea"/>
                <a:cs typeface="Calibri" panose="020F0502020204030204" pitchFamily="34" charset="0"/>
              </a:defRPr>
            </a:pPr>
            <a:r>
              <a:rPr lang="en-IN" sz="900" b="1" baseline="0">
                <a:solidFill>
                  <a:schemeClr val="tx1"/>
                </a:solidFill>
                <a:latin typeface="Calibri" panose="020F0502020204030204" pitchFamily="34" charset="0"/>
                <a:cs typeface="Calibri" panose="020F0502020204030204" pitchFamily="34" charset="0"/>
              </a:rPr>
              <a:t>Working CaPital/TA</a:t>
            </a:r>
          </a:p>
        </c:rich>
      </c:tx>
      <c:overlay val="0"/>
      <c:spPr>
        <a:noFill/>
        <a:ln>
          <a:noFill/>
        </a:ln>
        <a:effectLst/>
      </c:spPr>
      <c:txPr>
        <a:bodyPr rot="0" spcFirstLastPara="1" vertOverflow="ellipsis" vert="horz" wrap="square" anchor="ctr" anchorCtr="1"/>
        <a:lstStyle/>
        <a:p>
          <a:pPr>
            <a:defRPr sz="900" b="1" i="0" u="none" strike="noStrike" kern="1200" cap="all" spc="150" baseline="0">
              <a:solidFill>
                <a:schemeClr val="tx1"/>
              </a:solidFill>
              <a:latin typeface="Calibri" panose="020F0502020204030204" pitchFamily="34" charset="0"/>
              <a:ea typeface="+mn-ea"/>
              <a:cs typeface="Calibri" panose="020F0502020204030204" pitchFamily="34" charset="0"/>
            </a:defRPr>
          </a:pPr>
          <a:endParaRPr lang="en-US"/>
        </a:p>
      </c:txPr>
    </c:title>
    <c:autoTitleDeleted val="0"/>
    <c:plotArea>
      <c:layout/>
      <c:barChart>
        <c:barDir val="col"/>
        <c:grouping val="clustered"/>
        <c:varyColors val="0"/>
        <c:ser>
          <c:idx val="0"/>
          <c:order val="0"/>
          <c:spPr>
            <a:solidFill>
              <a:schemeClr val="accent3">
                <a:lumMod val="75000"/>
              </a:schemeClr>
            </a:solidFill>
            <a:ln w="12700" cap="flat" cmpd="sng" algn="ctr">
              <a:noFill/>
              <a:prstDash val="solid"/>
            </a:ln>
            <a:effectLst/>
          </c:spPr>
          <c:invertIfNegative val="0"/>
          <c:dPt>
            <c:idx val="0"/>
            <c:invertIfNegative val="0"/>
            <c:bubble3D val="0"/>
            <c:spPr>
              <a:solidFill>
                <a:schemeClr val="accent3">
                  <a:lumMod val="60000"/>
                  <a:lumOff val="40000"/>
                </a:schemeClr>
              </a:solidFill>
              <a:ln w="12700" cap="flat" cmpd="sng" algn="ctr">
                <a:noFill/>
                <a:prstDash val="solid"/>
              </a:ln>
              <a:effectLst/>
            </c:spPr>
            <c:extLst>
              <c:ext xmlns:c16="http://schemas.microsoft.com/office/drawing/2014/chart" uri="{C3380CC4-5D6E-409C-BE32-E72D297353CC}">
                <c16:uniqueId val="{00000001-2DDD-4DB9-80D5-EDE537CE3C2B}"/>
              </c:ext>
            </c:extLst>
          </c:dPt>
          <c:dPt>
            <c:idx val="1"/>
            <c:invertIfNegative val="0"/>
            <c:bubble3D val="0"/>
            <c:spPr>
              <a:solidFill>
                <a:schemeClr val="accent3"/>
              </a:solidFill>
              <a:ln w="12700" cap="flat" cmpd="sng" algn="ctr">
                <a:noFill/>
                <a:prstDash val="solid"/>
              </a:ln>
              <a:effectLst/>
            </c:spPr>
            <c:extLst>
              <c:ext xmlns:c16="http://schemas.microsoft.com/office/drawing/2014/chart" uri="{C3380CC4-5D6E-409C-BE32-E72D297353CC}">
                <c16:uniqueId val="{00000003-2DDD-4DB9-80D5-EDE537CE3C2B}"/>
              </c:ext>
            </c:extLst>
          </c:dPt>
          <c:dPt>
            <c:idx val="2"/>
            <c:invertIfNegative val="0"/>
            <c:bubble3D val="0"/>
            <c:extLst>
              <c:ext xmlns:c16="http://schemas.microsoft.com/office/drawing/2014/chart" uri="{C3380CC4-5D6E-409C-BE32-E72D297353CC}">
                <c16:uniqueId val="{00000004-2DDD-4DB9-80D5-EDE537CE3C2B}"/>
              </c:ext>
            </c:extLst>
          </c:dPt>
          <c:dPt>
            <c:idx val="3"/>
            <c:invertIfNegative val="0"/>
            <c:bubble3D val="0"/>
            <c:spPr>
              <a:solidFill>
                <a:schemeClr val="accent3">
                  <a:lumMod val="50000"/>
                </a:schemeClr>
              </a:solidFill>
              <a:ln w="12700" cap="flat" cmpd="sng" algn="ctr">
                <a:noFill/>
                <a:prstDash val="solid"/>
              </a:ln>
              <a:effectLst/>
            </c:spPr>
            <c:extLst>
              <c:ext xmlns:c16="http://schemas.microsoft.com/office/drawing/2014/chart" uri="{C3380CC4-5D6E-409C-BE32-E72D297353CC}">
                <c16:uniqueId val="{00000006-2DDD-4DB9-80D5-EDE537CE3C2B}"/>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'Altman Z'!$G$51:$K$51</c:f>
              <c:numCache>
                <c:formatCode>mmm/yyyy</c:formatCode>
                <c:ptCount val="5"/>
                <c:pt idx="0">
                  <c:v>44286</c:v>
                </c:pt>
                <c:pt idx="1">
                  <c:v>44651</c:v>
                </c:pt>
                <c:pt idx="2">
                  <c:v>45016</c:v>
                </c:pt>
                <c:pt idx="3">
                  <c:v>45382</c:v>
                </c:pt>
                <c:pt idx="4">
                  <c:v>45747</c:v>
                </c:pt>
              </c:numCache>
            </c:numRef>
          </c:cat>
          <c:val>
            <c:numRef>
              <c:f>'Altman Z'!$G$54:$K$54</c:f>
              <c:numCache>
                <c:formatCode>0.00%</c:formatCode>
                <c:ptCount val="5"/>
                <c:pt idx="0">
                  <c:v>-0.13559439451775343</c:v>
                </c:pt>
                <c:pt idx="1">
                  <c:v>-0.15571859879749114</c:v>
                </c:pt>
                <c:pt idx="2">
                  <c:v>-0.15725122674008868</c:v>
                </c:pt>
                <c:pt idx="3">
                  <c:v>-0.15650815782317568</c:v>
                </c:pt>
                <c:pt idx="4">
                  <c:v>-0.16236043955320303</c:v>
                </c:pt>
              </c:numCache>
            </c:numRef>
          </c:val>
          <c:extLst>
            <c:ext xmlns:c16="http://schemas.microsoft.com/office/drawing/2014/chart" uri="{C3380CC4-5D6E-409C-BE32-E72D297353CC}">
              <c16:uniqueId val="{00000007-2DDD-4DB9-80D5-EDE537CE3C2B}"/>
            </c:ext>
          </c:extLst>
        </c:ser>
        <c:dLbls>
          <c:dLblPos val="outEnd"/>
          <c:showLegendKey val="0"/>
          <c:showVal val="1"/>
          <c:showCatName val="0"/>
          <c:showSerName val="0"/>
          <c:showPercent val="0"/>
          <c:showBubbleSize val="0"/>
        </c:dLbls>
        <c:gapWidth val="164"/>
        <c:overlap val="-22"/>
        <c:axId val="1055550303"/>
        <c:axId val="1055568191"/>
      </c:barChart>
      <c:catAx>
        <c:axId val="1055550303"/>
        <c:scaling>
          <c:orientation val="minMax"/>
        </c:scaling>
        <c:delete val="0"/>
        <c:axPos val="b"/>
        <c:numFmt formatCode="yyyy" sourceLinked="0"/>
        <c:majorTickMark val="none"/>
        <c:minorTickMark val="none"/>
        <c:tickLblPos val="high"/>
        <c:spPr>
          <a:noFill/>
          <a:ln w="19050"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55568191"/>
        <c:crosses val="autoZero"/>
        <c:auto val="0"/>
        <c:lblAlgn val="ctr"/>
        <c:lblOffset val="100"/>
        <c:noMultiLvlLbl val="0"/>
      </c:catAx>
      <c:valAx>
        <c:axId val="1055568191"/>
        <c:scaling>
          <c:orientation val="minMax"/>
        </c:scaling>
        <c:delete val="1"/>
        <c:axPos val="l"/>
        <c:numFmt formatCode="0.00%" sourceLinked="1"/>
        <c:majorTickMark val="none"/>
        <c:minorTickMark val="none"/>
        <c:tickLblPos val="nextTo"/>
        <c:crossAx val="1055550303"/>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1" i="0" u="none" strike="noStrike" kern="1200" cap="all" spc="150" baseline="0">
                <a:solidFill>
                  <a:schemeClr val="tx1"/>
                </a:solidFill>
                <a:latin typeface="Calibri" panose="020F0502020204030204" pitchFamily="34" charset="0"/>
                <a:ea typeface="+mn-ea"/>
                <a:cs typeface="Calibri" panose="020F0502020204030204" pitchFamily="34" charset="0"/>
              </a:defRPr>
            </a:pPr>
            <a:r>
              <a:rPr lang="en-IN" sz="900" b="1" baseline="0">
                <a:solidFill>
                  <a:schemeClr val="tx1"/>
                </a:solidFill>
                <a:latin typeface="Calibri" panose="020F0502020204030204" pitchFamily="34" charset="0"/>
                <a:cs typeface="Calibri" panose="020F0502020204030204" pitchFamily="34" charset="0"/>
              </a:rPr>
              <a:t>EBIT/TA</a:t>
            </a:r>
          </a:p>
        </c:rich>
      </c:tx>
      <c:overlay val="0"/>
      <c:spPr>
        <a:noFill/>
        <a:ln>
          <a:noFill/>
        </a:ln>
        <a:effectLst/>
      </c:spPr>
      <c:txPr>
        <a:bodyPr rot="0" spcFirstLastPara="1" vertOverflow="ellipsis" vert="horz" wrap="square" anchor="ctr" anchorCtr="1"/>
        <a:lstStyle/>
        <a:p>
          <a:pPr>
            <a:defRPr sz="900" b="1" i="0" u="none" strike="noStrike" kern="1200" cap="all" spc="150" baseline="0">
              <a:solidFill>
                <a:schemeClr val="tx1"/>
              </a:solidFill>
              <a:latin typeface="Calibri" panose="020F0502020204030204" pitchFamily="34" charset="0"/>
              <a:ea typeface="+mn-ea"/>
              <a:cs typeface="Calibri" panose="020F0502020204030204" pitchFamily="34" charset="0"/>
            </a:defRPr>
          </a:pPr>
          <a:endParaRPr lang="en-US"/>
        </a:p>
      </c:txPr>
    </c:title>
    <c:autoTitleDeleted val="0"/>
    <c:plotArea>
      <c:layout/>
      <c:barChart>
        <c:barDir val="col"/>
        <c:grouping val="clustered"/>
        <c:varyColors val="0"/>
        <c:ser>
          <c:idx val="0"/>
          <c:order val="0"/>
          <c:spPr>
            <a:solidFill>
              <a:schemeClr val="accent3">
                <a:lumMod val="75000"/>
              </a:schemeClr>
            </a:solidFill>
            <a:ln w="12700" cap="flat" cmpd="sng" algn="ctr">
              <a:noFill/>
              <a:prstDash val="solid"/>
            </a:ln>
            <a:effectLst/>
          </c:spPr>
          <c:invertIfNegative val="0"/>
          <c:dPt>
            <c:idx val="0"/>
            <c:invertIfNegative val="0"/>
            <c:bubble3D val="0"/>
            <c:spPr>
              <a:solidFill>
                <a:schemeClr val="accent3">
                  <a:lumMod val="50000"/>
                </a:schemeClr>
              </a:solidFill>
              <a:ln w="12700" cap="flat" cmpd="sng" algn="ctr">
                <a:noFill/>
                <a:prstDash val="solid"/>
              </a:ln>
              <a:effectLst/>
            </c:spPr>
            <c:extLst>
              <c:ext xmlns:c16="http://schemas.microsoft.com/office/drawing/2014/chart" uri="{C3380CC4-5D6E-409C-BE32-E72D297353CC}">
                <c16:uniqueId val="{00000001-14AF-4CB8-B7E1-E1B7D7CDC6AC}"/>
              </c:ext>
            </c:extLst>
          </c:dPt>
          <c:dPt>
            <c:idx val="1"/>
            <c:invertIfNegative val="0"/>
            <c:bubble3D val="0"/>
            <c:spPr>
              <a:solidFill>
                <a:schemeClr val="accent3"/>
              </a:solidFill>
              <a:ln w="12700" cap="flat" cmpd="sng" algn="ctr">
                <a:noFill/>
                <a:prstDash val="solid"/>
              </a:ln>
              <a:effectLst/>
            </c:spPr>
            <c:extLst>
              <c:ext xmlns:c16="http://schemas.microsoft.com/office/drawing/2014/chart" uri="{C3380CC4-5D6E-409C-BE32-E72D297353CC}">
                <c16:uniqueId val="{00000003-14AF-4CB8-B7E1-E1B7D7CDC6AC}"/>
              </c:ext>
            </c:extLst>
          </c:dPt>
          <c:dPt>
            <c:idx val="2"/>
            <c:invertIfNegative val="0"/>
            <c:bubble3D val="0"/>
            <c:extLst>
              <c:ext xmlns:c16="http://schemas.microsoft.com/office/drawing/2014/chart" uri="{C3380CC4-5D6E-409C-BE32-E72D297353CC}">
                <c16:uniqueId val="{00000004-14AF-4CB8-B7E1-E1B7D7CDC6AC}"/>
              </c:ext>
            </c:extLst>
          </c:dPt>
          <c:dPt>
            <c:idx val="3"/>
            <c:invertIfNegative val="0"/>
            <c:bubble3D val="0"/>
            <c:spPr>
              <a:solidFill>
                <a:schemeClr val="accent3">
                  <a:lumMod val="60000"/>
                  <a:lumOff val="40000"/>
                </a:schemeClr>
              </a:solidFill>
              <a:ln w="12700" cap="flat" cmpd="sng" algn="ctr">
                <a:noFill/>
                <a:prstDash val="solid"/>
              </a:ln>
              <a:effectLst/>
            </c:spPr>
            <c:extLst>
              <c:ext xmlns:c16="http://schemas.microsoft.com/office/drawing/2014/chart" uri="{C3380CC4-5D6E-409C-BE32-E72D297353CC}">
                <c16:uniqueId val="{00000006-14AF-4CB8-B7E1-E1B7D7CDC6A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'Altman Z'!$G$63:$K$63</c:f>
              <c:numCache>
                <c:formatCode>mmm/yyyy</c:formatCode>
                <c:ptCount val="5"/>
                <c:pt idx="0">
                  <c:v>44286</c:v>
                </c:pt>
                <c:pt idx="1">
                  <c:v>44651</c:v>
                </c:pt>
                <c:pt idx="2">
                  <c:v>45016</c:v>
                </c:pt>
                <c:pt idx="3">
                  <c:v>45382</c:v>
                </c:pt>
                <c:pt idx="4">
                  <c:v>45747</c:v>
                </c:pt>
              </c:numCache>
            </c:numRef>
          </c:cat>
          <c:val>
            <c:numRef>
              <c:f>'Altman Z'!$G$66:$K$66</c:f>
              <c:numCache>
                <c:formatCode>0.00%</c:formatCode>
                <c:ptCount val="5"/>
                <c:pt idx="0">
                  <c:v>0.1100789253664143</c:v>
                </c:pt>
                <c:pt idx="1">
                  <c:v>0.11298016118086029</c:v>
                </c:pt>
                <c:pt idx="2">
                  <c:v>9.0161238077312023E-2</c:v>
                </c:pt>
                <c:pt idx="3">
                  <c:v>0.10308053474945864</c:v>
                </c:pt>
                <c:pt idx="4">
                  <c:v>6.8686137144035708E-2</c:v>
                </c:pt>
              </c:numCache>
            </c:numRef>
          </c:val>
          <c:extLst>
            <c:ext xmlns:c16="http://schemas.microsoft.com/office/drawing/2014/chart" uri="{C3380CC4-5D6E-409C-BE32-E72D297353CC}">
              <c16:uniqueId val="{00000007-14AF-4CB8-B7E1-E1B7D7CDC6AC}"/>
            </c:ext>
          </c:extLst>
        </c:ser>
        <c:dLbls>
          <c:dLblPos val="outEnd"/>
          <c:showLegendKey val="0"/>
          <c:showVal val="1"/>
          <c:showCatName val="0"/>
          <c:showSerName val="0"/>
          <c:showPercent val="0"/>
          <c:showBubbleSize val="0"/>
        </c:dLbls>
        <c:gapWidth val="164"/>
        <c:overlap val="-22"/>
        <c:axId val="1055550303"/>
        <c:axId val="1055568191"/>
      </c:barChart>
      <c:catAx>
        <c:axId val="1055550303"/>
        <c:scaling>
          <c:orientation val="minMax"/>
        </c:scaling>
        <c:delete val="0"/>
        <c:axPos val="b"/>
        <c:numFmt formatCode="yyyy" sourceLinked="0"/>
        <c:majorTickMark val="none"/>
        <c:minorTickMark val="none"/>
        <c:tickLblPos val="nextTo"/>
        <c:spPr>
          <a:noFill/>
          <a:ln w="19050"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55568191"/>
        <c:crosses val="autoZero"/>
        <c:auto val="0"/>
        <c:lblAlgn val="ctr"/>
        <c:lblOffset val="100"/>
        <c:noMultiLvlLbl val="0"/>
      </c:catAx>
      <c:valAx>
        <c:axId val="1055568191"/>
        <c:scaling>
          <c:orientation val="minMax"/>
        </c:scaling>
        <c:delete val="1"/>
        <c:axPos val="l"/>
        <c:numFmt formatCode="0.00%" sourceLinked="1"/>
        <c:majorTickMark val="none"/>
        <c:minorTickMark val="none"/>
        <c:tickLblPos val="nextTo"/>
        <c:crossAx val="1055550303"/>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1" i="0" u="none" strike="noStrike" kern="1200" cap="all" spc="150" baseline="0">
                <a:solidFill>
                  <a:schemeClr val="tx1"/>
                </a:solidFill>
                <a:latin typeface="Calibri" panose="020F0502020204030204" pitchFamily="34" charset="0"/>
                <a:ea typeface="+mn-ea"/>
                <a:cs typeface="Calibri" panose="020F0502020204030204" pitchFamily="34" charset="0"/>
              </a:defRPr>
            </a:pPr>
            <a:r>
              <a:rPr lang="en-IN" sz="900" b="1" baseline="0">
                <a:solidFill>
                  <a:schemeClr val="tx1"/>
                </a:solidFill>
                <a:latin typeface="Calibri" panose="020F0502020204030204" pitchFamily="34" charset="0"/>
                <a:cs typeface="Calibri" panose="020F0502020204030204" pitchFamily="34" charset="0"/>
              </a:rPr>
              <a:t>Market Capital/LTL</a:t>
            </a:r>
          </a:p>
        </c:rich>
      </c:tx>
      <c:overlay val="0"/>
      <c:spPr>
        <a:noFill/>
        <a:ln>
          <a:noFill/>
        </a:ln>
        <a:effectLst/>
      </c:spPr>
      <c:txPr>
        <a:bodyPr rot="0" spcFirstLastPara="1" vertOverflow="ellipsis" vert="horz" wrap="square" anchor="ctr" anchorCtr="1"/>
        <a:lstStyle/>
        <a:p>
          <a:pPr>
            <a:defRPr sz="900" b="1" i="0" u="none" strike="noStrike" kern="1200" cap="all" spc="150" baseline="0">
              <a:solidFill>
                <a:schemeClr val="tx1"/>
              </a:solidFill>
              <a:latin typeface="Calibri" panose="020F0502020204030204" pitchFamily="34" charset="0"/>
              <a:ea typeface="+mn-ea"/>
              <a:cs typeface="Calibri" panose="020F0502020204030204" pitchFamily="34" charset="0"/>
            </a:defRPr>
          </a:pPr>
          <a:endParaRPr lang="en-US"/>
        </a:p>
      </c:txPr>
    </c:title>
    <c:autoTitleDeleted val="0"/>
    <c:plotArea>
      <c:layout/>
      <c:barChart>
        <c:barDir val="col"/>
        <c:grouping val="clustered"/>
        <c:varyColors val="0"/>
        <c:ser>
          <c:idx val="0"/>
          <c:order val="0"/>
          <c:spPr>
            <a:solidFill>
              <a:schemeClr val="accent3">
                <a:lumMod val="75000"/>
              </a:schemeClr>
            </a:solidFill>
            <a:ln w="12700" cap="flat" cmpd="sng" algn="ctr">
              <a:noFill/>
              <a:prstDash val="solid"/>
            </a:ln>
            <a:effectLst/>
          </c:spPr>
          <c:invertIfNegative val="0"/>
          <c:dPt>
            <c:idx val="0"/>
            <c:invertIfNegative val="0"/>
            <c:bubble3D val="0"/>
            <c:spPr>
              <a:solidFill>
                <a:schemeClr val="accent3">
                  <a:lumMod val="50000"/>
                </a:schemeClr>
              </a:solidFill>
              <a:ln w="12700" cap="flat" cmpd="sng" algn="ctr">
                <a:noFill/>
                <a:prstDash val="solid"/>
              </a:ln>
              <a:effectLst/>
            </c:spPr>
            <c:extLst>
              <c:ext xmlns:c16="http://schemas.microsoft.com/office/drawing/2014/chart" uri="{C3380CC4-5D6E-409C-BE32-E72D297353CC}">
                <c16:uniqueId val="{00000001-79BA-401C-BCA8-C81093BB966B}"/>
              </c:ext>
            </c:extLst>
          </c:dPt>
          <c:dPt>
            <c:idx val="1"/>
            <c:invertIfNegative val="0"/>
            <c:bubble3D val="0"/>
            <c:spPr>
              <a:solidFill>
                <a:schemeClr val="accent3"/>
              </a:solidFill>
              <a:ln w="12700" cap="flat" cmpd="sng" algn="ctr">
                <a:noFill/>
                <a:prstDash val="solid"/>
              </a:ln>
              <a:effectLst/>
            </c:spPr>
            <c:extLst>
              <c:ext xmlns:c16="http://schemas.microsoft.com/office/drawing/2014/chart" uri="{C3380CC4-5D6E-409C-BE32-E72D297353CC}">
                <c16:uniqueId val="{00000003-79BA-401C-BCA8-C81093BB966B}"/>
              </c:ext>
            </c:extLst>
          </c:dPt>
          <c:dPt>
            <c:idx val="2"/>
            <c:invertIfNegative val="0"/>
            <c:bubble3D val="0"/>
            <c:extLst>
              <c:ext xmlns:c16="http://schemas.microsoft.com/office/drawing/2014/chart" uri="{C3380CC4-5D6E-409C-BE32-E72D297353CC}">
                <c16:uniqueId val="{00000004-79BA-401C-BCA8-C81093BB966B}"/>
              </c:ext>
            </c:extLst>
          </c:dPt>
          <c:dPt>
            <c:idx val="3"/>
            <c:invertIfNegative val="0"/>
            <c:bubble3D val="0"/>
            <c:spPr>
              <a:solidFill>
                <a:schemeClr val="accent3">
                  <a:lumMod val="60000"/>
                  <a:lumOff val="40000"/>
                </a:schemeClr>
              </a:solidFill>
              <a:ln w="12700" cap="flat" cmpd="sng" algn="ctr">
                <a:noFill/>
                <a:prstDash val="solid"/>
              </a:ln>
              <a:effectLst/>
            </c:spPr>
            <c:extLst>
              <c:ext xmlns:c16="http://schemas.microsoft.com/office/drawing/2014/chart" uri="{C3380CC4-5D6E-409C-BE32-E72D297353CC}">
                <c16:uniqueId val="{00000006-79BA-401C-BCA8-C81093BB966B}"/>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'Altman Z'!$G$69:$K$69</c:f>
              <c:numCache>
                <c:formatCode>mmm/yyyy</c:formatCode>
                <c:ptCount val="5"/>
                <c:pt idx="0">
                  <c:v>44286</c:v>
                </c:pt>
                <c:pt idx="1">
                  <c:v>44651</c:v>
                </c:pt>
                <c:pt idx="2">
                  <c:v>45016</c:v>
                </c:pt>
                <c:pt idx="3">
                  <c:v>45382</c:v>
                </c:pt>
                <c:pt idx="4">
                  <c:v>45747</c:v>
                </c:pt>
              </c:numCache>
            </c:numRef>
          </c:cat>
          <c:val>
            <c:numRef>
              <c:f>'Altman Z'!$G$72:$K$72</c:f>
              <c:numCache>
                <c:formatCode>0.00%</c:formatCode>
                <c:ptCount val="5"/>
                <c:pt idx="0">
                  <c:v>8.9548194634108054</c:v>
                </c:pt>
                <c:pt idx="1">
                  <c:v>16.868088054909371</c:v>
                </c:pt>
                <c:pt idx="2">
                  <c:v>19.899279821570683</c:v>
                </c:pt>
                <c:pt idx="3">
                  <c:v>24.681740079161532</c:v>
                </c:pt>
                <c:pt idx="4">
                  <c:v>14.071774355122649</c:v>
                </c:pt>
              </c:numCache>
            </c:numRef>
          </c:val>
          <c:extLst>
            <c:ext xmlns:c16="http://schemas.microsoft.com/office/drawing/2014/chart" uri="{C3380CC4-5D6E-409C-BE32-E72D297353CC}">
              <c16:uniqueId val="{00000007-79BA-401C-BCA8-C81093BB966B}"/>
            </c:ext>
          </c:extLst>
        </c:ser>
        <c:dLbls>
          <c:dLblPos val="outEnd"/>
          <c:showLegendKey val="0"/>
          <c:showVal val="1"/>
          <c:showCatName val="0"/>
          <c:showSerName val="0"/>
          <c:showPercent val="0"/>
          <c:showBubbleSize val="0"/>
        </c:dLbls>
        <c:gapWidth val="164"/>
        <c:overlap val="-22"/>
        <c:axId val="1055550303"/>
        <c:axId val="1055568191"/>
      </c:barChart>
      <c:catAx>
        <c:axId val="1055550303"/>
        <c:scaling>
          <c:orientation val="minMax"/>
        </c:scaling>
        <c:delete val="0"/>
        <c:axPos val="b"/>
        <c:numFmt formatCode="yyyy" sourceLinked="0"/>
        <c:majorTickMark val="none"/>
        <c:minorTickMark val="none"/>
        <c:tickLblPos val="nextTo"/>
        <c:spPr>
          <a:noFill/>
          <a:ln w="19050"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55568191"/>
        <c:crosses val="autoZero"/>
        <c:auto val="0"/>
        <c:lblAlgn val="ctr"/>
        <c:lblOffset val="100"/>
        <c:noMultiLvlLbl val="0"/>
      </c:catAx>
      <c:valAx>
        <c:axId val="1055568191"/>
        <c:scaling>
          <c:orientation val="minMax"/>
        </c:scaling>
        <c:delete val="1"/>
        <c:axPos val="l"/>
        <c:numFmt formatCode="0.00%" sourceLinked="1"/>
        <c:majorTickMark val="none"/>
        <c:minorTickMark val="none"/>
        <c:tickLblPos val="nextTo"/>
        <c:crossAx val="1055550303"/>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1" i="0" u="none" strike="noStrike" kern="1200" cap="all" spc="150" baseline="0">
                <a:solidFill>
                  <a:schemeClr val="tx1"/>
                </a:solidFill>
                <a:latin typeface="Calibri" panose="020F0502020204030204" pitchFamily="34" charset="0"/>
                <a:ea typeface="+mn-ea"/>
                <a:cs typeface="Calibri" panose="020F0502020204030204" pitchFamily="34" charset="0"/>
              </a:defRPr>
            </a:pPr>
            <a:r>
              <a:rPr lang="en-IN" sz="900" b="1" baseline="0">
                <a:solidFill>
                  <a:schemeClr val="tx1"/>
                </a:solidFill>
                <a:latin typeface="Calibri" panose="020F0502020204030204" pitchFamily="34" charset="0"/>
                <a:cs typeface="Calibri" panose="020F0502020204030204" pitchFamily="34" charset="0"/>
              </a:rPr>
              <a:t>Sales/TA</a:t>
            </a:r>
          </a:p>
        </c:rich>
      </c:tx>
      <c:overlay val="0"/>
      <c:spPr>
        <a:noFill/>
        <a:ln>
          <a:noFill/>
        </a:ln>
        <a:effectLst/>
      </c:spPr>
      <c:txPr>
        <a:bodyPr rot="0" spcFirstLastPara="1" vertOverflow="ellipsis" vert="horz" wrap="square" anchor="ctr" anchorCtr="1"/>
        <a:lstStyle/>
        <a:p>
          <a:pPr>
            <a:defRPr sz="900" b="1" i="0" u="none" strike="noStrike" kern="1200" cap="all" spc="150" baseline="0">
              <a:solidFill>
                <a:schemeClr val="tx1"/>
              </a:solidFill>
              <a:latin typeface="Calibri" panose="020F0502020204030204" pitchFamily="34" charset="0"/>
              <a:ea typeface="+mn-ea"/>
              <a:cs typeface="Calibri" panose="020F0502020204030204" pitchFamily="34" charset="0"/>
            </a:defRPr>
          </a:pPr>
          <a:endParaRPr lang="en-US"/>
        </a:p>
      </c:txPr>
    </c:title>
    <c:autoTitleDeleted val="0"/>
    <c:plotArea>
      <c:layout/>
      <c:barChart>
        <c:barDir val="col"/>
        <c:grouping val="clustered"/>
        <c:varyColors val="0"/>
        <c:ser>
          <c:idx val="0"/>
          <c:order val="0"/>
          <c:spPr>
            <a:solidFill>
              <a:schemeClr val="accent3">
                <a:lumMod val="75000"/>
              </a:schemeClr>
            </a:solidFill>
            <a:ln w="12700" cap="flat" cmpd="sng" algn="ctr">
              <a:noFill/>
              <a:prstDash val="solid"/>
            </a:ln>
            <a:effectLst/>
          </c:spPr>
          <c:invertIfNegative val="0"/>
          <c:dPt>
            <c:idx val="0"/>
            <c:invertIfNegative val="0"/>
            <c:bubble3D val="0"/>
            <c:spPr>
              <a:solidFill>
                <a:schemeClr val="accent3">
                  <a:lumMod val="50000"/>
                </a:schemeClr>
              </a:solidFill>
              <a:ln w="12700" cap="flat" cmpd="sng" algn="ctr">
                <a:noFill/>
                <a:prstDash val="solid"/>
              </a:ln>
              <a:effectLst/>
            </c:spPr>
            <c:extLst>
              <c:ext xmlns:c16="http://schemas.microsoft.com/office/drawing/2014/chart" uri="{C3380CC4-5D6E-409C-BE32-E72D297353CC}">
                <c16:uniqueId val="{00000001-0807-4148-898D-30B1CEA8CF92}"/>
              </c:ext>
            </c:extLst>
          </c:dPt>
          <c:dPt>
            <c:idx val="1"/>
            <c:invertIfNegative val="0"/>
            <c:bubble3D val="0"/>
            <c:spPr>
              <a:solidFill>
                <a:schemeClr val="accent3"/>
              </a:solidFill>
              <a:ln w="12700" cap="flat" cmpd="sng" algn="ctr">
                <a:noFill/>
                <a:prstDash val="solid"/>
              </a:ln>
              <a:effectLst/>
            </c:spPr>
            <c:extLst>
              <c:ext xmlns:c16="http://schemas.microsoft.com/office/drawing/2014/chart" uri="{C3380CC4-5D6E-409C-BE32-E72D297353CC}">
                <c16:uniqueId val="{00000003-0807-4148-898D-30B1CEA8CF92}"/>
              </c:ext>
            </c:extLst>
          </c:dPt>
          <c:dPt>
            <c:idx val="2"/>
            <c:invertIfNegative val="0"/>
            <c:bubble3D val="0"/>
            <c:extLst>
              <c:ext xmlns:c16="http://schemas.microsoft.com/office/drawing/2014/chart" uri="{C3380CC4-5D6E-409C-BE32-E72D297353CC}">
                <c16:uniqueId val="{00000004-0807-4148-898D-30B1CEA8CF92}"/>
              </c:ext>
            </c:extLst>
          </c:dPt>
          <c:dPt>
            <c:idx val="3"/>
            <c:invertIfNegative val="0"/>
            <c:bubble3D val="0"/>
            <c:spPr>
              <a:solidFill>
                <a:schemeClr val="accent3">
                  <a:lumMod val="60000"/>
                  <a:lumOff val="40000"/>
                </a:schemeClr>
              </a:solidFill>
              <a:ln w="12700" cap="flat" cmpd="sng" algn="ctr">
                <a:noFill/>
                <a:prstDash val="solid"/>
              </a:ln>
              <a:effectLst/>
            </c:spPr>
            <c:extLst>
              <c:ext xmlns:c16="http://schemas.microsoft.com/office/drawing/2014/chart" uri="{C3380CC4-5D6E-409C-BE32-E72D297353CC}">
                <c16:uniqueId val="{00000006-0807-4148-898D-30B1CEA8CF9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'Altman Z'!$G$75:$K$75</c:f>
              <c:numCache>
                <c:formatCode>mmm/yyyy</c:formatCode>
                <c:ptCount val="5"/>
                <c:pt idx="0">
                  <c:v>44286</c:v>
                </c:pt>
                <c:pt idx="1">
                  <c:v>44651</c:v>
                </c:pt>
                <c:pt idx="2">
                  <c:v>45016</c:v>
                </c:pt>
                <c:pt idx="3">
                  <c:v>45382</c:v>
                </c:pt>
                <c:pt idx="4">
                  <c:v>45747</c:v>
                </c:pt>
              </c:numCache>
            </c:numRef>
          </c:cat>
          <c:val>
            <c:numRef>
              <c:f>'Altman Z'!$G$78:$K$78</c:f>
              <c:numCache>
                <c:formatCode>0.00%</c:formatCode>
                <c:ptCount val="5"/>
                <c:pt idx="0">
                  <c:v>0.51900318358807274</c:v>
                </c:pt>
                <c:pt idx="1">
                  <c:v>0.62758532725365423</c:v>
                </c:pt>
                <c:pt idx="2">
                  <c:v>0.69205190609802547</c:v>
                </c:pt>
                <c:pt idx="3">
                  <c:v>0.70347393888574783</c:v>
                </c:pt>
                <c:pt idx="4">
                  <c:v>0.56839002556721796</c:v>
                </c:pt>
              </c:numCache>
            </c:numRef>
          </c:val>
          <c:extLst>
            <c:ext xmlns:c16="http://schemas.microsoft.com/office/drawing/2014/chart" uri="{C3380CC4-5D6E-409C-BE32-E72D297353CC}">
              <c16:uniqueId val="{00000007-0807-4148-898D-30B1CEA8CF92}"/>
            </c:ext>
          </c:extLst>
        </c:ser>
        <c:dLbls>
          <c:dLblPos val="outEnd"/>
          <c:showLegendKey val="0"/>
          <c:showVal val="1"/>
          <c:showCatName val="0"/>
          <c:showSerName val="0"/>
          <c:showPercent val="0"/>
          <c:showBubbleSize val="0"/>
        </c:dLbls>
        <c:gapWidth val="164"/>
        <c:overlap val="-22"/>
        <c:axId val="1055550303"/>
        <c:axId val="1055568191"/>
      </c:barChart>
      <c:catAx>
        <c:axId val="1055550303"/>
        <c:scaling>
          <c:orientation val="minMax"/>
        </c:scaling>
        <c:delete val="0"/>
        <c:axPos val="b"/>
        <c:numFmt formatCode="yyyy" sourceLinked="0"/>
        <c:majorTickMark val="none"/>
        <c:minorTickMark val="none"/>
        <c:tickLblPos val="nextTo"/>
        <c:spPr>
          <a:noFill/>
          <a:ln w="19050"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55568191"/>
        <c:crosses val="autoZero"/>
        <c:auto val="0"/>
        <c:lblAlgn val="ctr"/>
        <c:lblOffset val="100"/>
        <c:noMultiLvlLbl val="0"/>
      </c:catAx>
      <c:valAx>
        <c:axId val="1055568191"/>
        <c:scaling>
          <c:orientation val="minMax"/>
        </c:scaling>
        <c:delete val="1"/>
        <c:axPos val="l"/>
        <c:numFmt formatCode="0.00%" sourceLinked="1"/>
        <c:majorTickMark val="none"/>
        <c:minorTickMark val="none"/>
        <c:tickLblPos val="nextTo"/>
        <c:crossAx val="1055550303"/>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1" i="0" u="none" strike="noStrike" kern="1200" cap="all" spc="150" baseline="0">
                <a:solidFill>
                  <a:schemeClr val="tx1"/>
                </a:solidFill>
                <a:latin typeface="Calibri" panose="020F0502020204030204" pitchFamily="34" charset="0"/>
                <a:ea typeface="+mn-ea"/>
                <a:cs typeface="Calibri" panose="020F0502020204030204" pitchFamily="34" charset="0"/>
              </a:defRPr>
            </a:pPr>
            <a:r>
              <a:rPr lang="en-IN" sz="900" b="1" baseline="0">
                <a:solidFill>
                  <a:schemeClr val="tx1"/>
                </a:solidFill>
                <a:latin typeface="Calibri" panose="020F0502020204030204" pitchFamily="34" charset="0"/>
                <a:cs typeface="Calibri" panose="020F0502020204030204" pitchFamily="34" charset="0"/>
              </a:rPr>
              <a:t>Final Score</a:t>
            </a:r>
          </a:p>
        </c:rich>
      </c:tx>
      <c:overlay val="0"/>
      <c:spPr>
        <a:noFill/>
        <a:ln>
          <a:noFill/>
        </a:ln>
        <a:effectLst/>
      </c:spPr>
      <c:txPr>
        <a:bodyPr rot="0" spcFirstLastPara="1" vertOverflow="ellipsis" vert="horz" wrap="square" anchor="ctr" anchorCtr="1"/>
        <a:lstStyle/>
        <a:p>
          <a:pPr>
            <a:defRPr sz="900" b="1" i="0" u="none" strike="noStrike" kern="1200" cap="all" spc="150" baseline="0">
              <a:solidFill>
                <a:schemeClr val="tx1"/>
              </a:solidFill>
              <a:latin typeface="Calibri" panose="020F0502020204030204" pitchFamily="34" charset="0"/>
              <a:ea typeface="+mn-ea"/>
              <a:cs typeface="Calibri" panose="020F0502020204030204" pitchFamily="34" charset="0"/>
            </a:defRPr>
          </a:pPr>
          <a:endParaRPr lang="en-US"/>
        </a:p>
      </c:txPr>
    </c:title>
    <c:autoTitleDeleted val="0"/>
    <c:plotArea>
      <c:layout/>
      <c:barChart>
        <c:barDir val="col"/>
        <c:grouping val="clustered"/>
        <c:varyColors val="0"/>
        <c:ser>
          <c:idx val="0"/>
          <c:order val="0"/>
          <c:spPr>
            <a:solidFill>
              <a:schemeClr val="accent3">
                <a:lumMod val="60000"/>
                <a:lumOff val="40000"/>
              </a:schemeClr>
            </a:solidFill>
            <a:ln w="12700" cap="flat" cmpd="sng" algn="ctr">
              <a:noFill/>
              <a:prstDash val="solid"/>
            </a:ln>
            <a:effectLst/>
          </c:spPr>
          <c:invertIfNegative val="0"/>
          <c:dPt>
            <c:idx val="0"/>
            <c:invertIfNegative val="0"/>
            <c:bubble3D val="0"/>
            <c:extLst>
              <c:ext xmlns:c16="http://schemas.microsoft.com/office/drawing/2014/chart" uri="{C3380CC4-5D6E-409C-BE32-E72D297353CC}">
                <c16:uniqueId val="{00000000-5CDF-4AF7-85D3-AB19DFA3C69A}"/>
              </c:ext>
            </c:extLst>
          </c:dPt>
          <c:dPt>
            <c:idx val="1"/>
            <c:invertIfNegative val="0"/>
            <c:bubble3D val="0"/>
            <c:spPr>
              <a:solidFill>
                <a:schemeClr val="accent3">
                  <a:lumMod val="75000"/>
                </a:schemeClr>
              </a:solidFill>
              <a:ln w="12700" cap="flat" cmpd="sng" algn="ctr">
                <a:noFill/>
                <a:prstDash val="solid"/>
              </a:ln>
              <a:effectLst/>
            </c:spPr>
            <c:extLst>
              <c:ext xmlns:c16="http://schemas.microsoft.com/office/drawing/2014/chart" uri="{C3380CC4-5D6E-409C-BE32-E72D297353CC}">
                <c16:uniqueId val="{00000002-5CDF-4AF7-85D3-AB19DFA3C69A}"/>
              </c:ext>
            </c:extLst>
          </c:dPt>
          <c:dPt>
            <c:idx val="2"/>
            <c:invertIfNegative val="0"/>
            <c:bubble3D val="0"/>
            <c:spPr>
              <a:solidFill>
                <a:schemeClr val="accent3">
                  <a:lumMod val="50000"/>
                </a:schemeClr>
              </a:solidFill>
              <a:ln w="12700" cap="flat" cmpd="sng" algn="ctr">
                <a:noFill/>
                <a:prstDash val="solid"/>
              </a:ln>
              <a:effectLst/>
            </c:spPr>
            <c:extLst>
              <c:ext xmlns:c16="http://schemas.microsoft.com/office/drawing/2014/chart" uri="{C3380CC4-5D6E-409C-BE32-E72D297353CC}">
                <c16:uniqueId val="{00000004-5CDF-4AF7-85D3-AB19DFA3C69A}"/>
              </c:ext>
            </c:extLst>
          </c:dPt>
          <c:dPt>
            <c:idx val="3"/>
            <c:invertIfNegative val="0"/>
            <c:bubble3D val="0"/>
            <c:spPr>
              <a:solidFill>
                <a:schemeClr val="accent3"/>
              </a:solidFill>
              <a:ln w="12700" cap="flat" cmpd="sng" algn="ctr">
                <a:noFill/>
                <a:prstDash val="solid"/>
              </a:ln>
              <a:effectLst/>
            </c:spPr>
            <c:extLst>
              <c:ext xmlns:c16="http://schemas.microsoft.com/office/drawing/2014/chart" uri="{C3380CC4-5D6E-409C-BE32-E72D297353CC}">
                <c16:uniqueId val="{00000006-5CDF-4AF7-85D3-AB19DFA3C6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'Altman Z'!$G$81:$K$81</c:f>
              <c:numCache>
                <c:formatCode>mmm/yyyy</c:formatCode>
                <c:ptCount val="5"/>
                <c:pt idx="0">
                  <c:v>44286</c:v>
                </c:pt>
                <c:pt idx="1">
                  <c:v>44651</c:v>
                </c:pt>
                <c:pt idx="2">
                  <c:v>45016</c:v>
                </c:pt>
                <c:pt idx="3">
                  <c:v>45382</c:v>
                </c:pt>
                <c:pt idx="4">
                  <c:v>45747</c:v>
                </c:pt>
              </c:numCache>
            </c:numRef>
          </c:cat>
          <c:val>
            <c:numRef>
              <c:f>'Altman Z'!$G$82:$K$82</c:f>
              <c:numCache>
                <c:formatCode>0.00</c:formatCode>
                <c:ptCount val="5"/>
                <c:pt idx="0">
                  <c:v>6.1638234592138215</c:v>
                </c:pt>
                <c:pt idx="1">
                  <c:v>11.038599419807749</c:v>
                </c:pt>
                <c:pt idx="2">
                  <c:v>12.801370828801742</c:v>
                </c:pt>
                <c:pt idx="3">
                  <c:v>15.734086084912477</c:v>
                </c:pt>
                <c:pt idx="4">
                  <c:v>9.0826348404576489</c:v>
                </c:pt>
              </c:numCache>
            </c:numRef>
          </c:val>
          <c:extLst>
            <c:ext xmlns:c16="http://schemas.microsoft.com/office/drawing/2014/chart" uri="{C3380CC4-5D6E-409C-BE32-E72D297353CC}">
              <c16:uniqueId val="{00000007-5CDF-4AF7-85D3-AB19DFA3C69A}"/>
            </c:ext>
          </c:extLst>
        </c:ser>
        <c:dLbls>
          <c:dLblPos val="outEnd"/>
          <c:showLegendKey val="0"/>
          <c:showVal val="1"/>
          <c:showCatName val="0"/>
          <c:showSerName val="0"/>
          <c:showPercent val="0"/>
          <c:showBubbleSize val="0"/>
        </c:dLbls>
        <c:gapWidth val="164"/>
        <c:overlap val="-22"/>
        <c:axId val="1055550303"/>
        <c:axId val="1055568191"/>
      </c:barChart>
      <c:catAx>
        <c:axId val="1055550303"/>
        <c:scaling>
          <c:orientation val="minMax"/>
        </c:scaling>
        <c:delete val="0"/>
        <c:axPos val="b"/>
        <c:numFmt formatCode="yyyy" sourceLinked="0"/>
        <c:majorTickMark val="none"/>
        <c:minorTickMark val="none"/>
        <c:tickLblPos val="nextTo"/>
        <c:spPr>
          <a:noFill/>
          <a:ln w="19050"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55568191"/>
        <c:crosses val="autoZero"/>
        <c:auto val="0"/>
        <c:lblAlgn val="ctr"/>
        <c:lblOffset val="100"/>
        <c:noMultiLvlLbl val="0"/>
      </c:catAx>
      <c:valAx>
        <c:axId val="1055568191"/>
        <c:scaling>
          <c:orientation val="minMax"/>
        </c:scaling>
        <c:delete val="1"/>
        <c:axPos val="l"/>
        <c:numFmt formatCode="0.00" sourceLinked="1"/>
        <c:majorTickMark val="none"/>
        <c:minorTickMark val="none"/>
        <c:tickLblPos val="nextTo"/>
        <c:crossAx val="1055550303"/>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plotArea>
      <cx:plotAreaRegion>
        <cx:series layoutId="clusteredColumn" uniqueId="{DDE32DDD-4111-4DB8-876B-C592A803D3B6}">
          <cx:spPr>
            <a:solidFill>
              <a:schemeClr val="accent3">
                <a:lumMod val="50000"/>
              </a:schemeClr>
            </a:solidFill>
          </cx:spPr>
          <cx:dataId val="0"/>
          <cx:layoutPr>
            <cx:binning intervalClosed="r"/>
          </cx:layoutPr>
        </cx:series>
      </cx:plotAreaRegion>
      <cx:axis id="0">
        <cx:catScaling gapWidth="0"/>
        <cx:tickLabels/>
      </cx:axis>
      <cx:axis id="1">
        <cx:valScaling/>
        <cx:tickLabels/>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2.jpe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chart" Target="../charts/chart4.xml"/></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microsoft.com/office/2014/relationships/chartEx" Target="../charts/chartEx1.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image" Target="../media/image2.jpe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3.xml"/><Relationship Id="rId7" Type="http://schemas.openxmlformats.org/officeDocument/2006/relationships/image" Target="../media/image2.jpeg"/><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1</xdr:col>
      <xdr:colOff>59530</xdr:colOff>
      <xdr:row>3</xdr:row>
      <xdr:rowOff>11908</xdr:rowOff>
    </xdr:from>
    <xdr:to>
      <xdr:col>1</xdr:col>
      <xdr:colOff>1000124</xdr:colOff>
      <xdr:row>3</xdr:row>
      <xdr:rowOff>930344</xdr:rowOff>
    </xdr:to>
    <xdr:pic>
      <xdr:nvPicPr>
        <xdr:cNvPr id="2" name="Picture 1" descr="UltraTech Cement Logo (Aditya Birla) - PNG Logo Vector Brand Downloads  (SVG, EPS)">
          <a:extLst>
            <a:ext uri="{FF2B5EF4-FFF2-40B4-BE49-F238E27FC236}">
              <a16:creationId xmlns:a16="http://schemas.microsoft.com/office/drawing/2014/main" id="{B8D5AAFD-967A-4B5B-A573-CEB42F5FFFB5}"/>
            </a:ext>
          </a:extLst>
        </xdr:cNvPr>
        <xdr:cNvPicPr>
          <a:picLocks noChangeAspect="1" noChangeArrowheads="1"/>
        </xdr:cNvPicPr>
      </xdr:nvPicPr>
      <xdr:blipFill>
        <a:blip xmlns:r="http://schemas.openxmlformats.org/officeDocument/2006/relationships" r:embed="rId1" cstate="hqprint">
          <a:extLst>
            <a:ext uri="{28A0092B-C50C-407E-A947-70E740481C1C}">
              <a14:useLocalDpi xmlns:a14="http://schemas.microsoft.com/office/drawing/2010/main" val="0"/>
            </a:ext>
          </a:extLst>
        </a:blip>
        <a:srcRect/>
        <a:stretch>
          <a:fillRect/>
        </a:stretch>
      </xdr:blipFill>
      <xdr:spPr bwMode="auto">
        <a:xfrm>
          <a:off x="178593" y="511971"/>
          <a:ext cx="940594" cy="9184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7</xdr:row>
      <xdr:rowOff>0</xdr:rowOff>
    </xdr:from>
    <xdr:to>
      <xdr:col>11</xdr:col>
      <xdr:colOff>11906</xdr:colOff>
      <xdr:row>17</xdr:row>
      <xdr:rowOff>11905</xdr:rowOff>
    </xdr:to>
    <xdr:graphicFrame macro="">
      <xdr:nvGraphicFramePr>
        <xdr:cNvPr id="4" name="Chart 3">
          <a:extLst>
            <a:ext uri="{FF2B5EF4-FFF2-40B4-BE49-F238E27FC236}">
              <a16:creationId xmlns:a16="http://schemas.microsoft.com/office/drawing/2014/main" id="{4CD8A6FE-AF36-4BF1-B911-932B33234D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95251</xdr:colOff>
      <xdr:row>19</xdr:row>
      <xdr:rowOff>47625</xdr:rowOff>
    </xdr:from>
    <xdr:to>
      <xdr:col>11</xdr:col>
      <xdr:colOff>0</xdr:colOff>
      <xdr:row>26</xdr:row>
      <xdr:rowOff>47625</xdr:rowOff>
    </xdr:to>
    <xdr:graphicFrame macro="">
      <xdr:nvGraphicFramePr>
        <xdr:cNvPr id="5" name="Chart 4">
          <a:extLst>
            <a:ext uri="{FF2B5EF4-FFF2-40B4-BE49-F238E27FC236}">
              <a16:creationId xmlns:a16="http://schemas.microsoft.com/office/drawing/2014/main" id="{309E579C-1FEE-4486-A431-6D0A566FCE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35718</xdr:colOff>
      <xdr:row>29</xdr:row>
      <xdr:rowOff>71437</xdr:rowOff>
    </xdr:from>
    <xdr:to>
      <xdr:col>11</xdr:col>
      <xdr:colOff>0</xdr:colOff>
      <xdr:row>38</xdr:row>
      <xdr:rowOff>154781</xdr:rowOff>
    </xdr:to>
    <xdr:graphicFrame macro="">
      <xdr:nvGraphicFramePr>
        <xdr:cNvPr id="6" name="Chart 5">
          <a:extLst>
            <a:ext uri="{FF2B5EF4-FFF2-40B4-BE49-F238E27FC236}">
              <a16:creationId xmlns:a16="http://schemas.microsoft.com/office/drawing/2014/main" id="{E7D741EB-583A-497B-B5F6-8A988680A7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xdr:colOff>
      <xdr:row>51</xdr:row>
      <xdr:rowOff>47623</xdr:rowOff>
    </xdr:from>
    <xdr:to>
      <xdr:col>10</xdr:col>
      <xdr:colOff>702468</xdr:colOff>
      <xdr:row>62</xdr:row>
      <xdr:rowOff>119061</xdr:rowOff>
    </xdr:to>
    <xdr:sp macro="" textlink="">
      <xdr:nvSpPr>
        <xdr:cNvPr id="3" name="TextBox 2">
          <a:extLst>
            <a:ext uri="{FF2B5EF4-FFF2-40B4-BE49-F238E27FC236}">
              <a16:creationId xmlns:a16="http://schemas.microsoft.com/office/drawing/2014/main" id="{ACBE9FAD-C813-4A1F-A6ED-171B97433F91}"/>
            </a:ext>
          </a:extLst>
        </xdr:cNvPr>
        <xdr:cNvSpPr txBox="1"/>
      </xdr:nvSpPr>
      <xdr:spPr>
        <a:xfrm>
          <a:off x="119062" y="9929811"/>
          <a:ext cx="9405937" cy="21669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Arial" panose="020B0604020202020204" pitchFamily="34" charset="0"/>
            <a:buChar char="•"/>
          </a:pPr>
          <a:r>
            <a:rPr lang="en-IN" sz="1100" b="1" i="0">
              <a:solidFill>
                <a:schemeClr val="dk1"/>
              </a:solidFill>
              <a:effectLst/>
              <a:latin typeface="+mn-lt"/>
              <a:ea typeface="+mn-ea"/>
              <a:cs typeface="+mn-cs"/>
            </a:rPr>
            <a:t>Capacity Expansion</a:t>
          </a:r>
          <a:r>
            <a:rPr lang="en-IN" sz="1100" b="0" i="0">
              <a:solidFill>
                <a:schemeClr val="dk1"/>
              </a:solidFill>
              <a:effectLst/>
              <a:latin typeface="+mn-lt"/>
              <a:ea typeface="+mn-ea"/>
              <a:cs typeface="+mn-cs"/>
            </a:rPr>
            <a:t>: UltraTech has set a goal to surpass 200 million tonnes per annum (Mtpa) capacity in FY26, ahead of its original target. The company has also committed a fresh capital expenditure of ₹10,255 crores to add another 22.8 Mtpa capacity, which is expected to go on stream in a phased manner starting from FY28.</a:t>
          </a:r>
        </a:p>
        <a:p>
          <a:pPr marL="171450" indent="-171450">
            <a:buFont typeface="Arial" panose="020B0604020202020204" pitchFamily="34" charset="0"/>
            <a:buChar char="•"/>
          </a:pPr>
          <a:r>
            <a:rPr lang="en-IN" sz="1100" b="1" i="0">
              <a:solidFill>
                <a:schemeClr val="dk1"/>
              </a:solidFill>
              <a:effectLst/>
              <a:latin typeface="+mn-lt"/>
              <a:ea typeface="+mn-ea"/>
              <a:cs typeface="+mn-cs"/>
            </a:rPr>
            <a:t>Acquisitions &amp; Mergers</a:t>
          </a:r>
          <a:r>
            <a:rPr lang="en-IN" sz="1100" b="0" i="0">
              <a:solidFill>
                <a:schemeClr val="dk1"/>
              </a:solidFill>
              <a:effectLst/>
              <a:latin typeface="+mn-lt"/>
              <a:ea typeface="+mn-ea"/>
              <a:cs typeface="+mn-cs"/>
            </a:rPr>
            <a:t>: The composite scheme of arrangement for the acquisition of Kesoram Industries' cement business became effective from March 1, 2025. Additionally, UltraTech successfully acquired a controlling stake in The India Cements Limited (ICEM), making it a subsidiary company as of December 24, 2024.</a:t>
          </a:r>
        </a:p>
        <a:p>
          <a:pPr marL="171450" indent="-171450">
            <a:buFont typeface="Arial" panose="020B0604020202020204" pitchFamily="34" charset="0"/>
            <a:buChar char="•"/>
          </a:pPr>
          <a:r>
            <a:rPr lang="en-IN" sz="1100" b="1" i="0">
              <a:solidFill>
                <a:schemeClr val="dk1"/>
              </a:solidFill>
              <a:effectLst/>
              <a:latin typeface="+mn-lt"/>
              <a:ea typeface="+mn-ea"/>
              <a:cs typeface="+mn-cs"/>
            </a:rPr>
            <a:t>Financial Performance</a:t>
          </a:r>
          <a:r>
            <a:rPr lang="en-IN" sz="1100" b="0" i="0">
              <a:solidFill>
                <a:schemeClr val="dk1"/>
              </a:solidFill>
              <a:effectLst/>
              <a:latin typeface="+mn-lt"/>
              <a:ea typeface="+mn-ea"/>
              <a:cs typeface="+mn-cs"/>
            </a:rPr>
            <a:t>: For the quarter ended September 2025 (Q2 FY26), consolidated revenues decreased by 7.8% quarter-on-quarter (QoQ) but grew by 24.8% year-on-year (YoY). Net profit decreased by 44.3% QoQ but increased by 50.0% YoY.</a:t>
          </a:r>
        </a:p>
        <a:p>
          <a:pPr marL="171450" indent="-171450">
            <a:buFont typeface="Arial" panose="020B0604020202020204" pitchFamily="34" charset="0"/>
            <a:buChar char="•"/>
          </a:pPr>
          <a:r>
            <a:rPr lang="en-IN" sz="1100" b="1" i="0">
              <a:solidFill>
                <a:schemeClr val="dk1"/>
              </a:solidFill>
              <a:effectLst/>
              <a:latin typeface="+mn-lt"/>
              <a:ea typeface="+mn-ea"/>
              <a:cs typeface="+mn-cs"/>
            </a:rPr>
            <a:t>Sustainability &amp; Green Energy</a:t>
          </a:r>
          <a:r>
            <a:rPr lang="en-IN" sz="1100" b="0" i="0">
              <a:solidFill>
                <a:schemeClr val="dk1"/>
              </a:solidFill>
              <a:effectLst/>
              <a:latin typeface="+mn-lt"/>
              <a:ea typeface="+mn-ea"/>
              <a:cs typeface="+mn-cs"/>
            </a:rPr>
            <a:t>: The company commissioned over 1 Gigawatt (GW) of renewable power installations for captive use in FY25. UltraTech's total green energy capacity, including Waste Heat Recovery Systems (WHRS), reached 1.363 GW, covering about 46% of its current power needs.</a:t>
          </a:r>
        </a:p>
        <a:p>
          <a:pPr marL="171450" indent="-171450">
            <a:buFont typeface="Arial" panose="020B0604020202020204" pitchFamily="34" charset="0"/>
            <a:buChar char="•"/>
          </a:pPr>
          <a:r>
            <a:rPr lang="en-IN" sz="1100" b="1" i="0">
              <a:solidFill>
                <a:schemeClr val="dk1"/>
              </a:solidFill>
              <a:effectLst/>
              <a:latin typeface="+mn-lt"/>
              <a:ea typeface="+mn-ea"/>
              <a:cs typeface="+mn-cs"/>
            </a:rPr>
            <a:t>Management Recognition</a:t>
          </a:r>
          <a:r>
            <a:rPr lang="en-IN" sz="1100" b="0" i="0">
              <a:solidFill>
                <a:schemeClr val="dk1"/>
              </a:solidFill>
              <a:effectLst/>
              <a:latin typeface="+mn-lt"/>
              <a:ea typeface="+mn-ea"/>
              <a:cs typeface="+mn-cs"/>
            </a:rPr>
            <a:t>: UltraTech's Managing Director, Mr. K C Jhanwar, has been recognized as one of Fortune India's Best CEOs for the third consecutive year in 2025. </a:t>
          </a:r>
        </a:p>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33293</xdr:colOff>
      <xdr:row>2</xdr:row>
      <xdr:rowOff>44935</xdr:rowOff>
    </xdr:from>
    <xdr:to>
      <xdr:col>11</xdr:col>
      <xdr:colOff>916737</xdr:colOff>
      <xdr:row>6</xdr:row>
      <xdr:rowOff>145567</xdr:rowOff>
    </xdr:to>
    <xdr:pic>
      <xdr:nvPicPr>
        <xdr:cNvPr id="7" name="Picture 6" descr="UltraTech Cement Logo (Aditya Birla) - PNG Logo Vector Brand Downloads  (SVG, EPS)">
          <a:extLst>
            <a:ext uri="{FF2B5EF4-FFF2-40B4-BE49-F238E27FC236}">
              <a16:creationId xmlns:a16="http://schemas.microsoft.com/office/drawing/2014/main" id="{CCC82A9F-33AD-4FD9-8188-D03EF47AE36C}"/>
            </a:ext>
          </a:extLst>
        </xdr:cNvPr>
        <xdr:cNvPicPr>
          <a:picLocks noChangeAspect="1" noChangeArrowheads="1"/>
        </xdr:cNvPicPr>
      </xdr:nvPicPr>
      <xdr:blipFill>
        <a:blip xmlns:r="http://schemas.openxmlformats.org/officeDocument/2006/relationships" r:embed="rId1" cstate="hqprint">
          <a:extLst>
            <a:ext uri="{28A0092B-C50C-407E-A947-70E740481C1C}">
              <a14:useLocalDpi xmlns:a14="http://schemas.microsoft.com/office/drawing/2010/main" val="0"/>
            </a:ext>
          </a:extLst>
        </a:blip>
        <a:srcRect/>
        <a:stretch>
          <a:fillRect/>
        </a:stretch>
      </xdr:blipFill>
      <xdr:spPr bwMode="auto">
        <a:xfrm>
          <a:off x="10344106" y="425935"/>
          <a:ext cx="883444" cy="862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11911</xdr:colOff>
      <xdr:row>2</xdr:row>
      <xdr:rowOff>59533</xdr:rowOff>
    </xdr:from>
    <xdr:to>
      <xdr:col>10</xdr:col>
      <xdr:colOff>619125</xdr:colOff>
      <xdr:row>6</xdr:row>
      <xdr:rowOff>142874</xdr:rowOff>
    </xdr:to>
    <xdr:sp macro="" textlink="">
      <xdr:nvSpPr>
        <xdr:cNvPr id="6" name="Rectangle: Rounded Corners 5">
          <a:extLst>
            <a:ext uri="{FF2B5EF4-FFF2-40B4-BE49-F238E27FC236}">
              <a16:creationId xmlns:a16="http://schemas.microsoft.com/office/drawing/2014/main" id="{40FCC4D3-37FA-4777-9B30-87402574C65E}"/>
            </a:ext>
          </a:extLst>
        </xdr:cNvPr>
        <xdr:cNvSpPr/>
      </xdr:nvSpPr>
      <xdr:spPr>
        <a:xfrm>
          <a:off x="11911" y="440533"/>
          <a:ext cx="10001245" cy="845341"/>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7200" b="1">
              <a:solidFill>
                <a:schemeClr val="accent3"/>
              </a:solidFill>
            </a:rPr>
            <a:t>Ultratech Cement Ltd.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11911</xdr:colOff>
      <xdr:row>2</xdr:row>
      <xdr:rowOff>59533</xdr:rowOff>
    </xdr:from>
    <xdr:to>
      <xdr:col>10</xdr:col>
      <xdr:colOff>619125</xdr:colOff>
      <xdr:row>6</xdr:row>
      <xdr:rowOff>142874</xdr:rowOff>
    </xdr:to>
    <xdr:sp macro="" textlink="">
      <xdr:nvSpPr>
        <xdr:cNvPr id="6" name="Rectangle: Rounded Corners 5">
          <a:extLst>
            <a:ext uri="{FF2B5EF4-FFF2-40B4-BE49-F238E27FC236}">
              <a16:creationId xmlns:a16="http://schemas.microsoft.com/office/drawing/2014/main" id="{301595CF-1256-465A-A8F8-2B9CC7114FC7}"/>
            </a:ext>
          </a:extLst>
        </xdr:cNvPr>
        <xdr:cNvSpPr/>
      </xdr:nvSpPr>
      <xdr:spPr>
        <a:xfrm>
          <a:off x="11911" y="440533"/>
          <a:ext cx="9989339" cy="845341"/>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7200" b="1">
              <a:solidFill>
                <a:schemeClr val="accent3"/>
              </a:solidFill>
            </a:rPr>
            <a:t>Ultratech Cement Ltd.</a:t>
          </a:r>
        </a:p>
      </xdr:txBody>
    </xdr:sp>
    <xdr:clientData/>
  </xdr:twoCellAnchor>
  <xdr:oneCellAnchor>
    <xdr:from>
      <xdr:col>12</xdr:col>
      <xdr:colOff>259510</xdr:colOff>
      <xdr:row>2</xdr:row>
      <xdr:rowOff>44935</xdr:rowOff>
    </xdr:from>
    <xdr:ext cx="885826" cy="862632"/>
    <xdr:pic>
      <xdr:nvPicPr>
        <xdr:cNvPr id="7" name="Picture 6" descr="UltraTech Cement Logo (Aditya Birla) - PNG Logo Vector Brand Downloads  (SVG, EPS)">
          <a:extLst>
            <a:ext uri="{FF2B5EF4-FFF2-40B4-BE49-F238E27FC236}">
              <a16:creationId xmlns:a16="http://schemas.microsoft.com/office/drawing/2014/main" id="{E5DE6953-D6C5-4160-8D7B-E28DD0F6E48F}"/>
            </a:ext>
          </a:extLst>
        </xdr:cNvPr>
        <xdr:cNvPicPr>
          <a:picLocks noChangeAspect="1" noChangeArrowheads="1"/>
        </xdr:cNvPicPr>
      </xdr:nvPicPr>
      <xdr:blipFill>
        <a:blip xmlns:r="http://schemas.openxmlformats.org/officeDocument/2006/relationships" r:embed="rId1" cstate="hqprint">
          <a:extLst>
            <a:ext uri="{28A0092B-C50C-407E-A947-70E740481C1C}">
              <a14:useLocalDpi xmlns:a14="http://schemas.microsoft.com/office/drawing/2010/main" val="0"/>
            </a:ext>
          </a:extLst>
        </a:blip>
        <a:srcRect/>
        <a:stretch>
          <a:fillRect/>
        </a:stretch>
      </xdr:blipFill>
      <xdr:spPr bwMode="auto">
        <a:xfrm>
          <a:off x="11284698" y="378310"/>
          <a:ext cx="885826" cy="8626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11</xdr:col>
      <xdr:colOff>33293</xdr:colOff>
      <xdr:row>2</xdr:row>
      <xdr:rowOff>44935</xdr:rowOff>
    </xdr:from>
    <xdr:to>
      <xdr:col>12</xdr:col>
      <xdr:colOff>2337</xdr:colOff>
      <xdr:row>6</xdr:row>
      <xdr:rowOff>145567</xdr:rowOff>
    </xdr:to>
    <xdr:pic>
      <xdr:nvPicPr>
        <xdr:cNvPr id="4" name="Picture 3" descr="UltraTech Cement Logo (Aditya Birla) - PNG Logo Vector Brand Downloads  (SVG, EPS)">
          <a:extLst>
            <a:ext uri="{FF2B5EF4-FFF2-40B4-BE49-F238E27FC236}">
              <a16:creationId xmlns:a16="http://schemas.microsoft.com/office/drawing/2014/main" id="{5C20D423-4961-463E-BC41-02BD1799CD36}"/>
            </a:ext>
          </a:extLst>
        </xdr:cNvPr>
        <xdr:cNvPicPr>
          <a:picLocks noChangeAspect="1" noChangeArrowheads="1"/>
        </xdr:cNvPicPr>
      </xdr:nvPicPr>
      <xdr:blipFill>
        <a:blip xmlns:r="http://schemas.openxmlformats.org/officeDocument/2006/relationships" r:embed="rId1" cstate="hqprint">
          <a:extLst>
            <a:ext uri="{28A0092B-C50C-407E-A947-70E740481C1C}">
              <a14:useLocalDpi xmlns:a14="http://schemas.microsoft.com/office/drawing/2010/main" val="0"/>
            </a:ext>
          </a:extLst>
        </a:blip>
        <a:srcRect/>
        <a:stretch>
          <a:fillRect/>
        </a:stretch>
      </xdr:blipFill>
      <xdr:spPr bwMode="auto">
        <a:xfrm>
          <a:off x="10329818" y="425935"/>
          <a:ext cx="883444" cy="862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11911</xdr:colOff>
      <xdr:row>2</xdr:row>
      <xdr:rowOff>59533</xdr:rowOff>
    </xdr:from>
    <xdr:to>
      <xdr:col>10</xdr:col>
      <xdr:colOff>619125</xdr:colOff>
      <xdr:row>6</xdr:row>
      <xdr:rowOff>142874</xdr:rowOff>
    </xdr:to>
    <xdr:sp macro="" textlink="">
      <xdr:nvSpPr>
        <xdr:cNvPr id="5" name="Rectangle: Rounded Corners 4">
          <a:extLst>
            <a:ext uri="{FF2B5EF4-FFF2-40B4-BE49-F238E27FC236}">
              <a16:creationId xmlns:a16="http://schemas.microsoft.com/office/drawing/2014/main" id="{3C8DA5BD-E230-42D5-B282-1FAFB9D6EE5B}"/>
            </a:ext>
          </a:extLst>
        </xdr:cNvPr>
        <xdr:cNvSpPr/>
      </xdr:nvSpPr>
      <xdr:spPr>
        <a:xfrm>
          <a:off x="11911" y="440533"/>
          <a:ext cx="9989339" cy="845341"/>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7200" b="1">
              <a:solidFill>
                <a:schemeClr val="accent3"/>
              </a:solidFill>
            </a:rPr>
            <a:t>Ultratech Cement Ltd.</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11911</xdr:colOff>
      <xdr:row>2</xdr:row>
      <xdr:rowOff>59533</xdr:rowOff>
    </xdr:from>
    <xdr:to>
      <xdr:col>10</xdr:col>
      <xdr:colOff>619125</xdr:colOff>
      <xdr:row>6</xdr:row>
      <xdr:rowOff>142874</xdr:rowOff>
    </xdr:to>
    <xdr:sp macro="" textlink="">
      <xdr:nvSpPr>
        <xdr:cNvPr id="5" name="Rectangle: Rounded Corners 4">
          <a:extLst>
            <a:ext uri="{FF2B5EF4-FFF2-40B4-BE49-F238E27FC236}">
              <a16:creationId xmlns:a16="http://schemas.microsoft.com/office/drawing/2014/main" id="{E3BB9DF1-563A-4BE6-B3EE-FB894A8C3AD7}"/>
            </a:ext>
          </a:extLst>
        </xdr:cNvPr>
        <xdr:cNvSpPr/>
      </xdr:nvSpPr>
      <xdr:spPr>
        <a:xfrm>
          <a:off x="11911" y="392908"/>
          <a:ext cx="9875039" cy="845341"/>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7200" b="1">
              <a:solidFill>
                <a:schemeClr val="accent3"/>
              </a:solidFill>
            </a:rPr>
            <a:t>Ultratech Cement Ltd.</a:t>
          </a:r>
        </a:p>
      </xdr:txBody>
    </xdr:sp>
    <xdr:clientData/>
  </xdr:twoCellAnchor>
  <xdr:oneCellAnchor>
    <xdr:from>
      <xdr:col>12</xdr:col>
      <xdr:colOff>33293</xdr:colOff>
      <xdr:row>2</xdr:row>
      <xdr:rowOff>44935</xdr:rowOff>
    </xdr:from>
    <xdr:ext cx="885825" cy="862632"/>
    <xdr:pic>
      <xdr:nvPicPr>
        <xdr:cNvPr id="6" name="Picture 5" descr="UltraTech Cement Logo (Aditya Birla) - PNG Logo Vector Brand Downloads  (SVG, EPS)">
          <a:extLst>
            <a:ext uri="{FF2B5EF4-FFF2-40B4-BE49-F238E27FC236}">
              <a16:creationId xmlns:a16="http://schemas.microsoft.com/office/drawing/2014/main" id="{468E92A5-2D0C-49AB-A8A2-CF7130BF727E}"/>
            </a:ext>
          </a:extLst>
        </xdr:cNvPr>
        <xdr:cNvPicPr>
          <a:picLocks noChangeAspect="1" noChangeArrowheads="1"/>
        </xdr:cNvPicPr>
      </xdr:nvPicPr>
      <xdr:blipFill>
        <a:blip xmlns:r="http://schemas.openxmlformats.org/officeDocument/2006/relationships" r:embed="rId1" cstate="hqprint">
          <a:extLst>
            <a:ext uri="{28A0092B-C50C-407E-A947-70E740481C1C}">
              <a14:useLocalDpi xmlns:a14="http://schemas.microsoft.com/office/drawing/2010/main" val="0"/>
            </a:ext>
          </a:extLst>
        </a:blip>
        <a:srcRect/>
        <a:stretch>
          <a:fillRect/>
        </a:stretch>
      </xdr:blipFill>
      <xdr:spPr bwMode="auto">
        <a:xfrm>
          <a:off x="10117887" y="425935"/>
          <a:ext cx="885825" cy="8626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9</xdr:col>
      <xdr:colOff>130971</xdr:colOff>
      <xdr:row>2</xdr:row>
      <xdr:rowOff>44935</xdr:rowOff>
    </xdr:from>
    <xdr:to>
      <xdr:col>9</xdr:col>
      <xdr:colOff>1014415</xdr:colOff>
      <xdr:row>6</xdr:row>
      <xdr:rowOff>145567</xdr:rowOff>
    </xdr:to>
    <xdr:pic>
      <xdr:nvPicPr>
        <xdr:cNvPr id="4" name="Picture 3" descr="UltraTech Cement Logo (Aditya Birla) - PNG Logo Vector Brand Downloads  (SVG, EPS)">
          <a:extLst>
            <a:ext uri="{FF2B5EF4-FFF2-40B4-BE49-F238E27FC236}">
              <a16:creationId xmlns:a16="http://schemas.microsoft.com/office/drawing/2014/main" id="{56EC0E86-3C54-40F9-AD12-684E4E415294}"/>
            </a:ext>
          </a:extLst>
        </xdr:cNvPr>
        <xdr:cNvPicPr>
          <a:picLocks noChangeAspect="1" noChangeArrowheads="1"/>
        </xdr:cNvPicPr>
      </xdr:nvPicPr>
      <xdr:blipFill>
        <a:blip xmlns:r="http://schemas.openxmlformats.org/officeDocument/2006/relationships" r:embed="rId1" cstate="hqprint">
          <a:extLst>
            <a:ext uri="{28A0092B-C50C-407E-A947-70E740481C1C}">
              <a14:useLocalDpi xmlns:a14="http://schemas.microsoft.com/office/drawing/2010/main" val="0"/>
            </a:ext>
          </a:extLst>
        </a:blip>
        <a:srcRect/>
        <a:stretch>
          <a:fillRect/>
        </a:stretch>
      </xdr:blipFill>
      <xdr:spPr bwMode="auto">
        <a:xfrm>
          <a:off x="8584409" y="425935"/>
          <a:ext cx="883444" cy="862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23818</xdr:colOff>
      <xdr:row>2</xdr:row>
      <xdr:rowOff>59533</xdr:rowOff>
    </xdr:from>
    <xdr:to>
      <xdr:col>8</xdr:col>
      <xdr:colOff>500063</xdr:colOff>
      <xdr:row>6</xdr:row>
      <xdr:rowOff>142874</xdr:rowOff>
    </xdr:to>
    <xdr:sp macro="" textlink="">
      <xdr:nvSpPr>
        <xdr:cNvPr id="5" name="Rectangle: Rounded Corners 4">
          <a:extLst>
            <a:ext uri="{FF2B5EF4-FFF2-40B4-BE49-F238E27FC236}">
              <a16:creationId xmlns:a16="http://schemas.microsoft.com/office/drawing/2014/main" id="{FC16832B-BB0B-420D-B9D2-019059E947E2}"/>
            </a:ext>
          </a:extLst>
        </xdr:cNvPr>
        <xdr:cNvSpPr/>
      </xdr:nvSpPr>
      <xdr:spPr>
        <a:xfrm>
          <a:off x="23818" y="440533"/>
          <a:ext cx="7953370" cy="845341"/>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6600" b="1">
              <a:solidFill>
                <a:schemeClr val="accent3"/>
              </a:solidFill>
            </a:rPr>
            <a:t>Ultratech Cement Ltd.</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23818</xdr:colOff>
      <xdr:row>2</xdr:row>
      <xdr:rowOff>59533</xdr:rowOff>
    </xdr:from>
    <xdr:to>
      <xdr:col>9</xdr:col>
      <xdr:colOff>785813</xdr:colOff>
      <xdr:row>6</xdr:row>
      <xdr:rowOff>142874</xdr:rowOff>
    </xdr:to>
    <xdr:sp macro="" textlink="">
      <xdr:nvSpPr>
        <xdr:cNvPr id="9" name="Rectangle: Rounded Corners 8">
          <a:extLst>
            <a:ext uri="{FF2B5EF4-FFF2-40B4-BE49-F238E27FC236}">
              <a16:creationId xmlns:a16="http://schemas.microsoft.com/office/drawing/2014/main" id="{7793562A-26D9-45C2-BF21-6D4674974522}"/>
            </a:ext>
          </a:extLst>
        </xdr:cNvPr>
        <xdr:cNvSpPr/>
      </xdr:nvSpPr>
      <xdr:spPr>
        <a:xfrm>
          <a:off x="23818" y="440533"/>
          <a:ext cx="7965276" cy="845341"/>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6000" b="1">
              <a:solidFill>
                <a:schemeClr val="accent3"/>
              </a:solidFill>
            </a:rPr>
            <a:t>Ultratech Cement Ltd.</a:t>
          </a:r>
        </a:p>
      </xdr:txBody>
    </xdr:sp>
    <xdr:clientData/>
  </xdr:twoCellAnchor>
  <xdr:oneCellAnchor>
    <xdr:from>
      <xdr:col>9</xdr:col>
      <xdr:colOff>797724</xdr:colOff>
      <xdr:row>2</xdr:row>
      <xdr:rowOff>44935</xdr:rowOff>
    </xdr:from>
    <xdr:ext cx="883444" cy="862632"/>
    <xdr:pic>
      <xdr:nvPicPr>
        <xdr:cNvPr id="12" name="Picture 11" descr="UltraTech Cement Logo (Aditya Birla) - PNG Logo Vector Brand Downloads  (SVG, EPS)">
          <a:extLst>
            <a:ext uri="{FF2B5EF4-FFF2-40B4-BE49-F238E27FC236}">
              <a16:creationId xmlns:a16="http://schemas.microsoft.com/office/drawing/2014/main" id="{CCDADC17-F146-4B98-AAB9-9FF6EEE7D059}"/>
            </a:ext>
          </a:extLst>
        </xdr:cNvPr>
        <xdr:cNvPicPr>
          <a:picLocks noChangeAspect="1" noChangeArrowheads="1"/>
        </xdr:cNvPicPr>
      </xdr:nvPicPr>
      <xdr:blipFill>
        <a:blip xmlns:r="http://schemas.openxmlformats.org/officeDocument/2006/relationships" r:embed="rId1" cstate="hqprint">
          <a:extLst>
            <a:ext uri="{28A0092B-C50C-407E-A947-70E740481C1C}">
              <a14:useLocalDpi xmlns:a14="http://schemas.microsoft.com/office/drawing/2010/main" val="0"/>
            </a:ext>
          </a:extLst>
        </a:blip>
        <a:srcRect/>
        <a:stretch>
          <a:fillRect/>
        </a:stretch>
      </xdr:blipFill>
      <xdr:spPr bwMode="auto">
        <a:xfrm>
          <a:off x="8001005" y="425935"/>
          <a:ext cx="883444" cy="8626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8.xml><?xml version="1.0" encoding="utf-8"?>
<xdr:wsDr xmlns:xdr="http://schemas.openxmlformats.org/drawingml/2006/spreadsheetDrawing" xmlns:a="http://schemas.openxmlformats.org/drawingml/2006/main">
  <xdr:twoCellAnchor>
    <xdr:from>
      <xdr:col>0</xdr:col>
      <xdr:colOff>11912</xdr:colOff>
      <xdr:row>2</xdr:row>
      <xdr:rowOff>59533</xdr:rowOff>
    </xdr:from>
    <xdr:to>
      <xdr:col>9</xdr:col>
      <xdr:colOff>416718</xdr:colOff>
      <xdr:row>6</xdr:row>
      <xdr:rowOff>142874</xdr:rowOff>
    </xdr:to>
    <xdr:sp macro="" textlink="">
      <xdr:nvSpPr>
        <xdr:cNvPr id="6" name="Rectangle: Rounded Corners 5">
          <a:extLst>
            <a:ext uri="{FF2B5EF4-FFF2-40B4-BE49-F238E27FC236}">
              <a16:creationId xmlns:a16="http://schemas.microsoft.com/office/drawing/2014/main" id="{59C515F7-AC7E-4C88-BF9F-10467559CA4E}"/>
            </a:ext>
          </a:extLst>
        </xdr:cNvPr>
        <xdr:cNvSpPr/>
      </xdr:nvSpPr>
      <xdr:spPr>
        <a:xfrm>
          <a:off x="11912" y="440533"/>
          <a:ext cx="7393775" cy="845341"/>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6000" b="1">
              <a:solidFill>
                <a:schemeClr val="accent3"/>
              </a:solidFill>
            </a:rPr>
            <a:t>Ultratech Cement Ltd.</a:t>
          </a:r>
        </a:p>
      </xdr:txBody>
    </xdr:sp>
    <xdr:clientData/>
  </xdr:twoCellAnchor>
  <xdr:oneCellAnchor>
    <xdr:from>
      <xdr:col>14</xdr:col>
      <xdr:colOff>773897</xdr:colOff>
      <xdr:row>2</xdr:row>
      <xdr:rowOff>44935</xdr:rowOff>
    </xdr:from>
    <xdr:ext cx="883444" cy="862632"/>
    <xdr:pic>
      <xdr:nvPicPr>
        <xdr:cNvPr id="7" name="Picture 6" descr="UltraTech Cement Logo (Aditya Birla) - PNG Logo Vector Brand Downloads  (SVG, EPS)">
          <a:extLst>
            <a:ext uri="{FF2B5EF4-FFF2-40B4-BE49-F238E27FC236}">
              <a16:creationId xmlns:a16="http://schemas.microsoft.com/office/drawing/2014/main" id="{CED71D16-8092-43DB-8DAD-FDB12E309F8A}"/>
            </a:ext>
          </a:extLst>
        </xdr:cNvPr>
        <xdr:cNvPicPr>
          <a:picLocks noChangeAspect="1" noChangeArrowheads="1"/>
        </xdr:cNvPicPr>
      </xdr:nvPicPr>
      <xdr:blipFill>
        <a:blip xmlns:r="http://schemas.openxmlformats.org/officeDocument/2006/relationships" r:embed="rId1" cstate="hqprint">
          <a:extLst>
            <a:ext uri="{28A0092B-C50C-407E-A947-70E740481C1C}">
              <a14:useLocalDpi xmlns:a14="http://schemas.microsoft.com/office/drawing/2010/main" val="0"/>
            </a:ext>
          </a:extLst>
        </a:blip>
        <a:srcRect/>
        <a:stretch>
          <a:fillRect/>
        </a:stretch>
      </xdr:blipFill>
      <xdr:spPr bwMode="auto">
        <a:xfrm>
          <a:off x="11989585" y="425935"/>
          <a:ext cx="883444" cy="8626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xdr:col>
      <xdr:colOff>797719</xdr:colOff>
      <xdr:row>39</xdr:row>
      <xdr:rowOff>190498</xdr:rowOff>
    </xdr:from>
    <xdr:to>
      <xdr:col>15</xdr:col>
      <xdr:colOff>750093</xdr:colOff>
      <xdr:row>50</xdr:row>
      <xdr:rowOff>119060</xdr:rowOff>
    </xdr:to>
    <xdr:sp macro="" textlink="">
      <xdr:nvSpPr>
        <xdr:cNvPr id="3" name="TextBox 2">
          <a:extLst>
            <a:ext uri="{FF2B5EF4-FFF2-40B4-BE49-F238E27FC236}">
              <a16:creationId xmlns:a16="http://schemas.microsoft.com/office/drawing/2014/main" id="{78927EFE-E161-4509-A66B-BCE498BB8A5D}"/>
            </a:ext>
          </a:extLst>
        </xdr:cNvPr>
        <xdr:cNvSpPr txBox="1"/>
      </xdr:nvSpPr>
      <xdr:spPr>
        <a:xfrm>
          <a:off x="3571875" y="7405686"/>
          <a:ext cx="8405812" cy="2047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i="1"/>
            <a:t>1. Expected Growth (10.11%):</a:t>
          </a:r>
          <a:r>
            <a:rPr lang="en-IN" i="1"/>
            <a:t> Derived from 4-year median Intrinsic Growth (ROIC × Reinvestment Rate). Median preferred over average (10.72%) to reduce FY24 M&amp;A distortion. Independently validated against UltraTech's 5-year revenue CAGR of 11.2% (FY20–FY25).</a:t>
          </a:r>
        </a:p>
        <a:p>
          <a:r>
            <a:rPr lang="en-IN" b="1" i="1"/>
            <a:t>2. Growth Glide Path (10.11% to</a:t>
          </a:r>
          <a:r>
            <a:rPr lang="en-IN" b="1" i="1" baseline="0"/>
            <a:t> 5</a:t>
          </a:r>
          <a:r>
            <a:rPr lang="en-IN" b="1" i="1"/>
            <a:t>.3%):</a:t>
          </a:r>
          <a:r>
            <a:rPr lang="en-IN" i="1"/>
            <a:t> Growth normalized to 7% by FY30 reflecting capacity utilization recovery post India Cements and Kesoram integration. Post-FY30 step-down anchored to India cement demand CAGR of 6–8%. Terminal growth of 6.8% = 62% of India's long-run nominal GDP growth,</a:t>
          </a:r>
          <a:r>
            <a:rPr lang="en-IN" i="1" baseline="0"/>
            <a:t> </a:t>
          </a:r>
          <a:r>
            <a:rPr lang="en-IN" i="1"/>
            <a:t>standard for capital-intensive infrastructure companies.</a:t>
          </a:r>
        </a:p>
        <a:p>
          <a:r>
            <a:rPr lang="en-IN" b="1" i="1"/>
            <a:t>3. Reinvestment Rate (86.39% to</a:t>
          </a:r>
          <a:r>
            <a:rPr lang="en-IN" b="1" i="1" baseline="0"/>
            <a:t> </a:t>
          </a:r>
          <a:r>
            <a:rPr lang="en-IN" b="1" i="1"/>
            <a:t>35%):</a:t>
          </a:r>
          <a:r>
            <a:rPr lang="en-IN" i="1"/>
            <a:t> Base = 4-year median FY22–FY25. FY24's 116.5% rate excluded via median (not average) as it reflects India Cements acquisition, a non-recurring capital event. Normalizes to 35% by FY35 upon completion of UltraTech's announced INR 32,000 Cr capex program, consistent with sector steady-state reinvestment of 35–45%.</a:t>
          </a:r>
        </a:p>
        <a:p>
          <a:r>
            <a:rPr lang="en-IN" b="1" i="1"/>
            <a:t>4. Terminal Value Weight (64.87%):</a:t>
          </a:r>
          <a:r>
            <a:rPr lang="en-IN" i="1"/>
            <a:t> Acceptable for a 10-year DCF where near-term FCF is suppressed by acquisition cycle. Significantly lower than a 5-year model (&gt;80%). Sensitivity table confirms equity value stays below INR 5,500 across all WACC and growth scenarios,</a:t>
          </a:r>
          <a:r>
            <a:rPr lang="en-IN" i="1" baseline="0"/>
            <a:t> </a:t>
          </a:r>
          <a:r>
            <a:rPr lang="en-IN" i="1"/>
            <a:t>CMP of INR 11,937 exceeds every scenario tested, supporting the AVOID recommendation.</a:t>
          </a:r>
        </a:p>
        <a:p>
          <a:endParaRPr lang="en-IN" sz="1100" i="1"/>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11911</xdr:colOff>
      <xdr:row>2</xdr:row>
      <xdr:rowOff>59533</xdr:rowOff>
    </xdr:from>
    <xdr:to>
      <xdr:col>10</xdr:col>
      <xdr:colOff>619125</xdr:colOff>
      <xdr:row>6</xdr:row>
      <xdr:rowOff>142874</xdr:rowOff>
    </xdr:to>
    <xdr:sp macro="" textlink="">
      <xdr:nvSpPr>
        <xdr:cNvPr id="4" name="Rectangle: Rounded Corners 3">
          <a:extLst>
            <a:ext uri="{FF2B5EF4-FFF2-40B4-BE49-F238E27FC236}">
              <a16:creationId xmlns:a16="http://schemas.microsoft.com/office/drawing/2014/main" id="{2B81582B-DEB1-4B6C-9ACE-C132C0D5110C}"/>
            </a:ext>
          </a:extLst>
        </xdr:cNvPr>
        <xdr:cNvSpPr/>
      </xdr:nvSpPr>
      <xdr:spPr>
        <a:xfrm>
          <a:off x="11911" y="440533"/>
          <a:ext cx="9798839" cy="845341"/>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7200" b="1">
              <a:solidFill>
                <a:schemeClr val="accent3"/>
              </a:solidFill>
            </a:rPr>
            <a:t>Ultratech Cement Ltd.</a:t>
          </a:r>
        </a:p>
      </xdr:txBody>
    </xdr:sp>
    <xdr:clientData/>
  </xdr:twoCellAnchor>
  <xdr:oneCellAnchor>
    <xdr:from>
      <xdr:col>14</xdr:col>
      <xdr:colOff>735756</xdr:colOff>
      <xdr:row>2</xdr:row>
      <xdr:rowOff>44935</xdr:rowOff>
    </xdr:from>
    <xdr:ext cx="885825" cy="862632"/>
    <xdr:pic>
      <xdr:nvPicPr>
        <xdr:cNvPr id="5" name="Picture 4" descr="UltraTech Cement Logo (Aditya Birla) - PNG Logo Vector Brand Downloads  (SVG, EPS)">
          <a:extLst>
            <a:ext uri="{FF2B5EF4-FFF2-40B4-BE49-F238E27FC236}">
              <a16:creationId xmlns:a16="http://schemas.microsoft.com/office/drawing/2014/main" id="{82A247F2-38AF-4499-9C4B-18BB9ECAE62D}"/>
            </a:ext>
          </a:extLst>
        </xdr:cNvPr>
        <xdr:cNvPicPr>
          <a:picLocks noChangeAspect="1" noChangeArrowheads="1"/>
        </xdr:cNvPicPr>
      </xdr:nvPicPr>
      <xdr:blipFill>
        <a:blip xmlns:r="http://schemas.openxmlformats.org/officeDocument/2006/relationships" r:embed="rId1" cstate="hqprint">
          <a:extLst>
            <a:ext uri="{28A0092B-C50C-407E-A947-70E740481C1C}">
              <a14:useLocalDpi xmlns:a14="http://schemas.microsoft.com/office/drawing/2010/main" val="0"/>
            </a:ext>
          </a:extLst>
        </a:blip>
        <a:srcRect/>
        <a:stretch>
          <a:fillRect/>
        </a:stretch>
      </xdr:blipFill>
      <xdr:spPr bwMode="auto">
        <a:xfrm>
          <a:off x="11653787" y="425935"/>
          <a:ext cx="885825" cy="8626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0.xml><?xml version="1.0" encoding="utf-8"?>
<xdr:wsDr xmlns:xdr="http://schemas.openxmlformats.org/drawingml/2006/spreadsheetDrawing" xmlns:a="http://schemas.openxmlformats.org/drawingml/2006/main">
  <xdr:twoCellAnchor>
    <xdr:from>
      <xdr:col>1</xdr:col>
      <xdr:colOff>66675</xdr:colOff>
      <xdr:row>8</xdr:row>
      <xdr:rowOff>4761</xdr:rowOff>
    </xdr:from>
    <xdr:to>
      <xdr:col>15</xdr:col>
      <xdr:colOff>488157</xdr:colOff>
      <xdr:row>30</xdr:row>
      <xdr:rowOff>23812</xdr:rowOff>
    </xdr:to>
    <xdr:graphicFrame macro="">
      <xdr:nvGraphicFramePr>
        <xdr:cNvPr id="2" name="Chart 1">
          <a:extLst>
            <a:ext uri="{FF2B5EF4-FFF2-40B4-BE49-F238E27FC236}">
              <a16:creationId xmlns:a16="http://schemas.microsoft.com/office/drawing/2014/main" id="{FF36DA6E-1D46-4347-9407-D8D6F62594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57150</xdr:colOff>
      <xdr:row>2</xdr:row>
      <xdr:rowOff>59534</xdr:rowOff>
    </xdr:from>
    <xdr:to>
      <xdr:col>18</xdr:col>
      <xdr:colOff>311941</xdr:colOff>
      <xdr:row>6</xdr:row>
      <xdr:rowOff>161928</xdr:rowOff>
    </xdr:to>
    <xdr:sp macro="" textlink="">
      <xdr:nvSpPr>
        <xdr:cNvPr id="5" name="Rectangle: Rounded Corners 4">
          <a:extLst>
            <a:ext uri="{FF2B5EF4-FFF2-40B4-BE49-F238E27FC236}">
              <a16:creationId xmlns:a16="http://schemas.microsoft.com/office/drawing/2014/main" id="{F7187385-81A1-400B-89A5-B0582FE930F3}"/>
            </a:ext>
          </a:extLst>
        </xdr:cNvPr>
        <xdr:cNvSpPr/>
      </xdr:nvSpPr>
      <xdr:spPr>
        <a:xfrm>
          <a:off x="57150" y="440534"/>
          <a:ext cx="11434760" cy="864394"/>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6000" b="1" u="none">
              <a:solidFill>
                <a:schemeClr val="accent3"/>
              </a:solidFill>
            </a:rPr>
            <a:t>Ultratech Cement Ltd.</a:t>
          </a:r>
        </a:p>
      </xdr:txBody>
    </xdr:sp>
    <xdr:clientData/>
  </xdr:twoCellAnchor>
  <xdr:twoCellAnchor editAs="oneCell">
    <xdr:from>
      <xdr:col>19</xdr:col>
      <xdr:colOff>542925</xdr:colOff>
      <xdr:row>2</xdr:row>
      <xdr:rowOff>69057</xdr:rowOff>
    </xdr:from>
    <xdr:to>
      <xdr:col>20</xdr:col>
      <xdr:colOff>707232</xdr:colOff>
      <xdr:row>6</xdr:row>
      <xdr:rowOff>169689</xdr:rowOff>
    </xdr:to>
    <xdr:pic>
      <xdr:nvPicPr>
        <xdr:cNvPr id="6" name="Picture 5" descr="UltraTech Cement Logo (Aditya Birla) - PNG Logo Vector Brand Downloads  (SVG, EPS)">
          <a:extLst>
            <a:ext uri="{FF2B5EF4-FFF2-40B4-BE49-F238E27FC236}">
              <a16:creationId xmlns:a16="http://schemas.microsoft.com/office/drawing/2014/main" id="{CF562DF2-2D20-400D-A982-D5211FD67305}"/>
            </a:ext>
          </a:extLst>
        </xdr:cNvPr>
        <xdr:cNvPicPr>
          <a:picLocks noChangeAspect="1" noChangeArrowheads="1"/>
        </xdr:cNvPicPr>
      </xdr:nvPicPr>
      <xdr:blipFill>
        <a:blip xmlns:r="http://schemas.openxmlformats.org/officeDocument/2006/relationships" r:embed="rId2" cstate="hqprint">
          <a:extLst>
            <a:ext uri="{28A0092B-C50C-407E-A947-70E740481C1C}">
              <a14:useLocalDpi xmlns:a14="http://schemas.microsoft.com/office/drawing/2010/main" val="0"/>
            </a:ext>
          </a:extLst>
        </a:blip>
        <a:srcRect/>
        <a:stretch>
          <a:fillRect/>
        </a:stretch>
      </xdr:blipFill>
      <xdr:spPr bwMode="auto">
        <a:xfrm>
          <a:off x="12437269" y="450057"/>
          <a:ext cx="878682" cy="862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9</xdr:col>
      <xdr:colOff>5953</xdr:colOff>
      <xdr:row>31</xdr:row>
      <xdr:rowOff>92869</xdr:rowOff>
    </xdr:from>
    <xdr:to>
      <xdr:col>13</xdr:col>
      <xdr:colOff>821531</xdr:colOff>
      <xdr:row>45</xdr:row>
      <xdr:rowOff>59531</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E348C564-720A-49CC-89C4-93D3397D523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235303" y="5998369"/>
              <a:ext cx="4206478" cy="263366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11911</xdr:colOff>
      <xdr:row>2</xdr:row>
      <xdr:rowOff>59533</xdr:rowOff>
    </xdr:from>
    <xdr:to>
      <xdr:col>12</xdr:col>
      <xdr:colOff>440531</xdr:colOff>
      <xdr:row>6</xdr:row>
      <xdr:rowOff>142874</xdr:rowOff>
    </xdr:to>
    <xdr:sp macro="" textlink="">
      <xdr:nvSpPr>
        <xdr:cNvPr id="6" name="Rectangle: Rounded Corners 5">
          <a:extLst>
            <a:ext uri="{FF2B5EF4-FFF2-40B4-BE49-F238E27FC236}">
              <a16:creationId xmlns:a16="http://schemas.microsoft.com/office/drawing/2014/main" id="{97516864-59F1-4AC8-A91A-42ABCFE80FC9}"/>
            </a:ext>
          </a:extLst>
        </xdr:cNvPr>
        <xdr:cNvSpPr/>
      </xdr:nvSpPr>
      <xdr:spPr>
        <a:xfrm>
          <a:off x="11911" y="440533"/>
          <a:ext cx="9179714" cy="845341"/>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7200" b="1">
              <a:solidFill>
                <a:schemeClr val="accent3"/>
              </a:solidFill>
            </a:rPr>
            <a:t>Ultratech Cement Ltd.</a:t>
          </a:r>
        </a:p>
      </xdr:txBody>
    </xdr:sp>
    <xdr:clientData/>
  </xdr:twoCellAnchor>
  <xdr:oneCellAnchor>
    <xdr:from>
      <xdr:col>12</xdr:col>
      <xdr:colOff>797719</xdr:colOff>
      <xdr:row>2</xdr:row>
      <xdr:rowOff>44935</xdr:rowOff>
    </xdr:from>
    <xdr:ext cx="885825" cy="862632"/>
    <xdr:pic>
      <xdr:nvPicPr>
        <xdr:cNvPr id="7" name="Picture 6" descr="UltraTech Cement Logo (Aditya Birla) - PNG Logo Vector Brand Downloads  (SVG, EPS)">
          <a:extLst>
            <a:ext uri="{FF2B5EF4-FFF2-40B4-BE49-F238E27FC236}">
              <a16:creationId xmlns:a16="http://schemas.microsoft.com/office/drawing/2014/main" id="{0DCF276D-D117-4FDA-8159-D67FC541C7B3}"/>
            </a:ext>
          </a:extLst>
        </xdr:cNvPr>
        <xdr:cNvPicPr>
          <a:picLocks noChangeAspect="1" noChangeArrowheads="1"/>
        </xdr:cNvPicPr>
      </xdr:nvPicPr>
      <xdr:blipFill>
        <a:blip xmlns:r="http://schemas.openxmlformats.org/officeDocument/2006/relationships" r:embed="rId2" cstate="hqprint">
          <a:extLst>
            <a:ext uri="{28A0092B-C50C-407E-A947-70E740481C1C}">
              <a14:useLocalDpi xmlns:a14="http://schemas.microsoft.com/office/drawing/2010/main" val="0"/>
            </a:ext>
          </a:extLst>
        </a:blip>
        <a:srcRect/>
        <a:stretch>
          <a:fillRect/>
        </a:stretch>
      </xdr:blipFill>
      <xdr:spPr bwMode="auto">
        <a:xfrm>
          <a:off x="9548813" y="425935"/>
          <a:ext cx="885825" cy="8626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2.xml><?xml version="1.0" encoding="utf-8"?>
<xdr:wsDr xmlns:xdr="http://schemas.openxmlformats.org/drawingml/2006/spreadsheetDrawing" xmlns:a="http://schemas.openxmlformats.org/drawingml/2006/main">
  <xdr:twoCellAnchor>
    <xdr:from>
      <xdr:col>1</xdr:col>
      <xdr:colOff>130969</xdr:colOff>
      <xdr:row>19</xdr:row>
      <xdr:rowOff>166688</xdr:rowOff>
    </xdr:from>
    <xdr:to>
      <xdr:col>10</xdr:col>
      <xdr:colOff>645319</xdr:colOff>
      <xdr:row>39</xdr:row>
      <xdr:rowOff>47624</xdr:rowOff>
    </xdr:to>
    <xdr:grpSp>
      <xdr:nvGrpSpPr>
        <xdr:cNvPr id="12" name="Group 11">
          <a:extLst>
            <a:ext uri="{FF2B5EF4-FFF2-40B4-BE49-F238E27FC236}">
              <a16:creationId xmlns:a16="http://schemas.microsoft.com/office/drawing/2014/main" id="{00000000-0008-0000-0400-00000C000000}"/>
            </a:ext>
          </a:extLst>
        </xdr:cNvPr>
        <xdr:cNvGrpSpPr/>
      </xdr:nvGrpSpPr>
      <xdr:grpSpPr>
        <a:xfrm>
          <a:off x="250032" y="3536157"/>
          <a:ext cx="9551193" cy="3690936"/>
          <a:chOff x="314325" y="723900"/>
          <a:chExt cx="9077325" cy="3867150"/>
        </a:xfrm>
      </xdr:grpSpPr>
      <xdr:graphicFrame macro="">
        <xdr:nvGraphicFramePr>
          <xdr:cNvPr id="6" name="Chart 5">
            <a:extLst>
              <a:ext uri="{FF2B5EF4-FFF2-40B4-BE49-F238E27FC236}">
                <a16:creationId xmlns:a16="http://schemas.microsoft.com/office/drawing/2014/main" id="{00000000-0008-0000-0400-000006000000}"/>
              </a:ext>
            </a:extLst>
          </xdr:cNvPr>
          <xdr:cNvGraphicFramePr/>
        </xdr:nvGraphicFramePr>
        <xdr:xfrm>
          <a:off x="3657600" y="742951"/>
          <a:ext cx="2419350" cy="177165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7" name="Chart 6">
            <a:extLst>
              <a:ext uri="{FF2B5EF4-FFF2-40B4-BE49-F238E27FC236}">
                <a16:creationId xmlns:a16="http://schemas.microsoft.com/office/drawing/2014/main" id="{00000000-0008-0000-0400-000007000000}"/>
              </a:ext>
            </a:extLst>
          </xdr:cNvPr>
          <xdr:cNvGraphicFramePr>
            <a:graphicFrameLocks/>
          </xdr:cNvGraphicFramePr>
        </xdr:nvGraphicFramePr>
        <xdr:xfrm>
          <a:off x="361950" y="723900"/>
          <a:ext cx="2419350" cy="177165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8" name="Chart 7">
            <a:extLst>
              <a:ext uri="{FF2B5EF4-FFF2-40B4-BE49-F238E27FC236}">
                <a16:creationId xmlns:a16="http://schemas.microsoft.com/office/drawing/2014/main" id="{00000000-0008-0000-0400-000008000000}"/>
              </a:ext>
            </a:extLst>
          </xdr:cNvPr>
          <xdr:cNvGraphicFramePr>
            <a:graphicFrameLocks/>
          </xdr:cNvGraphicFramePr>
        </xdr:nvGraphicFramePr>
        <xdr:xfrm>
          <a:off x="6962775" y="742950"/>
          <a:ext cx="2419350" cy="177165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9" name="Chart 8">
            <a:extLst>
              <a:ext uri="{FF2B5EF4-FFF2-40B4-BE49-F238E27FC236}">
                <a16:creationId xmlns:a16="http://schemas.microsoft.com/office/drawing/2014/main" id="{00000000-0008-0000-0400-000009000000}"/>
              </a:ext>
            </a:extLst>
          </xdr:cNvPr>
          <xdr:cNvGraphicFramePr>
            <a:graphicFrameLocks/>
          </xdr:cNvGraphicFramePr>
        </xdr:nvGraphicFramePr>
        <xdr:xfrm>
          <a:off x="314325" y="2819400"/>
          <a:ext cx="2419350" cy="177165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0" name="Chart 9">
            <a:extLst>
              <a:ext uri="{FF2B5EF4-FFF2-40B4-BE49-F238E27FC236}">
                <a16:creationId xmlns:a16="http://schemas.microsoft.com/office/drawing/2014/main" id="{00000000-0008-0000-0400-00000A000000}"/>
              </a:ext>
            </a:extLst>
          </xdr:cNvPr>
          <xdr:cNvGraphicFramePr>
            <a:graphicFrameLocks/>
          </xdr:cNvGraphicFramePr>
        </xdr:nvGraphicFramePr>
        <xdr:xfrm>
          <a:off x="3638550" y="2790825"/>
          <a:ext cx="2419350" cy="177165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1" name="Chart 10">
            <a:extLst>
              <a:ext uri="{FF2B5EF4-FFF2-40B4-BE49-F238E27FC236}">
                <a16:creationId xmlns:a16="http://schemas.microsoft.com/office/drawing/2014/main" id="{00000000-0008-0000-0400-00000B000000}"/>
              </a:ext>
            </a:extLst>
          </xdr:cNvPr>
          <xdr:cNvGraphicFramePr>
            <a:graphicFrameLocks/>
          </xdr:cNvGraphicFramePr>
        </xdr:nvGraphicFramePr>
        <xdr:xfrm>
          <a:off x="6972300" y="2743200"/>
          <a:ext cx="2419350" cy="177165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oneCellAnchor>
    <xdr:from>
      <xdr:col>0</xdr:col>
      <xdr:colOff>107156</xdr:colOff>
      <xdr:row>41</xdr:row>
      <xdr:rowOff>51081</xdr:rowOff>
    </xdr:from>
    <xdr:ext cx="9929812" cy="953466"/>
    <xdr:sp macro="" textlink="">
      <xdr:nvSpPr>
        <xdr:cNvPr id="2" name="TextBox 1">
          <a:extLst>
            <a:ext uri="{FF2B5EF4-FFF2-40B4-BE49-F238E27FC236}">
              <a16:creationId xmlns:a16="http://schemas.microsoft.com/office/drawing/2014/main" id="{B431504D-9888-49C6-B0A7-52F567165B6B}"/>
            </a:ext>
          </a:extLst>
        </xdr:cNvPr>
        <xdr:cNvSpPr txBox="1"/>
      </xdr:nvSpPr>
      <xdr:spPr>
        <a:xfrm>
          <a:off x="107156" y="7218644"/>
          <a:ext cx="9929812" cy="9534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spAutoFit/>
        </a:bodyPr>
        <a:lstStyle/>
        <a:p>
          <a:pPr marL="171450" indent="-171450">
            <a:buFont typeface="Wingdings" panose="05000000000000000000" pitchFamily="2" charset="2"/>
            <a:buChar char="§"/>
          </a:pPr>
          <a:r>
            <a:rPr lang="en-IN" sz="1100" b="0" i="0">
              <a:solidFill>
                <a:schemeClr val="dk1"/>
              </a:solidFill>
              <a:effectLst/>
              <a:latin typeface="+mn-lt"/>
              <a:ea typeface="+mn-ea"/>
              <a:cs typeface="+mn-cs"/>
            </a:rPr>
            <a:t>UltraTech Cement's latest twelve months return on common equity is 10.9%</a:t>
          </a:r>
        </a:p>
        <a:p>
          <a:pPr marL="171450" indent="-171450">
            <a:buFont typeface="Wingdings" panose="05000000000000000000" pitchFamily="2" charset="2"/>
            <a:buChar char="§"/>
          </a:pPr>
          <a:r>
            <a:rPr lang="en-IN" sz="1100" b="0" i="0">
              <a:solidFill>
                <a:schemeClr val="dk1"/>
              </a:solidFill>
              <a:effectLst/>
              <a:latin typeface="+mn-lt"/>
              <a:ea typeface="+mn-ea"/>
              <a:cs typeface="+mn-cs"/>
            </a:rPr>
            <a:t>UltraTech Cement's return on common equity for fiscal years ending March 2021 to 2025 averaged 11.8%.</a:t>
          </a:r>
        </a:p>
        <a:p>
          <a:pPr marL="171450" indent="-171450">
            <a:buFont typeface="Wingdings" panose="05000000000000000000" pitchFamily="2" charset="2"/>
            <a:buChar char="§"/>
          </a:pPr>
          <a:r>
            <a:rPr lang="en-IN" sz="1100" b="0" i="0">
              <a:solidFill>
                <a:schemeClr val="dk1"/>
              </a:solidFill>
              <a:effectLst/>
              <a:latin typeface="+mn-lt"/>
              <a:ea typeface="+mn-ea"/>
              <a:cs typeface="+mn-cs"/>
            </a:rPr>
            <a:t>UltraTech Cement's operated at median return on common equity of 12.2% from fiscal years ending March 2021 to 2025.</a:t>
          </a:r>
        </a:p>
        <a:p>
          <a:pPr marL="171450" indent="-171450">
            <a:buFont typeface="Wingdings" panose="05000000000000000000" pitchFamily="2" charset="2"/>
            <a:buChar char="§"/>
          </a:pPr>
          <a:r>
            <a:rPr lang="en-IN" sz="1100" b="0" i="0">
              <a:solidFill>
                <a:schemeClr val="dk1"/>
              </a:solidFill>
              <a:effectLst/>
              <a:latin typeface="+mn-lt"/>
              <a:ea typeface="+mn-ea"/>
              <a:cs typeface="+mn-cs"/>
            </a:rPr>
            <a:t>Looking back at the last 5 years, UltraTech Cement's return on common equity peaked in March 2022 at 15.2%.</a:t>
          </a:r>
        </a:p>
        <a:p>
          <a:pPr marL="171450" indent="-171450">
            <a:buFont typeface="Wingdings" panose="05000000000000000000" pitchFamily="2" charset="2"/>
            <a:buChar char="§"/>
          </a:pPr>
          <a:r>
            <a:rPr lang="en-IN" sz="1100" b="0" i="0">
              <a:solidFill>
                <a:schemeClr val="dk1"/>
              </a:solidFill>
              <a:effectLst/>
              <a:latin typeface="+mn-lt"/>
              <a:ea typeface="+mn-ea"/>
              <a:cs typeface="+mn-cs"/>
            </a:rPr>
            <a:t>UltraTech Cement's return on common equity hit its 5-year low in March 2025 of 9.2%.</a:t>
          </a:r>
        </a:p>
      </xdr:txBody>
    </xdr:sp>
    <xdr:clientData/>
  </xdr:oneCellAnchor>
  <xdr:oneCellAnchor>
    <xdr:from>
      <xdr:col>0</xdr:col>
      <xdr:colOff>92868</xdr:colOff>
      <xdr:row>92</xdr:row>
      <xdr:rowOff>22117</xdr:rowOff>
    </xdr:from>
    <xdr:ext cx="9929812" cy="1125693"/>
    <xdr:sp macro="" textlink="">
      <xdr:nvSpPr>
        <xdr:cNvPr id="14" name="TextBox 13">
          <a:extLst>
            <a:ext uri="{FF2B5EF4-FFF2-40B4-BE49-F238E27FC236}">
              <a16:creationId xmlns:a16="http://schemas.microsoft.com/office/drawing/2014/main" id="{BCC130F4-B136-417E-89C8-81A4BD32C21E}"/>
            </a:ext>
          </a:extLst>
        </xdr:cNvPr>
        <xdr:cNvSpPr txBox="1"/>
      </xdr:nvSpPr>
      <xdr:spPr>
        <a:xfrm>
          <a:off x="92868" y="16821836"/>
          <a:ext cx="9929812" cy="11256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spAutoFit/>
        </a:bodyPr>
        <a:lstStyle/>
        <a:p>
          <a:pPr marL="171450" indent="-171450">
            <a:buFont typeface="Wingdings" panose="05000000000000000000" pitchFamily="2" charset="2"/>
            <a:buChar char="§"/>
          </a:pPr>
          <a:r>
            <a:rPr lang="en-IN" sz="1100" b="0" i="0">
              <a:solidFill>
                <a:schemeClr val="dk1"/>
              </a:solidFill>
              <a:effectLst/>
              <a:latin typeface="+mn-lt"/>
              <a:ea typeface="+mn-ea"/>
              <a:cs typeface="+mn-cs"/>
            </a:rPr>
            <a:t>UltraTech Cement's ROE</a:t>
          </a:r>
          <a:r>
            <a:rPr lang="en-IN" sz="1100" b="0" i="0" baseline="0">
              <a:solidFill>
                <a:schemeClr val="dk1"/>
              </a:solidFill>
              <a:effectLst/>
              <a:latin typeface="+mn-lt"/>
              <a:ea typeface="+mn-ea"/>
              <a:cs typeface="+mn-cs"/>
            </a:rPr>
            <a:t> maintained a strong pattern durinng COVID times but fell from 15.50% to 9.69% after COVID in 2023.</a:t>
          </a:r>
        </a:p>
        <a:p>
          <a:pPr marL="171450" indent="-171450">
            <a:buFont typeface="Wingdings" panose="05000000000000000000" pitchFamily="2" charset="2"/>
            <a:buChar char="§"/>
          </a:pPr>
          <a:r>
            <a:rPr lang="en-IN" sz="1100" b="0" i="0" baseline="0">
              <a:solidFill>
                <a:schemeClr val="dk1"/>
              </a:solidFill>
              <a:effectLst/>
              <a:latin typeface="+mn-lt"/>
              <a:ea typeface="+mn-ea"/>
              <a:cs typeface="+mn-cs"/>
            </a:rPr>
            <a:t>Overall the ROE fell from 11.17% in 2017 to 9.23% in 2025.</a:t>
          </a:r>
        </a:p>
        <a:p>
          <a:pPr marL="171450" indent="-171450">
            <a:buFont typeface="Wingdings" panose="05000000000000000000" pitchFamily="2" charset="2"/>
            <a:buChar char="§"/>
          </a:pPr>
          <a:r>
            <a:rPr lang="en-IN" sz="1100" b="0" i="0" baseline="0">
              <a:solidFill>
                <a:schemeClr val="dk1"/>
              </a:solidFill>
              <a:effectLst/>
              <a:latin typeface="+mn-lt"/>
              <a:ea typeface="+mn-ea"/>
              <a:cs typeface="+mn-cs"/>
            </a:rPr>
            <a:t>The reason for the fall of ROE is Net Profit Margins which fluctuated a lot and overall fell from 10.69% to 7.95% making a low of 5.79% during 2017-23.</a:t>
          </a:r>
        </a:p>
        <a:p>
          <a:pPr marL="171450" indent="-171450">
            <a:buFont typeface="Wingdings" panose="05000000000000000000" pitchFamily="2" charset="2"/>
            <a:buChar char="§"/>
          </a:pPr>
          <a:r>
            <a:rPr lang="en-IN" sz="1100" b="0" i="0" baseline="0">
              <a:solidFill>
                <a:schemeClr val="dk1"/>
              </a:solidFill>
              <a:effectLst/>
              <a:latin typeface="+mn-lt"/>
              <a:ea typeface="+mn-ea"/>
              <a:cs typeface="+mn-cs"/>
            </a:rPr>
            <a:t>Asset Turnover Ratio and Equity Multiplier, both are constant with minimal fluctuations.</a:t>
          </a:r>
        </a:p>
        <a:p>
          <a:pPr marL="171450" indent="-171450">
            <a:buFont typeface="Wingdings" panose="05000000000000000000" pitchFamily="2" charset="2"/>
            <a:buChar char="§"/>
          </a:pPr>
          <a:r>
            <a:rPr lang="en-IN" sz="1100" b="0" i="0" baseline="0">
              <a:solidFill>
                <a:schemeClr val="dk1"/>
              </a:solidFill>
              <a:effectLst/>
              <a:latin typeface="+mn-lt"/>
              <a:ea typeface="+mn-ea"/>
              <a:cs typeface="+mn-cs"/>
            </a:rPr>
            <a:t>ROA fell from 6.51% in 2017 to 5.15% in 2025 making a low of 3.59% in 2019.</a:t>
          </a:r>
        </a:p>
        <a:p>
          <a:pPr marL="171450" indent="-171450">
            <a:buFont typeface="Wingdings" panose="05000000000000000000" pitchFamily="2" charset="2"/>
            <a:buChar char="§"/>
          </a:pPr>
          <a:r>
            <a:rPr lang="en-IN" sz="1100" b="0" i="0" baseline="0">
              <a:solidFill>
                <a:schemeClr val="dk1"/>
              </a:solidFill>
              <a:effectLst/>
              <a:latin typeface="+mn-lt"/>
              <a:ea typeface="+mn-ea"/>
              <a:cs typeface="+mn-cs"/>
            </a:rPr>
            <a:t>The reason for the fall of ROA is also the Net Profit Margin as Asset Turnover Ratio has increased over time from 60.85% to 64.80%.</a:t>
          </a:r>
          <a:endParaRPr lang="en-IN" sz="1100" b="0" i="0">
            <a:solidFill>
              <a:schemeClr val="dk1"/>
            </a:solidFill>
            <a:effectLst/>
            <a:latin typeface="+mn-lt"/>
            <a:ea typeface="+mn-ea"/>
            <a:cs typeface="+mn-cs"/>
          </a:endParaRPr>
        </a:p>
      </xdr:txBody>
    </xdr:sp>
    <xdr:clientData/>
  </xdr:oneCellAnchor>
  <xdr:twoCellAnchor>
    <xdr:from>
      <xdr:col>0</xdr:col>
      <xdr:colOff>23819</xdr:colOff>
      <xdr:row>2</xdr:row>
      <xdr:rowOff>59533</xdr:rowOff>
    </xdr:from>
    <xdr:to>
      <xdr:col>8</xdr:col>
      <xdr:colOff>714376</xdr:colOff>
      <xdr:row>6</xdr:row>
      <xdr:rowOff>142874</xdr:rowOff>
    </xdr:to>
    <xdr:sp macro="" textlink="">
      <xdr:nvSpPr>
        <xdr:cNvPr id="13" name="Rectangle: Rounded Corners 12">
          <a:extLst>
            <a:ext uri="{FF2B5EF4-FFF2-40B4-BE49-F238E27FC236}">
              <a16:creationId xmlns:a16="http://schemas.microsoft.com/office/drawing/2014/main" id="{E687B252-8F99-4F24-BB4D-AC52E392AFE6}"/>
            </a:ext>
          </a:extLst>
        </xdr:cNvPr>
        <xdr:cNvSpPr/>
      </xdr:nvSpPr>
      <xdr:spPr>
        <a:xfrm>
          <a:off x="23819" y="440533"/>
          <a:ext cx="8274838" cy="845341"/>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6600" b="1">
              <a:solidFill>
                <a:schemeClr val="accent3"/>
              </a:solidFill>
            </a:rPr>
            <a:t>Ultratech Cement Ltd.</a:t>
          </a:r>
        </a:p>
      </xdr:txBody>
    </xdr:sp>
    <xdr:clientData/>
  </xdr:twoCellAnchor>
  <xdr:oneCellAnchor>
    <xdr:from>
      <xdr:col>9</xdr:col>
      <xdr:colOff>773911</xdr:colOff>
      <xdr:row>2</xdr:row>
      <xdr:rowOff>44935</xdr:rowOff>
    </xdr:from>
    <xdr:ext cx="883444" cy="862632"/>
    <xdr:pic>
      <xdr:nvPicPr>
        <xdr:cNvPr id="17" name="Picture 16" descr="UltraTech Cement Logo (Aditya Birla) - PNG Logo Vector Brand Downloads  (SVG, EPS)">
          <a:extLst>
            <a:ext uri="{FF2B5EF4-FFF2-40B4-BE49-F238E27FC236}">
              <a16:creationId xmlns:a16="http://schemas.microsoft.com/office/drawing/2014/main" id="{EC8C611A-5092-4A2C-95EA-44052DA74EB8}"/>
            </a:ext>
          </a:extLst>
        </xdr:cNvPr>
        <xdr:cNvPicPr>
          <a:picLocks noChangeAspect="1" noChangeArrowheads="1"/>
        </xdr:cNvPicPr>
      </xdr:nvPicPr>
      <xdr:blipFill>
        <a:blip xmlns:r="http://schemas.openxmlformats.org/officeDocument/2006/relationships" r:embed="rId7" cstate="hqprint">
          <a:extLst>
            <a:ext uri="{28A0092B-C50C-407E-A947-70E740481C1C}">
              <a14:useLocalDpi xmlns:a14="http://schemas.microsoft.com/office/drawing/2010/main" val="0"/>
            </a:ext>
          </a:extLst>
        </a:blip>
        <a:srcRect/>
        <a:stretch>
          <a:fillRect/>
        </a:stretch>
      </xdr:blipFill>
      <xdr:spPr bwMode="auto">
        <a:xfrm>
          <a:off x="9144005" y="425935"/>
          <a:ext cx="883444" cy="8626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3.xml><?xml version="1.0" encoding="utf-8"?>
<xdr:wsDr xmlns:xdr="http://schemas.openxmlformats.org/drawingml/2006/spreadsheetDrawing" xmlns:a="http://schemas.openxmlformats.org/drawingml/2006/main">
  <xdr:twoCellAnchor>
    <xdr:from>
      <xdr:col>1</xdr:col>
      <xdr:colOff>119063</xdr:colOff>
      <xdr:row>20</xdr:row>
      <xdr:rowOff>11906</xdr:rowOff>
    </xdr:from>
    <xdr:to>
      <xdr:col>10</xdr:col>
      <xdr:colOff>633413</xdr:colOff>
      <xdr:row>39</xdr:row>
      <xdr:rowOff>83342</xdr:rowOff>
    </xdr:to>
    <xdr:grpSp>
      <xdr:nvGrpSpPr>
        <xdr:cNvPr id="2" name="Group 1">
          <a:extLst>
            <a:ext uri="{FF2B5EF4-FFF2-40B4-BE49-F238E27FC236}">
              <a16:creationId xmlns:a16="http://schemas.microsoft.com/office/drawing/2014/main" id="{6361D59D-03E8-4233-A0B3-3375F445F0F2}"/>
            </a:ext>
          </a:extLst>
        </xdr:cNvPr>
        <xdr:cNvGrpSpPr/>
      </xdr:nvGrpSpPr>
      <xdr:grpSpPr>
        <a:xfrm>
          <a:off x="238126" y="3583781"/>
          <a:ext cx="10253662" cy="3690936"/>
          <a:chOff x="314325" y="723900"/>
          <a:chExt cx="9077325" cy="3867150"/>
        </a:xfrm>
      </xdr:grpSpPr>
      <xdr:graphicFrame macro="">
        <xdr:nvGraphicFramePr>
          <xdr:cNvPr id="3" name="Chart 2">
            <a:extLst>
              <a:ext uri="{FF2B5EF4-FFF2-40B4-BE49-F238E27FC236}">
                <a16:creationId xmlns:a16="http://schemas.microsoft.com/office/drawing/2014/main" id="{7732FC9E-8463-405B-ADCD-809220069105}"/>
              </a:ext>
            </a:extLst>
          </xdr:cNvPr>
          <xdr:cNvGraphicFramePr/>
        </xdr:nvGraphicFramePr>
        <xdr:xfrm>
          <a:off x="3657600" y="742951"/>
          <a:ext cx="2419350" cy="177165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3">
            <a:extLst>
              <a:ext uri="{FF2B5EF4-FFF2-40B4-BE49-F238E27FC236}">
                <a16:creationId xmlns:a16="http://schemas.microsoft.com/office/drawing/2014/main" id="{0CB39933-3331-4D69-9308-F55EF0DAA840}"/>
              </a:ext>
            </a:extLst>
          </xdr:cNvPr>
          <xdr:cNvGraphicFramePr>
            <a:graphicFrameLocks/>
          </xdr:cNvGraphicFramePr>
        </xdr:nvGraphicFramePr>
        <xdr:xfrm>
          <a:off x="361950" y="723900"/>
          <a:ext cx="2419350" cy="177165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4">
            <a:extLst>
              <a:ext uri="{FF2B5EF4-FFF2-40B4-BE49-F238E27FC236}">
                <a16:creationId xmlns:a16="http://schemas.microsoft.com/office/drawing/2014/main" id="{F8E89B2A-9A51-4A35-AC65-155A8E55E5CE}"/>
              </a:ext>
            </a:extLst>
          </xdr:cNvPr>
          <xdr:cNvGraphicFramePr>
            <a:graphicFrameLocks/>
          </xdr:cNvGraphicFramePr>
        </xdr:nvGraphicFramePr>
        <xdr:xfrm>
          <a:off x="6962775" y="742950"/>
          <a:ext cx="2419350" cy="177165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6" name="Chart 5">
            <a:extLst>
              <a:ext uri="{FF2B5EF4-FFF2-40B4-BE49-F238E27FC236}">
                <a16:creationId xmlns:a16="http://schemas.microsoft.com/office/drawing/2014/main" id="{3457027D-4FA2-47B2-B967-B41388DD0E12}"/>
              </a:ext>
            </a:extLst>
          </xdr:cNvPr>
          <xdr:cNvGraphicFramePr>
            <a:graphicFrameLocks/>
          </xdr:cNvGraphicFramePr>
        </xdr:nvGraphicFramePr>
        <xdr:xfrm>
          <a:off x="314325" y="2819400"/>
          <a:ext cx="2419350" cy="177165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7" name="Chart 6">
            <a:extLst>
              <a:ext uri="{FF2B5EF4-FFF2-40B4-BE49-F238E27FC236}">
                <a16:creationId xmlns:a16="http://schemas.microsoft.com/office/drawing/2014/main" id="{9A1A920F-A505-44E5-8C3D-8BC49CDB9F16}"/>
              </a:ext>
            </a:extLst>
          </xdr:cNvPr>
          <xdr:cNvGraphicFramePr>
            <a:graphicFrameLocks/>
          </xdr:cNvGraphicFramePr>
        </xdr:nvGraphicFramePr>
        <xdr:xfrm>
          <a:off x="3638550" y="2790825"/>
          <a:ext cx="2419350" cy="177165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8" name="Chart 7">
            <a:extLst>
              <a:ext uri="{FF2B5EF4-FFF2-40B4-BE49-F238E27FC236}">
                <a16:creationId xmlns:a16="http://schemas.microsoft.com/office/drawing/2014/main" id="{91FABB21-AA8E-4E6F-A935-76F3849A4984}"/>
              </a:ext>
            </a:extLst>
          </xdr:cNvPr>
          <xdr:cNvGraphicFramePr>
            <a:graphicFrameLocks/>
          </xdr:cNvGraphicFramePr>
        </xdr:nvGraphicFramePr>
        <xdr:xfrm>
          <a:off x="6972300" y="2743200"/>
          <a:ext cx="2419350" cy="177165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0</xdr:col>
      <xdr:colOff>35725</xdr:colOff>
      <xdr:row>2</xdr:row>
      <xdr:rowOff>59533</xdr:rowOff>
    </xdr:from>
    <xdr:to>
      <xdr:col>8</xdr:col>
      <xdr:colOff>726282</xdr:colOff>
      <xdr:row>6</xdr:row>
      <xdr:rowOff>142874</xdr:rowOff>
    </xdr:to>
    <xdr:sp macro="" textlink="">
      <xdr:nvSpPr>
        <xdr:cNvPr id="11" name="Rectangle: Rounded Corners 10">
          <a:extLst>
            <a:ext uri="{FF2B5EF4-FFF2-40B4-BE49-F238E27FC236}">
              <a16:creationId xmlns:a16="http://schemas.microsoft.com/office/drawing/2014/main" id="{74B8CBBF-82AD-4CF0-9E00-F69055139E56}"/>
            </a:ext>
          </a:extLst>
        </xdr:cNvPr>
        <xdr:cNvSpPr/>
      </xdr:nvSpPr>
      <xdr:spPr>
        <a:xfrm>
          <a:off x="35725" y="440533"/>
          <a:ext cx="8834432" cy="845341"/>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6600" b="1">
              <a:solidFill>
                <a:schemeClr val="accent3"/>
              </a:solidFill>
            </a:rPr>
            <a:t>Ultratech Cement Ltd.</a:t>
          </a:r>
        </a:p>
      </xdr:txBody>
    </xdr:sp>
    <xdr:clientData/>
  </xdr:twoCellAnchor>
  <xdr:oneCellAnchor>
    <xdr:from>
      <xdr:col>9</xdr:col>
      <xdr:colOff>833441</xdr:colOff>
      <xdr:row>2</xdr:row>
      <xdr:rowOff>44935</xdr:rowOff>
    </xdr:from>
    <xdr:ext cx="883444" cy="862632"/>
    <xdr:pic>
      <xdr:nvPicPr>
        <xdr:cNvPr id="12" name="Picture 11" descr="UltraTech Cement Logo (Aditya Birla) - PNG Logo Vector Brand Downloads  (SVG, EPS)">
          <a:extLst>
            <a:ext uri="{FF2B5EF4-FFF2-40B4-BE49-F238E27FC236}">
              <a16:creationId xmlns:a16="http://schemas.microsoft.com/office/drawing/2014/main" id="{AAB51D27-8405-41A3-9720-72D3C925DCE0}"/>
            </a:ext>
          </a:extLst>
        </xdr:cNvPr>
        <xdr:cNvPicPr>
          <a:picLocks noChangeAspect="1" noChangeArrowheads="1"/>
        </xdr:cNvPicPr>
      </xdr:nvPicPr>
      <xdr:blipFill>
        <a:blip xmlns:r="http://schemas.openxmlformats.org/officeDocument/2006/relationships" r:embed="rId7" cstate="hqprint">
          <a:extLst>
            <a:ext uri="{28A0092B-C50C-407E-A947-70E740481C1C}">
              <a14:useLocalDpi xmlns:a14="http://schemas.microsoft.com/office/drawing/2010/main" val="0"/>
            </a:ext>
          </a:extLst>
        </a:blip>
        <a:srcRect/>
        <a:stretch>
          <a:fillRect/>
        </a:stretch>
      </xdr:blipFill>
      <xdr:spPr bwMode="auto">
        <a:xfrm>
          <a:off x="9834566" y="425935"/>
          <a:ext cx="883444" cy="8626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23813</xdr:colOff>
      <xdr:row>41</xdr:row>
      <xdr:rowOff>23812</xdr:rowOff>
    </xdr:from>
    <xdr:to>
      <xdr:col>10</xdr:col>
      <xdr:colOff>857251</xdr:colOff>
      <xdr:row>48</xdr:row>
      <xdr:rowOff>0</xdr:rowOff>
    </xdr:to>
    <xdr:sp macro="" textlink="">
      <xdr:nvSpPr>
        <xdr:cNvPr id="9" name="TextBox 8">
          <a:extLst>
            <a:ext uri="{FF2B5EF4-FFF2-40B4-BE49-F238E27FC236}">
              <a16:creationId xmlns:a16="http://schemas.microsoft.com/office/drawing/2014/main" id="{7E8C175D-AC3B-4895-ABD8-67827EF3B2D0}"/>
            </a:ext>
          </a:extLst>
        </xdr:cNvPr>
        <xdr:cNvSpPr txBox="1"/>
      </xdr:nvSpPr>
      <xdr:spPr>
        <a:xfrm>
          <a:off x="142876" y="7643812"/>
          <a:ext cx="10572750" cy="13096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Arial" panose="020B0604020202020204" pitchFamily="34" charset="0"/>
            <a:buChar char="•"/>
          </a:pPr>
          <a:r>
            <a:rPr lang="en-IN" sz="1100" b="0" i="0">
              <a:solidFill>
                <a:schemeClr val="dk1"/>
              </a:solidFill>
              <a:effectLst/>
              <a:latin typeface="+mn-lt"/>
              <a:ea typeface="+mn-ea"/>
              <a:cs typeface="+mn-cs"/>
            </a:rPr>
            <a:t>UltraTech Cement's market cap stood at approximately ₹3.51 trillion on January 9, 2026. This valuation reflects a 6.21% increase over the past year.</a:t>
          </a:r>
        </a:p>
        <a:p>
          <a:pPr marL="171450" indent="-171450">
            <a:buFont typeface="Arial" panose="020B0604020202020204" pitchFamily="34" charset="0"/>
            <a:buChar char="•"/>
          </a:pPr>
          <a:r>
            <a:rPr lang="en-IN" sz="1100" b="0" i="0">
              <a:solidFill>
                <a:schemeClr val="dk1"/>
              </a:solidFill>
              <a:effectLst/>
              <a:latin typeface="+mn-lt"/>
              <a:ea typeface="+mn-ea"/>
              <a:cs typeface="+mn-cs"/>
            </a:rPr>
            <a:t>For the fiscal year ending March 2025, retained earnings peaked at ₹689 billion (6.89 billion USD), showing consistent annual growth over the last five fiscal years. As of September 2025, the quarterly retained earnings were reported as $0 million on the balance sheet, though annual growth rates remain positive.</a:t>
          </a:r>
        </a:p>
        <a:p>
          <a:pPr marL="171450" indent="-171450">
            <a:buFont typeface="Arial" panose="020B0604020202020204" pitchFamily="34" charset="0"/>
            <a:buChar char="•"/>
          </a:pPr>
          <a:r>
            <a:rPr lang="en-IN" sz="1100" b="0" i="0">
              <a:solidFill>
                <a:schemeClr val="dk1"/>
              </a:solidFill>
              <a:effectLst/>
              <a:latin typeface="+mn-lt"/>
              <a:ea typeface="+mn-ea"/>
              <a:cs typeface="+mn-cs"/>
            </a:rPr>
            <a:t>UltraTech's EBIT for the quarter ended September 30, 2025, was ₹18.41 billion (1,841.07 crores), a decrease of 45.55% from the previous quarter. The company's latest twelve months (TTM) EBIT is approximately 1.203 billion USD.</a:t>
          </a:r>
        </a:p>
        <a:p>
          <a:pPr marL="171450" indent="-171450">
            <a:buFont typeface="Arial" panose="020B0604020202020204" pitchFamily="34" charset="0"/>
            <a:buChar char="•"/>
          </a:pPr>
          <a:r>
            <a:rPr lang="en-IN" sz="1100" b="0" i="0">
              <a:solidFill>
                <a:schemeClr val="dk1"/>
              </a:solidFill>
              <a:effectLst/>
              <a:latin typeface="+mn-lt"/>
              <a:ea typeface="+mn-ea"/>
              <a:cs typeface="+mn-cs"/>
            </a:rPr>
            <a:t>The company has an efficient, negative working capital to sales ratio of -10.33% based on March 2025 consolidated results, suggesting strong cash flow management and operational efficiency. </a:t>
          </a:r>
        </a:p>
        <a:p>
          <a:endParaRPr lang="en-IN" sz="1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35725</xdr:colOff>
      <xdr:row>2</xdr:row>
      <xdr:rowOff>59533</xdr:rowOff>
    </xdr:from>
    <xdr:to>
      <xdr:col>9</xdr:col>
      <xdr:colOff>464344</xdr:colOff>
      <xdr:row>6</xdr:row>
      <xdr:rowOff>142874</xdr:rowOff>
    </xdr:to>
    <xdr:sp macro="" textlink="">
      <xdr:nvSpPr>
        <xdr:cNvPr id="4" name="Rectangle: Rounded Corners 3">
          <a:extLst>
            <a:ext uri="{FF2B5EF4-FFF2-40B4-BE49-F238E27FC236}">
              <a16:creationId xmlns:a16="http://schemas.microsoft.com/office/drawing/2014/main" id="{4C6DCFE2-28C0-4EDC-88D8-C8D88F86BBE4}"/>
            </a:ext>
          </a:extLst>
        </xdr:cNvPr>
        <xdr:cNvSpPr/>
      </xdr:nvSpPr>
      <xdr:spPr>
        <a:xfrm>
          <a:off x="35725" y="440533"/>
          <a:ext cx="8393900" cy="845341"/>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6600" b="1">
              <a:solidFill>
                <a:schemeClr val="accent3"/>
              </a:solidFill>
            </a:rPr>
            <a:t>Ultratech Cement Ltd.</a:t>
          </a:r>
        </a:p>
      </xdr:txBody>
    </xdr:sp>
    <xdr:clientData/>
  </xdr:twoCellAnchor>
  <xdr:oneCellAnchor>
    <xdr:from>
      <xdr:col>9</xdr:col>
      <xdr:colOff>797723</xdr:colOff>
      <xdr:row>2</xdr:row>
      <xdr:rowOff>44935</xdr:rowOff>
    </xdr:from>
    <xdr:ext cx="883444" cy="862632"/>
    <xdr:pic>
      <xdr:nvPicPr>
        <xdr:cNvPr id="5" name="Picture 4" descr="UltraTech Cement Logo (Aditya Birla) - PNG Logo Vector Brand Downloads  (SVG, EPS)">
          <a:extLst>
            <a:ext uri="{FF2B5EF4-FFF2-40B4-BE49-F238E27FC236}">
              <a16:creationId xmlns:a16="http://schemas.microsoft.com/office/drawing/2014/main" id="{52D5F4D7-8538-4323-9D5F-2A7C7FE466D0}"/>
            </a:ext>
          </a:extLst>
        </xdr:cNvPr>
        <xdr:cNvPicPr>
          <a:picLocks noChangeAspect="1" noChangeArrowheads="1"/>
        </xdr:cNvPicPr>
      </xdr:nvPicPr>
      <xdr:blipFill>
        <a:blip xmlns:r="http://schemas.openxmlformats.org/officeDocument/2006/relationships" r:embed="rId1" cstate="hqprint">
          <a:extLst>
            <a:ext uri="{28A0092B-C50C-407E-A947-70E740481C1C}">
              <a14:useLocalDpi xmlns:a14="http://schemas.microsoft.com/office/drawing/2010/main" val="0"/>
            </a:ext>
          </a:extLst>
        </a:blip>
        <a:srcRect/>
        <a:stretch>
          <a:fillRect/>
        </a:stretch>
      </xdr:blipFill>
      <xdr:spPr bwMode="auto">
        <a:xfrm>
          <a:off x="8763004" y="425935"/>
          <a:ext cx="883444" cy="8626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119060</xdr:colOff>
      <xdr:row>11</xdr:row>
      <xdr:rowOff>71436</xdr:rowOff>
    </xdr:from>
    <xdr:to>
      <xdr:col>10</xdr:col>
      <xdr:colOff>833436</xdr:colOff>
      <xdr:row>20</xdr:row>
      <xdr:rowOff>23812</xdr:rowOff>
    </xdr:to>
    <xdr:sp macro="" textlink="">
      <xdr:nvSpPr>
        <xdr:cNvPr id="6" name="TextBox 5">
          <a:extLst>
            <a:ext uri="{FF2B5EF4-FFF2-40B4-BE49-F238E27FC236}">
              <a16:creationId xmlns:a16="http://schemas.microsoft.com/office/drawing/2014/main" id="{1875288D-F338-487E-806B-50783FC71173}"/>
            </a:ext>
          </a:extLst>
        </xdr:cNvPr>
        <xdr:cNvSpPr txBox="1"/>
      </xdr:nvSpPr>
      <xdr:spPr>
        <a:xfrm>
          <a:off x="119060" y="2214561"/>
          <a:ext cx="9525001" cy="16668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Wingdings" panose="05000000000000000000" pitchFamily="2" charset="2"/>
            <a:buChar char="§"/>
          </a:pPr>
          <a:r>
            <a:rPr lang="en-IN" sz="1100"/>
            <a:t>Revenue has grown significantly from 2016</a:t>
          </a:r>
          <a:r>
            <a:rPr lang="en-IN" sz="1100" baseline="0"/>
            <a:t> to 2025 and the company has maintained gross margins and EBITDA margins with minimal fluctuations.</a:t>
          </a:r>
        </a:p>
        <a:p>
          <a:pPr marL="171450" indent="-171450">
            <a:buFont typeface="Wingdings" panose="05000000000000000000" pitchFamily="2" charset="2"/>
            <a:buChar char="§"/>
          </a:pPr>
          <a:r>
            <a:rPr lang="en-IN" sz="1100" baseline="0"/>
            <a:t>Growth in revenue is 202% from 2016 to 2025 making a high of 33.84% in 2019. Gross margins fell from 50.71% to 45.74% and EBITDA margins fell from 19.48% to 16.85%. Highest gross margin &amp; EBITDA margin was in 2021 (53.39% &amp; 25.86% respectively). FY21 proved to be a good year for the Indian Cement Industry despite the pandemic. During Covid their were disruptions which led to operational and demand challenges in the first half of FY21 but the recovery in the later half drove strong improvement in sector profitability.</a:t>
          </a:r>
        </a:p>
        <a:p>
          <a:pPr marL="171450" indent="-171450">
            <a:buFont typeface="Wingdings" panose="05000000000000000000" pitchFamily="2" charset="2"/>
            <a:buChar char="§"/>
          </a:pPr>
          <a:r>
            <a:rPr lang="en-IN" sz="1100" baseline="0"/>
            <a:t>EPS made an overall growth of 127% (Rs. 90.37 in 2016 to Rs. 204.94 in 2025). Highest EPS growth was in 2020 (127.96%).</a:t>
          </a:r>
        </a:p>
        <a:p>
          <a:pPr marL="171450" indent="-171450">
            <a:buFont typeface="Wingdings" panose="05000000000000000000" pitchFamily="2" charset="2"/>
            <a:buChar char="§"/>
          </a:pPr>
          <a:r>
            <a:rPr lang="en-IN" sz="1100" baseline="0"/>
            <a:t>There has been a significant increase in the reserves, borrowings &amp; other liabilities of the company whereas equity share capital increased from Rs. 274 to Rs. 294. This shows that the main source of funds used by the company are Debt &amp; Retained Earnings.</a:t>
          </a:r>
        </a:p>
        <a:p>
          <a:pPr marL="171450" indent="-171450">
            <a:buFont typeface="Wingdings" panose="05000000000000000000" pitchFamily="2" charset="2"/>
            <a:buChar char="§"/>
          </a:pPr>
          <a:r>
            <a:rPr lang="en-IN" sz="1100" baseline="0"/>
            <a:t>Majority of the funds have been used in purchasing fixed assets. Net Block has increased from 25,309 crore to 94,564 crore.</a:t>
          </a:r>
        </a:p>
      </xdr:txBody>
    </xdr:sp>
    <xdr:clientData/>
  </xdr:twoCellAnchor>
  <xdr:twoCellAnchor>
    <xdr:from>
      <xdr:col>0</xdr:col>
      <xdr:colOff>116677</xdr:colOff>
      <xdr:row>20</xdr:row>
      <xdr:rowOff>9526</xdr:rowOff>
    </xdr:from>
    <xdr:to>
      <xdr:col>10</xdr:col>
      <xdr:colOff>831053</xdr:colOff>
      <xdr:row>28</xdr:row>
      <xdr:rowOff>47626</xdr:rowOff>
    </xdr:to>
    <xdr:sp macro="" textlink="">
      <xdr:nvSpPr>
        <xdr:cNvPr id="7" name="TextBox 6">
          <a:extLst>
            <a:ext uri="{FF2B5EF4-FFF2-40B4-BE49-F238E27FC236}">
              <a16:creationId xmlns:a16="http://schemas.microsoft.com/office/drawing/2014/main" id="{B875092B-DCB6-49BC-A75F-1E4D56670153}"/>
            </a:ext>
          </a:extLst>
        </xdr:cNvPr>
        <xdr:cNvSpPr txBox="1"/>
      </xdr:nvSpPr>
      <xdr:spPr>
        <a:xfrm>
          <a:off x="116677" y="3867151"/>
          <a:ext cx="9525001" cy="1562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buFont typeface="Wingdings" panose="05000000000000000000" pitchFamily="2" charset="2"/>
            <a:buNone/>
          </a:pPr>
          <a:r>
            <a:rPr lang="en-IN" sz="1100" b="1" baseline="0">
              <a:solidFill>
                <a:schemeClr val="accent3">
                  <a:lumMod val="50000"/>
                </a:schemeClr>
              </a:solidFill>
            </a:rPr>
            <a:t>Assumptions:-</a:t>
          </a:r>
        </a:p>
        <a:p>
          <a:pPr marL="0" indent="0">
            <a:buFont typeface="Wingdings" panose="05000000000000000000" pitchFamily="2" charset="2"/>
            <a:buNone/>
          </a:pPr>
          <a:r>
            <a:rPr lang="en-IN" sz="1100" b="0" baseline="0">
              <a:solidFill>
                <a:schemeClr val="accent3">
                  <a:lumMod val="50000"/>
                </a:schemeClr>
              </a:solidFill>
            </a:rPr>
            <a:t>1). Terminal Growth Rate: 6.8% aligned with the long term GDP growth expectations by RBI. (This was changed in for FY2025-26 from 6.5% to 6.8%)</a:t>
          </a:r>
        </a:p>
        <a:p>
          <a:pPr marL="0" indent="0">
            <a:buFont typeface="Wingdings" panose="05000000000000000000" pitchFamily="2" charset="2"/>
            <a:buNone/>
          </a:pPr>
          <a:r>
            <a:rPr lang="en-IN" sz="1100" b="0" baseline="0">
              <a:solidFill>
                <a:schemeClr val="accent3">
                  <a:lumMod val="50000"/>
                </a:schemeClr>
              </a:solidFill>
            </a:rPr>
            <a:t>2). Reinvestment Rate: Dynamic reinvestment rate starting from 86.39% to 35.00%, assuming that the company will reinvest more initially and reinvestment amount would decrease as the company expands.</a:t>
          </a:r>
        </a:p>
        <a:p>
          <a:pPr marL="0" indent="0">
            <a:buFont typeface="Wingdings" panose="05000000000000000000" pitchFamily="2" charset="2"/>
            <a:buNone/>
          </a:pPr>
          <a:r>
            <a:rPr lang="en-IN" sz="1100" b="0" baseline="0">
              <a:solidFill>
                <a:schemeClr val="accent3">
                  <a:lumMod val="50000"/>
                </a:schemeClr>
              </a:solidFill>
            </a:rPr>
            <a:t>3). Dynamic expected growth rate staring from 10.11% to 5.3% because it is assumed that as reinvestment rate decreases, company cannot keep growing at the same rate. Growth rate will also decrease. This logic is ideal for a capital intensive business like UltraTech Cement</a:t>
          </a:r>
        </a:p>
        <a:p>
          <a:pPr marL="0" indent="0">
            <a:buFont typeface="Wingdings" panose="05000000000000000000" pitchFamily="2" charset="2"/>
            <a:buNone/>
          </a:pPr>
          <a:r>
            <a:rPr lang="en-IN" sz="1100" b="0" baseline="0">
              <a:solidFill>
                <a:schemeClr val="accent3">
                  <a:lumMod val="50000"/>
                </a:schemeClr>
              </a:solidFill>
            </a:rPr>
            <a:t>3). Cost of Equity: Calculated via CAPM Method, 12.70% based on Risk Free Rate, Equity Risk Premium &amp; Assumptions.</a:t>
          </a:r>
        </a:p>
        <a:p>
          <a:pPr marL="0" indent="0">
            <a:buFont typeface="Wingdings" panose="05000000000000000000" pitchFamily="2" charset="2"/>
            <a:buNone/>
          </a:pPr>
          <a:r>
            <a:rPr lang="en-IN" sz="1100" b="0" baseline="0">
              <a:solidFill>
                <a:schemeClr val="accent3">
                  <a:lumMod val="50000"/>
                </a:schemeClr>
              </a:solidFill>
            </a:rPr>
            <a:t>4). Tax Rate: 25.17%, consistent with applicable statutory norms and sector averages.</a:t>
          </a:r>
        </a:p>
      </xdr:txBody>
    </xdr:sp>
    <xdr:clientData/>
  </xdr:twoCellAnchor>
  <xdr:twoCellAnchor>
    <xdr:from>
      <xdr:col>0</xdr:col>
      <xdr:colOff>66671</xdr:colOff>
      <xdr:row>56</xdr:row>
      <xdr:rowOff>54769</xdr:rowOff>
    </xdr:from>
    <xdr:to>
      <xdr:col>10</xdr:col>
      <xdr:colOff>781047</xdr:colOff>
      <xdr:row>61</xdr:row>
      <xdr:rowOff>83345</xdr:rowOff>
    </xdr:to>
    <xdr:sp macro="" textlink="">
      <xdr:nvSpPr>
        <xdr:cNvPr id="8" name="TextBox 7">
          <a:extLst>
            <a:ext uri="{FF2B5EF4-FFF2-40B4-BE49-F238E27FC236}">
              <a16:creationId xmlns:a16="http://schemas.microsoft.com/office/drawing/2014/main" id="{31F5142A-97A1-4E28-924A-858D9D10A5AD}"/>
            </a:ext>
          </a:extLst>
        </xdr:cNvPr>
        <xdr:cNvSpPr txBox="1"/>
      </xdr:nvSpPr>
      <xdr:spPr>
        <a:xfrm>
          <a:off x="66671" y="9627394"/>
          <a:ext cx="9525001" cy="9810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Arial" panose="020B0604020202020204" pitchFamily="34" charset="0"/>
            <a:buChar char="•"/>
          </a:pPr>
          <a:r>
            <a:rPr lang="en-IN" sz="1100" b="0" baseline="0">
              <a:solidFill>
                <a:sysClr val="windowText" lastClr="000000"/>
              </a:solidFill>
            </a:rPr>
            <a:t>The DCF comes out lower mainly due to incomplete data and discrepancies across public sources since DCF is highly sensitive to assumptions like WACC, reinvestment &amp; terminal growth. The outcome should be seen as conservative base line, complemented by relative valuation and other metrics for a fuller picture.</a:t>
          </a:r>
        </a:p>
        <a:p>
          <a:pPr marL="171450" indent="-171450">
            <a:buFont typeface="Arial" panose="020B0604020202020204" pitchFamily="34" charset="0"/>
            <a:buChar char="•"/>
          </a:pPr>
          <a:r>
            <a:rPr lang="en-IN" sz="1100" b="0" baseline="0">
              <a:solidFill>
                <a:sysClr val="windowText" lastClr="000000"/>
              </a:solidFill>
            </a:rPr>
            <a:t>This report is made for educational purposes and should not be taken as any investment recommendation. The owner of this report is not liable for any losses. Make sure to consult a SEBI Registered Analyst before making any investments.</a:t>
          </a:r>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14</xdr:col>
      <xdr:colOff>511929</xdr:colOff>
      <xdr:row>0</xdr:row>
      <xdr:rowOff>71439</xdr:rowOff>
    </xdr:from>
    <xdr:to>
      <xdr:col>16</xdr:col>
      <xdr:colOff>178555</xdr:colOff>
      <xdr:row>4</xdr:row>
      <xdr:rowOff>172071</xdr:rowOff>
    </xdr:to>
    <xdr:pic>
      <xdr:nvPicPr>
        <xdr:cNvPr id="2" name="Picture 1" descr="UltraTech Cement Logo (Aditya Birla) - PNG Logo Vector Brand Downloads  (SVG, EPS)">
          <a:extLst>
            <a:ext uri="{FF2B5EF4-FFF2-40B4-BE49-F238E27FC236}">
              <a16:creationId xmlns:a16="http://schemas.microsoft.com/office/drawing/2014/main" id="{CCD44C21-DE96-4324-AF60-A5934D006093}"/>
            </a:ext>
          </a:extLst>
        </xdr:cNvPr>
        <xdr:cNvPicPr>
          <a:picLocks noChangeAspect="1" noChangeArrowheads="1"/>
        </xdr:cNvPicPr>
      </xdr:nvPicPr>
      <xdr:blipFill>
        <a:blip xmlns:r="http://schemas.openxmlformats.org/officeDocument/2006/relationships" r:embed="rId1" cstate="hqprint">
          <a:extLst>
            <a:ext uri="{28A0092B-C50C-407E-A947-70E740481C1C}">
              <a14:useLocalDpi xmlns:a14="http://schemas.microsoft.com/office/drawing/2010/main" val="0"/>
            </a:ext>
          </a:extLst>
        </a:blip>
        <a:srcRect/>
        <a:stretch>
          <a:fillRect/>
        </a:stretch>
      </xdr:blipFill>
      <xdr:spPr bwMode="auto">
        <a:xfrm>
          <a:off x="8524835" y="71439"/>
          <a:ext cx="881063" cy="862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xdr:colOff>
      <xdr:row>0</xdr:row>
      <xdr:rowOff>109848</xdr:rowOff>
    </xdr:from>
    <xdr:to>
      <xdr:col>12</xdr:col>
      <xdr:colOff>566735</xdr:colOff>
      <xdr:row>4</xdr:row>
      <xdr:rowOff>121754</xdr:rowOff>
    </xdr:to>
    <xdr:sp macro="" textlink="">
      <xdr:nvSpPr>
        <xdr:cNvPr id="3" name="Rectangle: Rounded Corners 2">
          <a:extLst>
            <a:ext uri="{FF2B5EF4-FFF2-40B4-BE49-F238E27FC236}">
              <a16:creationId xmlns:a16="http://schemas.microsoft.com/office/drawing/2014/main" id="{94F083D0-4F76-4D69-B0C7-76DAB2EB82D3}"/>
            </a:ext>
          </a:extLst>
        </xdr:cNvPr>
        <xdr:cNvSpPr/>
      </xdr:nvSpPr>
      <xdr:spPr>
        <a:xfrm>
          <a:off x="2" y="109848"/>
          <a:ext cx="7365202" cy="773906"/>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6000" b="1" u="none">
              <a:solidFill>
                <a:schemeClr val="accent3"/>
              </a:solidFill>
            </a:rPr>
            <a:t>Ultratech Cement Ltd.</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xdr:colOff>
      <xdr:row>0</xdr:row>
      <xdr:rowOff>97940</xdr:rowOff>
    </xdr:from>
    <xdr:to>
      <xdr:col>9</xdr:col>
      <xdr:colOff>457200</xdr:colOff>
      <xdr:row>4</xdr:row>
      <xdr:rowOff>109846</xdr:rowOff>
    </xdr:to>
    <xdr:sp macro="" textlink="">
      <xdr:nvSpPr>
        <xdr:cNvPr id="6" name="Rectangle: Rounded Corners 5">
          <a:extLst>
            <a:ext uri="{FF2B5EF4-FFF2-40B4-BE49-F238E27FC236}">
              <a16:creationId xmlns:a16="http://schemas.microsoft.com/office/drawing/2014/main" id="{3762C730-94E4-4C26-9D8C-A3C5081A8252}"/>
            </a:ext>
          </a:extLst>
        </xdr:cNvPr>
        <xdr:cNvSpPr/>
      </xdr:nvSpPr>
      <xdr:spPr>
        <a:xfrm>
          <a:off x="3" y="97940"/>
          <a:ext cx="7970041" cy="773906"/>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6000" b="1" u="none">
              <a:solidFill>
                <a:schemeClr val="accent3"/>
              </a:solidFill>
            </a:rPr>
            <a:t>Ultratech Cement Ltd.</a:t>
          </a:r>
        </a:p>
      </xdr:txBody>
    </xdr:sp>
    <xdr:clientData/>
  </xdr:twoCellAnchor>
  <xdr:twoCellAnchor editAs="oneCell">
    <xdr:from>
      <xdr:col>10</xdr:col>
      <xdr:colOff>438109</xdr:colOff>
      <xdr:row>0</xdr:row>
      <xdr:rowOff>47625</xdr:rowOff>
    </xdr:from>
    <xdr:to>
      <xdr:col>11</xdr:col>
      <xdr:colOff>340479</xdr:colOff>
      <xdr:row>4</xdr:row>
      <xdr:rowOff>148257</xdr:rowOff>
    </xdr:to>
    <xdr:pic>
      <xdr:nvPicPr>
        <xdr:cNvPr id="7" name="Picture 6" descr="UltraTech Cement Logo (Aditya Birla) - PNG Logo Vector Brand Downloads  (SVG, EPS)">
          <a:extLst>
            <a:ext uri="{FF2B5EF4-FFF2-40B4-BE49-F238E27FC236}">
              <a16:creationId xmlns:a16="http://schemas.microsoft.com/office/drawing/2014/main" id="{4FC08D6D-77A0-48EA-A025-A458B28A34CE}"/>
            </a:ext>
          </a:extLst>
        </xdr:cNvPr>
        <xdr:cNvPicPr>
          <a:picLocks noChangeAspect="1" noChangeArrowheads="1"/>
        </xdr:cNvPicPr>
      </xdr:nvPicPr>
      <xdr:blipFill>
        <a:blip xmlns:r="http://schemas.openxmlformats.org/officeDocument/2006/relationships" r:embed="rId1" cstate="hqprint">
          <a:extLst>
            <a:ext uri="{28A0092B-C50C-407E-A947-70E740481C1C}">
              <a14:useLocalDpi xmlns:a14="http://schemas.microsoft.com/office/drawing/2010/main" val="0"/>
            </a:ext>
          </a:extLst>
        </a:blip>
        <a:srcRect/>
        <a:stretch>
          <a:fillRect/>
        </a:stretch>
      </xdr:blipFill>
      <xdr:spPr bwMode="auto">
        <a:xfrm>
          <a:off x="8796297" y="47625"/>
          <a:ext cx="878682" cy="862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www.screener.in/excel/"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4295A-E358-4EEE-B055-4A94F7A17A6A}">
  <sheetPr>
    <pageSetUpPr fitToPage="1"/>
  </sheetPr>
  <dimension ref="A2:XFD64"/>
  <sheetViews>
    <sheetView showGridLines="0" zoomScale="80" zoomScaleNormal="80" workbookViewId="0">
      <selection activeCell="B55" sqref="B55"/>
    </sheetView>
  </sheetViews>
  <sheetFormatPr defaultRowHeight="15" x14ac:dyDescent="0.25"/>
  <cols>
    <col min="1" max="1" width="1.85546875" customWidth="1"/>
    <col min="2" max="2" width="36.85546875" customWidth="1"/>
    <col min="3" max="3" width="15.42578125" customWidth="1"/>
    <col min="4" max="4" width="13.5703125" customWidth="1"/>
    <col min="5" max="5" width="15.28515625" customWidth="1"/>
    <col min="6" max="6" width="10.7109375" customWidth="1"/>
    <col min="7" max="7" width="10.5703125" customWidth="1"/>
    <col min="8" max="8" width="1.85546875" customWidth="1"/>
    <col min="9" max="10" width="13.28515625" customWidth="1"/>
    <col min="11" max="11" width="10.7109375" customWidth="1"/>
    <col min="12" max="12" width="1.85546875" customWidth="1"/>
    <col min="13" max="16384" width="9.140625" style="138"/>
  </cols>
  <sheetData>
    <row r="2" spans="2:12" ht="18.75" x14ac:dyDescent="0.25">
      <c r="B2" s="320" t="s">
        <v>423</v>
      </c>
      <c r="C2" s="320"/>
      <c r="D2" s="320"/>
      <c r="E2" s="320"/>
      <c r="F2" s="320"/>
      <c r="G2" s="320"/>
      <c r="H2" s="320"/>
      <c r="I2" s="320"/>
      <c r="J2" s="320"/>
      <c r="K2" s="320"/>
    </row>
    <row r="3" spans="2:12" ht="6" customHeight="1" x14ac:dyDescent="0.25"/>
    <row r="4" spans="2:12" ht="79.5" customHeight="1" x14ac:dyDescent="0.25">
      <c r="C4" s="321" t="s">
        <v>404</v>
      </c>
      <c r="D4" s="321"/>
      <c r="E4" s="321"/>
      <c r="F4" s="321"/>
      <c r="G4" s="321"/>
      <c r="H4" s="321"/>
      <c r="I4" s="321"/>
      <c r="J4" s="321"/>
      <c r="K4" s="321"/>
      <c r="L4" s="199"/>
    </row>
    <row r="5" spans="2:12" ht="4.5" customHeight="1" x14ac:dyDescent="0.25">
      <c r="C5" s="199"/>
      <c r="D5" s="199"/>
      <c r="E5" s="199"/>
      <c r="F5" s="199"/>
      <c r="G5" s="199"/>
      <c r="H5" s="199"/>
      <c r="I5" s="199"/>
      <c r="J5" s="199"/>
      <c r="K5" s="199"/>
      <c r="L5" s="199"/>
    </row>
    <row r="6" spans="2:12" ht="15.75" x14ac:dyDescent="0.25">
      <c r="B6" s="247" t="s">
        <v>424</v>
      </c>
      <c r="C6" s="248">
        <f>Historical_FS!H10</f>
        <v>44286</v>
      </c>
      <c r="D6" s="248">
        <f>Historical_FS!I10</f>
        <v>44651</v>
      </c>
      <c r="E6" s="248">
        <f>Historical_FS!J10</f>
        <v>45016</v>
      </c>
      <c r="F6" s="248">
        <f>Historical_FS!K10</f>
        <v>45382</v>
      </c>
      <c r="G6" s="248">
        <f>Historical_FS!L10</f>
        <v>45747</v>
      </c>
      <c r="H6" s="199"/>
      <c r="I6" s="318" t="s">
        <v>425</v>
      </c>
      <c r="J6" s="318"/>
      <c r="K6" s="318"/>
      <c r="L6" s="199"/>
    </row>
    <row r="7" spans="2:12" ht="4.5" customHeight="1" x14ac:dyDescent="0.25"/>
    <row r="8" spans="2:12" x14ac:dyDescent="0.25">
      <c r="B8" s="215" t="s">
        <v>426</v>
      </c>
      <c r="C8" s="250">
        <f>Historical_FS!H12</f>
        <v>44725.8</v>
      </c>
      <c r="D8" s="250">
        <f>Historical_FS!I12</f>
        <v>52598.83</v>
      </c>
      <c r="E8" s="250">
        <f>Historical_FS!J12</f>
        <v>63239.98</v>
      </c>
      <c r="F8" s="250">
        <f>Historical_FS!K12</f>
        <v>70908.14</v>
      </c>
      <c r="G8" s="250">
        <f>Historical_FS!L12</f>
        <v>75955.13</v>
      </c>
    </row>
    <row r="9" spans="2:12" x14ac:dyDescent="0.25">
      <c r="B9" s="251" t="s">
        <v>427</v>
      </c>
      <c r="C9" s="252">
        <f>Historical_FS!H13</f>
        <v>5.4110675281034304E-2</v>
      </c>
      <c r="D9" s="252">
        <f>Historical_FS!I13</f>
        <v>0.17602882452633595</v>
      </c>
      <c r="E9" s="252">
        <f>Historical_FS!J13</f>
        <v>0.20230773194004503</v>
      </c>
      <c r="F9" s="252">
        <f>Historical_FS!K13</f>
        <v>0.12125494030833028</v>
      </c>
      <c r="G9" s="252">
        <f>Historical_FS!L13</f>
        <v>7.117645449450527E-2</v>
      </c>
    </row>
    <row r="10" spans="2:12" x14ac:dyDescent="0.25">
      <c r="B10" s="253" t="s">
        <v>428</v>
      </c>
      <c r="C10" s="254">
        <f>Historical_FS!H22</f>
        <v>0.54770669278134754</v>
      </c>
      <c r="D10" s="254">
        <f>Historical_FS!I22</f>
        <v>0.50821168455648158</v>
      </c>
      <c r="E10" s="254">
        <f>Historical_FS!J22</f>
        <v>0.44979710619769331</v>
      </c>
      <c r="F10" s="254">
        <f>Historical_FS!K22</f>
        <v>0.4700264313800927</v>
      </c>
      <c r="G10" s="254">
        <f>Historical_FS!L22</f>
        <v>0.46257744539440598</v>
      </c>
    </row>
    <row r="11" spans="2:12" x14ac:dyDescent="0.25">
      <c r="B11" s="253" t="s">
        <v>429</v>
      </c>
      <c r="C11" s="254">
        <f>Historical_FS!H28</f>
        <v>0.27246980490007994</v>
      </c>
      <c r="D11" s="254">
        <f>Historical_FS!I28</f>
        <v>0.23163595083768973</v>
      </c>
      <c r="E11" s="254">
        <f>Historical_FS!J28</f>
        <v>0.17594818973693543</v>
      </c>
      <c r="F11" s="254">
        <f>Historical_FS!K28</f>
        <v>0.19088809831988265</v>
      </c>
      <c r="G11" s="254">
        <f>Historical_FS!L28</f>
        <v>0.17370281638646407</v>
      </c>
    </row>
    <row r="12" spans="2:12" x14ac:dyDescent="0.25">
      <c r="B12" s="253" t="s">
        <v>430</v>
      </c>
      <c r="C12" s="254">
        <f>Historical_FS!H34</f>
        <v>0.21209682107418973</v>
      </c>
      <c r="D12" s="254">
        <f>Historical_FS!I34</f>
        <v>0.18002358607596405</v>
      </c>
      <c r="E12" s="254">
        <f>Historical_FS!J34</f>
        <v>0.1302810342444764</v>
      </c>
      <c r="F12" s="254">
        <f>Historical_FS!K34</f>
        <v>0.14653070860411802</v>
      </c>
      <c r="G12" s="254">
        <f>Historical_FS!L34</f>
        <v>0.12084331894369753</v>
      </c>
    </row>
    <row r="13" spans="2:12" x14ac:dyDescent="0.25">
      <c r="B13" s="253" t="s">
        <v>431</v>
      </c>
      <c r="C13" s="254">
        <f>Historical_FS!H46</f>
        <v>0.12211855349708658</v>
      </c>
      <c r="D13" s="254">
        <f>Historical_FS!I46</f>
        <v>0.13943770232151551</v>
      </c>
      <c r="E13" s="254">
        <f>Historical_FS!J46</f>
        <v>8.0224566800938313E-2</v>
      </c>
      <c r="F13" s="254">
        <f>Historical_FS!K46</f>
        <v>9.8775119471474007E-2</v>
      </c>
      <c r="G13" s="254">
        <f>Historical_FS!L46</f>
        <v>7.9515893133222326E-2</v>
      </c>
    </row>
    <row r="14" spans="2:12" x14ac:dyDescent="0.25">
      <c r="B14" s="253" t="s">
        <v>432</v>
      </c>
      <c r="C14" s="255">
        <f>Historical_FS!H50</f>
        <v>189.18773813647368</v>
      </c>
      <c r="D14" s="255">
        <f>Historical_FS!I50</f>
        <v>254.04433668167647</v>
      </c>
      <c r="E14" s="255">
        <f>Historical_FS!J50</f>
        <v>175.73259438863883</v>
      </c>
      <c r="F14" s="255">
        <f>Historical_FS!K50</f>
        <v>242.603394527191</v>
      </c>
      <c r="G14" s="255">
        <f>Historical_FS!L50</f>
        <v>204.94197488971869</v>
      </c>
    </row>
    <row r="15" spans="2:12" x14ac:dyDescent="0.25">
      <c r="B15" s="251" t="s">
        <v>433</v>
      </c>
      <c r="C15" s="252">
        <f>Historical_FS!H51</f>
        <v>-5.0587367043194886E-2</v>
      </c>
      <c r="D15" s="252">
        <f>Historical_FS!I51</f>
        <v>0.34281607880113985</v>
      </c>
      <c r="E15" s="252">
        <f>Historical_FS!J51</f>
        <v>-0.30826013803710217</v>
      </c>
      <c r="F15" s="252">
        <f>Historical_FS!K51</f>
        <v>0.38052588008041943</v>
      </c>
      <c r="G15" s="252">
        <f>Historical_FS!L51</f>
        <v>-0.15523863427744089</v>
      </c>
    </row>
    <row r="16" spans="2:12" x14ac:dyDescent="0.25">
      <c r="B16" s="253" t="s">
        <v>434</v>
      </c>
      <c r="C16" s="255">
        <f>Historical_FS!H54</f>
        <v>36.993418773813644</v>
      </c>
      <c r="D16" s="255">
        <f>Historical_FS!I54</f>
        <v>37.996189816418429</v>
      </c>
      <c r="E16" s="255">
        <f>Historical_FS!J54</f>
        <v>37.998614478697611</v>
      </c>
      <c r="F16" s="255">
        <f>Historical_FS!K54</f>
        <v>69.997575337720818</v>
      </c>
      <c r="G16" s="255">
        <f>Historical_FS!L54</f>
        <v>77.494740413980324</v>
      </c>
    </row>
    <row r="17" spans="2:16384" x14ac:dyDescent="0.25">
      <c r="B17" s="251" t="s">
        <v>435</v>
      </c>
      <c r="C17" s="254">
        <f>Historical_FS!H55</f>
        <v>1.8453442402117735</v>
      </c>
      <c r="D17" s="254">
        <f>Historical_FS!I55</f>
        <v>2.7106741573033943E-2</v>
      </c>
      <c r="E17" s="254">
        <f>Historical_FS!J55</f>
        <v>6.381330051508094E-5</v>
      </c>
      <c r="F17" s="254">
        <f>Historical_FS!K55</f>
        <v>0.84210862153834931</v>
      </c>
      <c r="G17" s="254">
        <f>Historical_FS!L55</f>
        <v>0.10710606817575541</v>
      </c>
    </row>
    <row r="19" spans="2:16384" ht="15.75" x14ac:dyDescent="0.25">
      <c r="B19" s="247" t="s">
        <v>436</v>
      </c>
      <c r="C19" s="248">
        <f>C6</f>
        <v>44286</v>
      </c>
      <c r="D19" s="248">
        <f t="shared" ref="D19:G19" si="0">D6</f>
        <v>44651</v>
      </c>
      <c r="E19" s="248">
        <f t="shared" si="0"/>
        <v>45016</v>
      </c>
      <c r="F19" s="248">
        <f t="shared" si="0"/>
        <v>45382</v>
      </c>
      <c r="G19" s="248">
        <f t="shared" si="0"/>
        <v>45747</v>
      </c>
      <c r="I19" s="318" t="s">
        <v>442</v>
      </c>
      <c r="J19" s="318"/>
      <c r="K19" s="318"/>
    </row>
    <row r="20" spans="2:16384" ht="4.5" customHeight="1" x14ac:dyDescent="0.25"/>
    <row r="21" spans="2:16384" x14ac:dyDescent="0.25">
      <c r="B21" s="215" t="s">
        <v>437</v>
      </c>
      <c r="C21" s="256">
        <v>35.58</v>
      </c>
      <c r="D21" s="256">
        <v>25.93</v>
      </c>
      <c r="E21" s="256">
        <v>43.4</v>
      </c>
      <c r="F21" s="256">
        <v>40.96</v>
      </c>
      <c r="G21" s="256">
        <f>'Relative_Val.'!P16</f>
        <v>47.509850461551949</v>
      </c>
    </row>
    <row r="22" spans="2:16384" x14ac:dyDescent="0.25">
      <c r="B22" s="215" t="s">
        <v>353</v>
      </c>
      <c r="C22" s="215">
        <v>17.66</v>
      </c>
      <c r="D22" s="256">
        <v>16.7</v>
      </c>
      <c r="E22" s="256">
        <v>22.6</v>
      </c>
      <c r="F22" s="256">
        <v>24.2</v>
      </c>
      <c r="G22" s="256">
        <f>'Relative_Val.'!O16</f>
        <v>23.578017537758299</v>
      </c>
    </row>
    <row r="23" spans="2:16384" x14ac:dyDescent="0.25">
      <c r="B23" s="253" t="s">
        <v>438</v>
      </c>
      <c r="C23" s="215">
        <v>4.82</v>
      </c>
      <c r="D23" s="215">
        <v>3.93</v>
      </c>
      <c r="E23" s="215">
        <v>3.75</v>
      </c>
      <c r="F23" s="289">
        <v>4.2</v>
      </c>
      <c r="G23" s="289">
        <f>'Relative_Val.'!N16</f>
        <v>4.5301780261079507</v>
      </c>
    </row>
    <row r="24" spans="2:16384" x14ac:dyDescent="0.25">
      <c r="B24" s="215" t="s">
        <v>439</v>
      </c>
      <c r="C24" s="256">
        <v>4.8</v>
      </c>
      <c r="D24" s="256">
        <v>4.0999999999999996</v>
      </c>
      <c r="E24" s="256">
        <v>4.3</v>
      </c>
      <c r="F24" s="256">
        <v>5</v>
      </c>
      <c r="G24" s="256">
        <v>5.4</v>
      </c>
    </row>
    <row r="25" spans="2:16384" x14ac:dyDescent="0.25">
      <c r="B25" s="215" t="s">
        <v>440</v>
      </c>
      <c r="C25" s="254">
        <f>Ratios!H28</f>
        <v>0.12364209542661081</v>
      </c>
      <c r="D25" s="254">
        <f>Ratios!I28</f>
        <v>0.1454192671120825</v>
      </c>
      <c r="E25" s="254">
        <f>Ratios!J28</f>
        <v>9.3390574499112242E-2</v>
      </c>
      <c r="F25" s="254">
        <f>Ratios!K28</f>
        <v>0.11629176581852677</v>
      </c>
      <c r="G25" s="254">
        <f>Ratios!L28</f>
        <v>8.5418128985385838E-2</v>
      </c>
    </row>
    <row r="26" spans="2:16384" x14ac:dyDescent="0.25">
      <c r="B26" s="215" t="s">
        <v>441</v>
      </c>
      <c r="C26" s="254">
        <f>Ratios!H26</f>
        <v>0.14396136101473159</v>
      </c>
      <c r="D26" s="254">
        <f>Ratios!I26</f>
        <v>0.15338418477835661</v>
      </c>
      <c r="E26" s="254">
        <f>Ratios!J26</f>
        <v>0.12601227733263512</v>
      </c>
      <c r="F26" s="254">
        <f>Ratios!K26</f>
        <v>0.14505315687760081</v>
      </c>
      <c r="G26" s="254">
        <f>Ratios!L26</f>
        <v>9.6812273524809742E-2</v>
      </c>
    </row>
    <row r="28" spans="2:16384" ht="15.75" x14ac:dyDescent="0.25">
      <c r="B28" s="277" t="s">
        <v>460</v>
      </c>
      <c r="C28" s="319" t="s">
        <v>457</v>
      </c>
      <c r="D28" s="319"/>
      <c r="E28" s="278" t="s">
        <v>458</v>
      </c>
      <c r="F28" s="319" t="s">
        <v>459</v>
      </c>
      <c r="G28" s="319"/>
      <c r="I28" s="318" t="s">
        <v>1693</v>
      </c>
      <c r="J28" s="318"/>
      <c r="K28" s="318"/>
    </row>
    <row r="29" spans="2:16384" s="15" customFormat="1" ht="4.5" customHeight="1" x14ac:dyDescent="0.25">
      <c r="B29" s="274"/>
      <c r="C29" s="275"/>
      <c r="D29" s="275"/>
      <c r="E29" s="275"/>
      <c r="F29" s="275"/>
      <c r="G29" s="275"/>
      <c r="I29" s="276"/>
      <c r="J29" s="276"/>
      <c r="K29" s="276"/>
      <c r="M29" s="138"/>
      <c r="N29" s="138"/>
      <c r="O29" s="138"/>
      <c r="P29" s="138"/>
      <c r="Q29" s="138"/>
      <c r="R29" s="138"/>
      <c r="S29" s="138"/>
      <c r="T29" s="138"/>
      <c r="U29" s="138"/>
      <c r="V29" s="138"/>
      <c r="W29" s="138"/>
      <c r="X29" s="138"/>
      <c r="Y29" s="138"/>
      <c r="Z29" s="138"/>
      <c r="AA29" s="138"/>
      <c r="AB29" s="138"/>
      <c r="AC29" s="138"/>
      <c r="AD29" s="138"/>
      <c r="AE29" s="138"/>
      <c r="AF29" s="138"/>
      <c r="AG29" s="138"/>
      <c r="AH29" s="138"/>
      <c r="AI29" s="138"/>
      <c r="AJ29" s="138"/>
      <c r="AK29" s="138"/>
      <c r="AL29" s="138"/>
      <c r="AM29" s="138"/>
      <c r="AN29" s="138"/>
      <c r="AO29" s="138"/>
      <c r="AP29" s="138"/>
      <c r="AQ29" s="138"/>
      <c r="AR29" s="138"/>
      <c r="AS29" s="138"/>
      <c r="AT29" s="138"/>
      <c r="AU29" s="138"/>
      <c r="AV29" s="138"/>
      <c r="AW29" s="138"/>
      <c r="AX29" s="138"/>
      <c r="AY29" s="138"/>
      <c r="AZ29" s="138"/>
      <c r="BA29" s="138"/>
      <c r="BB29" s="138"/>
      <c r="BC29" s="138"/>
      <c r="BD29" s="138"/>
      <c r="BE29" s="138"/>
      <c r="BF29" s="138"/>
      <c r="BG29" s="138"/>
      <c r="BH29" s="138"/>
      <c r="BI29" s="138"/>
      <c r="BJ29" s="138"/>
      <c r="BK29" s="138"/>
      <c r="BL29" s="138"/>
      <c r="BM29" s="138"/>
      <c r="BN29" s="138"/>
      <c r="BO29" s="138"/>
      <c r="BP29" s="138"/>
      <c r="BQ29" s="138"/>
      <c r="BR29" s="138"/>
      <c r="BS29" s="138"/>
      <c r="BT29" s="138"/>
      <c r="BU29" s="138"/>
      <c r="BV29" s="138"/>
      <c r="BW29" s="138"/>
      <c r="BX29" s="138"/>
      <c r="BY29" s="138"/>
      <c r="BZ29" s="138"/>
      <c r="CA29" s="138"/>
      <c r="CB29" s="138"/>
      <c r="CC29" s="138"/>
      <c r="CD29" s="138"/>
      <c r="CE29" s="138"/>
      <c r="CF29" s="138"/>
      <c r="CG29" s="138"/>
      <c r="CH29" s="138"/>
      <c r="CI29" s="138"/>
      <c r="CJ29" s="138"/>
      <c r="CK29" s="138"/>
      <c r="CL29" s="138"/>
      <c r="CM29" s="138"/>
      <c r="CN29" s="138"/>
      <c r="CO29" s="138"/>
      <c r="CP29" s="138"/>
      <c r="CQ29" s="138"/>
      <c r="CR29" s="138"/>
      <c r="CS29" s="138"/>
      <c r="CT29" s="138"/>
      <c r="CU29" s="138"/>
      <c r="CV29" s="138"/>
      <c r="CW29" s="138"/>
      <c r="CX29" s="138"/>
      <c r="CY29" s="138"/>
      <c r="CZ29" s="138"/>
      <c r="DA29" s="138"/>
      <c r="DB29" s="138"/>
      <c r="DC29" s="138"/>
      <c r="DD29" s="138"/>
      <c r="DE29" s="138"/>
      <c r="DF29" s="138"/>
      <c r="DG29" s="138"/>
      <c r="DH29" s="138"/>
      <c r="DI29" s="138"/>
      <c r="DJ29" s="138"/>
      <c r="DK29" s="138"/>
      <c r="DL29" s="138"/>
      <c r="DM29" s="138"/>
      <c r="DN29" s="138"/>
      <c r="DO29" s="138"/>
      <c r="DP29" s="138"/>
      <c r="DQ29" s="138"/>
      <c r="DR29" s="138"/>
      <c r="DS29" s="138"/>
      <c r="DT29" s="138"/>
      <c r="DU29" s="138"/>
      <c r="DV29" s="138"/>
      <c r="DW29" s="138"/>
      <c r="DX29" s="138"/>
      <c r="DY29" s="138"/>
      <c r="DZ29" s="138"/>
      <c r="EA29" s="138"/>
      <c r="EB29" s="138"/>
      <c r="EC29" s="138"/>
      <c r="ED29" s="138"/>
      <c r="EE29" s="138"/>
      <c r="EF29" s="138"/>
      <c r="EG29" s="138"/>
      <c r="EH29" s="138"/>
      <c r="EI29" s="138"/>
      <c r="EJ29" s="138"/>
      <c r="EK29" s="138"/>
      <c r="EL29" s="138"/>
      <c r="EM29" s="138"/>
      <c r="EN29" s="138"/>
      <c r="EO29" s="138"/>
      <c r="EP29" s="138"/>
      <c r="EQ29" s="138"/>
      <c r="ER29" s="138"/>
      <c r="ES29" s="138"/>
      <c r="ET29" s="138"/>
      <c r="EU29" s="138"/>
      <c r="EV29" s="138"/>
      <c r="EW29" s="138"/>
      <c r="EX29" s="138"/>
      <c r="EY29" s="138"/>
      <c r="EZ29" s="138"/>
      <c r="FA29" s="138"/>
      <c r="FB29" s="138"/>
      <c r="FC29" s="138"/>
      <c r="FD29" s="138"/>
      <c r="FE29" s="138"/>
      <c r="FF29" s="138"/>
      <c r="FG29" s="138"/>
      <c r="FH29" s="138"/>
      <c r="FI29" s="138"/>
      <c r="FJ29" s="138"/>
      <c r="FK29" s="138"/>
      <c r="FL29" s="138"/>
      <c r="FM29" s="138"/>
      <c r="FN29" s="138"/>
      <c r="FO29" s="138"/>
      <c r="FP29" s="138"/>
      <c r="FQ29" s="138"/>
      <c r="FR29" s="138"/>
      <c r="FS29" s="138"/>
      <c r="FT29" s="138"/>
      <c r="FU29" s="138"/>
      <c r="FV29" s="138"/>
      <c r="FW29" s="138"/>
      <c r="FX29" s="138"/>
      <c r="FY29" s="138"/>
      <c r="FZ29" s="138"/>
      <c r="GA29" s="138"/>
      <c r="GB29" s="138"/>
      <c r="GC29" s="138"/>
      <c r="GD29" s="138"/>
      <c r="GE29" s="138"/>
      <c r="GF29" s="138"/>
      <c r="GG29" s="138"/>
      <c r="GH29" s="138"/>
      <c r="GI29" s="138"/>
      <c r="GJ29" s="138"/>
      <c r="GK29" s="138"/>
      <c r="GL29" s="138"/>
      <c r="GM29" s="138"/>
      <c r="GN29" s="138"/>
      <c r="GO29" s="138"/>
      <c r="GP29" s="138"/>
      <c r="GQ29" s="138"/>
      <c r="GR29" s="138"/>
      <c r="GS29" s="138"/>
      <c r="GT29" s="138"/>
      <c r="GU29" s="138"/>
      <c r="GV29" s="138"/>
      <c r="GW29" s="138"/>
      <c r="GX29" s="138"/>
      <c r="GY29" s="138"/>
      <c r="GZ29" s="138"/>
      <c r="HA29" s="138"/>
      <c r="HB29" s="138"/>
      <c r="HC29" s="138"/>
      <c r="HD29" s="138"/>
      <c r="HE29" s="138"/>
      <c r="HF29" s="138"/>
      <c r="HG29" s="138"/>
      <c r="HH29" s="138"/>
      <c r="HI29" s="138"/>
      <c r="HJ29" s="138"/>
      <c r="HK29" s="138"/>
      <c r="HL29" s="138"/>
      <c r="HM29" s="138"/>
      <c r="HN29" s="138"/>
      <c r="HO29" s="138"/>
      <c r="HP29" s="138"/>
      <c r="HQ29" s="138"/>
      <c r="HR29" s="138"/>
      <c r="HS29" s="138"/>
      <c r="HT29" s="138"/>
      <c r="HU29" s="138"/>
      <c r="HV29" s="138"/>
      <c r="HW29" s="138"/>
      <c r="HX29" s="138"/>
      <c r="HY29" s="138"/>
      <c r="HZ29" s="138"/>
      <c r="IA29" s="138"/>
      <c r="IB29" s="138"/>
      <c r="IC29" s="138"/>
      <c r="ID29" s="138"/>
      <c r="IE29" s="138"/>
      <c r="IF29" s="138"/>
      <c r="IG29" s="138"/>
      <c r="IH29" s="138"/>
      <c r="II29" s="138"/>
      <c r="IJ29" s="138"/>
      <c r="IK29" s="138"/>
      <c r="IL29" s="138"/>
      <c r="IM29" s="138"/>
      <c r="IN29" s="138"/>
      <c r="IO29" s="138"/>
      <c r="IP29" s="138"/>
      <c r="IQ29" s="138"/>
      <c r="IR29" s="138"/>
      <c r="IS29" s="138"/>
      <c r="IT29" s="138"/>
      <c r="IU29" s="138"/>
      <c r="IV29" s="138"/>
      <c r="IW29" s="138"/>
      <c r="IX29" s="138"/>
      <c r="IY29" s="138"/>
      <c r="IZ29" s="138"/>
      <c r="JA29" s="138"/>
      <c r="JB29" s="138"/>
      <c r="JC29" s="138"/>
      <c r="JD29" s="138"/>
      <c r="JE29" s="138"/>
      <c r="JF29" s="138"/>
      <c r="JG29" s="138"/>
      <c r="JH29" s="138"/>
      <c r="JI29" s="138"/>
      <c r="JJ29" s="138"/>
      <c r="JK29" s="138"/>
      <c r="JL29" s="138"/>
      <c r="JM29" s="138"/>
      <c r="JN29" s="138"/>
      <c r="JO29" s="138"/>
      <c r="JP29" s="138"/>
      <c r="JQ29" s="138"/>
      <c r="JR29" s="138"/>
      <c r="JS29" s="138"/>
      <c r="JT29" s="138"/>
      <c r="JU29" s="138"/>
      <c r="JV29" s="138"/>
      <c r="JW29" s="138"/>
      <c r="JX29" s="138"/>
      <c r="JY29" s="138"/>
      <c r="JZ29" s="138"/>
      <c r="KA29" s="138"/>
      <c r="KB29" s="138"/>
      <c r="KC29" s="138"/>
      <c r="KD29" s="138"/>
      <c r="KE29" s="138"/>
      <c r="KF29" s="138"/>
      <c r="KG29" s="138"/>
      <c r="KH29" s="138"/>
      <c r="KI29" s="138"/>
      <c r="KJ29" s="138"/>
      <c r="KK29" s="138"/>
      <c r="KL29" s="138"/>
      <c r="KM29" s="138"/>
      <c r="KN29" s="138"/>
      <c r="KO29" s="138"/>
      <c r="KP29" s="138"/>
      <c r="KQ29" s="138"/>
      <c r="KR29" s="138"/>
      <c r="KS29" s="138"/>
      <c r="KT29" s="138"/>
      <c r="KU29" s="138"/>
      <c r="KV29" s="138"/>
      <c r="KW29" s="138"/>
      <c r="KX29" s="138"/>
      <c r="KY29" s="138"/>
      <c r="KZ29" s="138"/>
      <c r="LA29" s="138"/>
      <c r="LB29" s="138"/>
      <c r="LC29" s="138"/>
      <c r="LD29" s="138"/>
      <c r="LE29" s="138"/>
      <c r="LF29" s="138"/>
      <c r="LG29" s="138"/>
      <c r="LH29" s="138"/>
      <c r="LI29" s="138"/>
      <c r="LJ29" s="138"/>
      <c r="LK29" s="138"/>
      <c r="LL29" s="138"/>
      <c r="LM29" s="138"/>
      <c r="LN29" s="138"/>
      <c r="LO29" s="138"/>
      <c r="LP29" s="138"/>
      <c r="LQ29" s="138"/>
      <c r="LR29" s="138"/>
      <c r="LS29" s="138"/>
      <c r="LT29" s="138"/>
      <c r="LU29" s="138"/>
      <c r="LV29" s="138"/>
      <c r="LW29" s="138"/>
      <c r="LX29" s="138"/>
      <c r="LY29" s="138"/>
      <c r="LZ29" s="138"/>
      <c r="MA29" s="138"/>
      <c r="MB29" s="138"/>
      <c r="MC29" s="138"/>
      <c r="MD29" s="138"/>
      <c r="ME29" s="138"/>
      <c r="MF29" s="138"/>
      <c r="MG29" s="138"/>
      <c r="MH29" s="138"/>
      <c r="MI29" s="138"/>
      <c r="MJ29" s="138"/>
      <c r="MK29" s="138"/>
      <c r="ML29" s="138"/>
      <c r="MM29" s="138"/>
      <c r="MN29" s="138"/>
      <c r="MO29" s="138"/>
      <c r="MP29" s="138"/>
      <c r="MQ29" s="138"/>
      <c r="MR29" s="138"/>
      <c r="MS29" s="138"/>
      <c r="MT29" s="138"/>
      <c r="MU29" s="138"/>
      <c r="MV29" s="138"/>
      <c r="MW29" s="138"/>
      <c r="MX29" s="138"/>
      <c r="MY29" s="138"/>
      <c r="MZ29" s="138"/>
      <c r="NA29" s="138"/>
      <c r="NB29" s="138"/>
      <c r="NC29" s="138"/>
      <c r="ND29" s="138"/>
      <c r="NE29" s="138"/>
      <c r="NF29" s="138"/>
      <c r="NG29" s="138"/>
      <c r="NH29" s="138"/>
      <c r="NI29" s="138"/>
      <c r="NJ29" s="138"/>
      <c r="NK29" s="138"/>
      <c r="NL29" s="138"/>
      <c r="NM29" s="138"/>
      <c r="NN29" s="138"/>
      <c r="NO29" s="138"/>
      <c r="NP29" s="138"/>
      <c r="NQ29" s="138"/>
      <c r="NR29" s="138"/>
      <c r="NS29" s="138"/>
      <c r="NT29" s="138"/>
      <c r="NU29" s="138"/>
      <c r="NV29" s="138"/>
      <c r="NW29" s="138"/>
      <c r="NX29" s="138"/>
      <c r="NY29" s="138"/>
      <c r="NZ29" s="138"/>
      <c r="OA29" s="138"/>
      <c r="OB29" s="138"/>
      <c r="OC29" s="138"/>
      <c r="OD29" s="138"/>
      <c r="OE29" s="138"/>
      <c r="OF29" s="138"/>
      <c r="OG29" s="138"/>
      <c r="OH29" s="138"/>
      <c r="OI29" s="138"/>
      <c r="OJ29" s="138"/>
      <c r="OK29" s="138"/>
      <c r="OL29" s="138"/>
      <c r="OM29" s="138"/>
      <c r="ON29" s="138"/>
      <c r="OO29" s="138"/>
      <c r="OP29" s="138"/>
      <c r="OQ29" s="138"/>
      <c r="OR29" s="138"/>
      <c r="OS29" s="138"/>
      <c r="OT29" s="138"/>
      <c r="OU29" s="138"/>
      <c r="OV29" s="138"/>
      <c r="OW29" s="138"/>
      <c r="OX29" s="138"/>
      <c r="OY29" s="138"/>
      <c r="OZ29" s="138"/>
      <c r="PA29" s="138"/>
      <c r="PB29" s="138"/>
      <c r="PC29" s="138"/>
      <c r="PD29" s="138"/>
      <c r="PE29" s="138"/>
      <c r="PF29" s="138"/>
      <c r="PG29" s="138"/>
      <c r="PH29" s="138"/>
      <c r="PI29" s="138"/>
      <c r="PJ29" s="138"/>
      <c r="PK29" s="138"/>
      <c r="PL29" s="138"/>
      <c r="PM29" s="138"/>
      <c r="PN29" s="138"/>
      <c r="PO29" s="138"/>
      <c r="PP29" s="138"/>
      <c r="PQ29" s="138"/>
      <c r="PR29" s="138"/>
      <c r="PS29" s="138"/>
      <c r="PT29" s="138"/>
      <c r="PU29" s="138"/>
      <c r="PV29" s="138"/>
      <c r="PW29" s="138"/>
      <c r="PX29" s="138"/>
      <c r="PY29" s="138"/>
      <c r="PZ29" s="138"/>
      <c r="QA29" s="138"/>
      <c r="QB29" s="138"/>
      <c r="QC29" s="138"/>
      <c r="QD29" s="138"/>
      <c r="QE29" s="138"/>
      <c r="QF29" s="138"/>
      <c r="QG29" s="138"/>
      <c r="QH29" s="138"/>
      <c r="QI29" s="138"/>
      <c r="QJ29" s="138"/>
      <c r="QK29" s="138"/>
      <c r="QL29" s="138"/>
      <c r="QM29" s="138"/>
      <c r="QN29" s="138"/>
      <c r="QO29" s="138"/>
      <c r="QP29" s="138"/>
      <c r="QQ29" s="138"/>
      <c r="QR29" s="138"/>
      <c r="QS29" s="138"/>
      <c r="QT29" s="138"/>
      <c r="QU29" s="138"/>
      <c r="QV29" s="138"/>
      <c r="QW29" s="138"/>
      <c r="QX29" s="138"/>
      <c r="QY29" s="138"/>
      <c r="QZ29" s="138"/>
      <c r="RA29" s="138"/>
      <c r="RB29" s="138"/>
      <c r="RC29" s="138"/>
      <c r="RD29" s="138"/>
      <c r="RE29" s="138"/>
      <c r="RF29" s="138"/>
      <c r="RG29" s="138"/>
      <c r="RH29" s="138"/>
      <c r="RI29" s="138"/>
      <c r="RJ29" s="138"/>
      <c r="RK29" s="138"/>
      <c r="RL29" s="138"/>
      <c r="RM29" s="138"/>
      <c r="RN29" s="138"/>
      <c r="RO29" s="138"/>
      <c r="RP29" s="138"/>
      <c r="RQ29" s="138"/>
      <c r="RR29" s="138"/>
      <c r="RS29" s="138"/>
      <c r="RT29" s="138"/>
      <c r="RU29" s="138"/>
      <c r="RV29" s="138"/>
      <c r="RW29" s="138"/>
      <c r="RX29" s="138"/>
      <c r="RY29" s="138"/>
      <c r="RZ29" s="138"/>
      <c r="SA29" s="138"/>
      <c r="SB29" s="138"/>
      <c r="SC29" s="138"/>
      <c r="SD29" s="138"/>
      <c r="SE29" s="138"/>
      <c r="SF29" s="138"/>
      <c r="SG29" s="138"/>
      <c r="SH29" s="138"/>
      <c r="SI29" s="138"/>
      <c r="SJ29" s="138"/>
      <c r="SK29" s="138"/>
      <c r="SL29" s="138"/>
      <c r="SM29" s="138"/>
      <c r="SN29" s="138"/>
      <c r="SO29" s="138"/>
      <c r="SP29" s="138"/>
      <c r="SQ29" s="138"/>
      <c r="SR29" s="138"/>
      <c r="SS29" s="138"/>
      <c r="ST29" s="138"/>
      <c r="SU29" s="138"/>
      <c r="SV29" s="138"/>
      <c r="SW29" s="138"/>
      <c r="SX29" s="138"/>
      <c r="SY29" s="138"/>
      <c r="SZ29" s="138"/>
      <c r="TA29" s="138"/>
      <c r="TB29" s="138"/>
      <c r="TC29" s="138"/>
      <c r="TD29" s="138"/>
      <c r="TE29" s="138"/>
      <c r="TF29" s="138"/>
      <c r="TG29" s="138"/>
      <c r="TH29" s="138"/>
      <c r="TI29" s="138"/>
      <c r="TJ29" s="138"/>
      <c r="TK29" s="138"/>
      <c r="TL29" s="138"/>
      <c r="TM29" s="138"/>
      <c r="TN29" s="138"/>
      <c r="TO29" s="138"/>
      <c r="TP29" s="138"/>
      <c r="TQ29" s="138"/>
      <c r="TR29" s="138"/>
      <c r="TS29" s="138"/>
      <c r="TT29" s="138"/>
      <c r="TU29" s="138"/>
      <c r="TV29" s="138"/>
      <c r="TW29" s="138"/>
      <c r="TX29" s="138"/>
      <c r="TY29" s="138"/>
      <c r="TZ29" s="138"/>
      <c r="UA29" s="138"/>
      <c r="UB29" s="138"/>
      <c r="UC29" s="138"/>
      <c r="UD29" s="138"/>
      <c r="UE29" s="138"/>
      <c r="UF29" s="138"/>
      <c r="UG29" s="138"/>
      <c r="UH29" s="138"/>
      <c r="UI29" s="138"/>
      <c r="UJ29" s="138"/>
      <c r="UK29" s="138"/>
      <c r="UL29" s="138"/>
      <c r="UM29" s="138"/>
      <c r="UN29" s="138"/>
      <c r="UO29" s="138"/>
      <c r="UP29" s="138"/>
      <c r="UQ29" s="138"/>
      <c r="UR29" s="138"/>
      <c r="US29" s="138"/>
      <c r="UT29" s="138"/>
      <c r="UU29" s="138"/>
      <c r="UV29" s="138"/>
      <c r="UW29" s="138"/>
      <c r="UX29" s="138"/>
      <c r="UY29" s="138"/>
      <c r="UZ29" s="138"/>
      <c r="VA29" s="138"/>
      <c r="VB29" s="138"/>
      <c r="VC29" s="138"/>
      <c r="VD29" s="138"/>
      <c r="VE29" s="138"/>
      <c r="VF29" s="138"/>
      <c r="VG29" s="138"/>
      <c r="VH29" s="138"/>
      <c r="VI29" s="138"/>
      <c r="VJ29" s="138"/>
      <c r="VK29" s="138"/>
      <c r="VL29" s="138"/>
      <c r="VM29" s="138"/>
      <c r="VN29" s="138"/>
      <c r="VO29" s="138"/>
      <c r="VP29" s="138"/>
      <c r="VQ29" s="138"/>
      <c r="VR29" s="138"/>
      <c r="VS29" s="138"/>
      <c r="VT29" s="138"/>
      <c r="VU29" s="138"/>
      <c r="VV29" s="138"/>
      <c r="VW29" s="138"/>
      <c r="VX29" s="138"/>
      <c r="VY29" s="138"/>
      <c r="VZ29" s="138"/>
      <c r="WA29" s="138"/>
      <c r="WB29" s="138"/>
      <c r="WC29" s="138"/>
      <c r="WD29" s="138"/>
      <c r="WE29" s="138"/>
      <c r="WF29" s="138"/>
      <c r="WG29" s="138"/>
      <c r="WH29" s="138"/>
      <c r="WI29" s="138"/>
      <c r="WJ29" s="138"/>
      <c r="WK29" s="138"/>
      <c r="WL29" s="138"/>
      <c r="WM29" s="138"/>
      <c r="WN29" s="138"/>
      <c r="WO29" s="138"/>
      <c r="WP29" s="138"/>
      <c r="WQ29" s="138"/>
      <c r="WR29" s="138"/>
      <c r="WS29" s="138"/>
      <c r="WT29" s="138"/>
      <c r="WU29" s="138"/>
      <c r="WV29" s="138"/>
      <c r="WW29" s="138"/>
      <c r="WX29" s="138"/>
      <c r="WY29" s="138"/>
      <c r="WZ29" s="138"/>
      <c r="XA29" s="138"/>
      <c r="XB29" s="138"/>
      <c r="XC29" s="138"/>
      <c r="XD29" s="138"/>
      <c r="XE29" s="138"/>
      <c r="XF29" s="138"/>
      <c r="XG29" s="138"/>
      <c r="XH29" s="138"/>
      <c r="XI29" s="138"/>
      <c r="XJ29" s="138"/>
      <c r="XK29" s="138"/>
      <c r="XL29" s="138"/>
      <c r="XM29" s="138"/>
      <c r="XN29" s="138"/>
      <c r="XO29" s="138"/>
      <c r="XP29" s="138"/>
      <c r="XQ29" s="138"/>
      <c r="XR29" s="138"/>
      <c r="XS29" s="138"/>
      <c r="XT29" s="138"/>
      <c r="XU29" s="138"/>
      <c r="XV29" s="138"/>
      <c r="XW29" s="138"/>
      <c r="XX29" s="138"/>
      <c r="XY29" s="138"/>
      <c r="XZ29" s="138"/>
      <c r="YA29" s="138"/>
      <c r="YB29" s="138"/>
      <c r="YC29" s="138"/>
      <c r="YD29" s="138"/>
      <c r="YE29" s="138"/>
      <c r="YF29" s="138"/>
      <c r="YG29" s="138"/>
      <c r="YH29" s="138"/>
      <c r="YI29" s="138"/>
      <c r="YJ29" s="138"/>
      <c r="YK29" s="138"/>
      <c r="YL29" s="138"/>
      <c r="YM29" s="138"/>
      <c r="YN29" s="138"/>
      <c r="YO29" s="138"/>
      <c r="YP29" s="138"/>
      <c r="YQ29" s="138"/>
      <c r="YR29" s="138"/>
      <c r="YS29" s="138"/>
      <c r="YT29" s="138"/>
      <c r="YU29" s="138"/>
      <c r="YV29" s="138"/>
      <c r="YW29" s="138"/>
      <c r="YX29" s="138"/>
      <c r="YY29" s="138"/>
      <c r="YZ29" s="138"/>
      <c r="ZA29" s="138"/>
      <c r="ZB29" s="138"/>
      <c r="ZC29" s="138"/>
      <c r="ZD29" s="138"/>
      <c r="ZE29" s="138"/>
      <c r="ZF29" s="138"/>
      <c r="ZG29" s="138"/>
      <c r="ZH29" s="138"/>
      <c r="ZI29" s="138"/>
      <c r="ZJ29" s="138"/>
      <c r="ZK29" s="138"/>
      <c r="ZL29" s="138"/>
      <c r="ZM29" s="138"/>
      <c r="ZN29" s="138"/>
      <c r="ZO29" s="138"/>
      <c r="ZP29" s="138"/>
      <c r="ZQ29" s="138"/>
      <c r="ZR29" s="138"/>
      <c r="ZS29" s="138"/>
      <c r="ZT29" s="138"/>
      <c r="ZU29" s="138"/>
      <c r="ZV29" s="138"/>
      <c r="ZW29" s="138"/>
      <c r="ZX29" s="138"/>
      <c r="ZY29" s="138"/>
      <c r="ZZ29" s="138"/>
      <c r="AAA29" s="138"/>
      <c r="AAB29" s="138"/>
      <c r="AAC29" s="138"/>
      <c r="AAD29" s="138"/>
      <c r="AAE29" s="138"/>
      <c r="AAF29" s="138"/>
      <c r="AAG29" s="138"/>
      <c r="AAH29" s="138"/>
      <c r="AAI29" s="138"/>
      <c r="AAJ29" s="138"/>
      <c r="AAK29" s="138"/>
      <c r="AAL29" s="138"/>
      <c r="AAM29" s="138"/>
      <c r="AAN29" s="138"/>
      <c r="AAO29" s="138"/>
      <c r="AAP29" s="138"/>
      <c r="AAQ29" s="138"/>
      <c r="AAR29" s="138"/>
      <c r="AAS29" s="138"/>
      <c r="AAT29" s="138"/>
      <c r="AAU29" s="138"/>
      <c r="AAV29" s="138"/>
      <c r="AAW29" s="138"/>
      <c r="AAX29" s="138"/>
      <c r="AAY29" s="138"/>
      <c r="AAZ29" s="138"/>
      <c r="ABA29" s="138"/>
      <c r="ABB29" s="138"/>
      <c r="ABC29" s="138"/>
      <c r="ABD29" s="138"/>
      <c r="ABE29" s="138"/>
      <c r="ABF29" s="138"/>
      <c r="ABG29" s="138"/>
      <c r="ABH29" s="138"/>
      <c r="ABI29" s="138"/>
      <c r="ABJ29" s="138"/>
      <c r="ABK29" s="138"/>
      <c r="ABL29" s="138"/>
      <c r="ABM29" s="138"/>
      <c r="ABN29" s="138"/>
      <c r="ABO29" s="138"/>
      <c r="ABP29" s="138"/>
      <c r="ABQ29" s="138"/>
      <c r="ABR29" s="138"/>
      <c r="ABS29" s="138"/>
      <c r="ABT29" s="138"/>
      <c r="ABU29" s="138"/>
      <c r="ABV29" s="138"/>
      <c r="ABW29" s="138"/>
      <c r="ABX29" s="138"/>
      <c r="ABY29" s="138"/>
      <c r="ABZ29" s="138"/>
      <c r="ACA29" s="138"/>
      <c r="ACB29" s="138"/>
      <c r="ACC29" s="138"/>
      <c r="ACD29" s="138"/>
      <c r="ACE29" s="138"/>
      <c r="ACF29" s="138"/>
      <c r="ACG29" s="138"/>
      <c r="ACH29" s="138"/>
      <c r="ACI29" s="138"/>
      <c r="ACJ29" s="138"/>
      <c r="ACK29" s="138"/>
      <c r="ACL29" s="138"/>
      <c r="ACM29" s="138"/>
      <c r="ACN29" s="138"/>
      <c r="ACO29" s="138"/>
      <c r="ACP29" s="138"/>
      <c r="ACQ29" s="138"/>
      <c r="ACR29" s="138"/>
      <c r="ACS29" s="138"/>
      <c r="ACT29" s="138"/>
      <c r="ACU29" s="138"/>
      <c r="ACV29" s="138"/>
      <c r="ACW29" s="138"/>
      <c r="ACX29" s="138"/>
      <c r="ACY29" s="138"/>
      <c r="ACZ29" s="138"/>
      <c r="ADA29" s="138"/>
      <c r="ADB29" s="138"/>
      <c r="ADC29" s="138"/>
      <c r="ADD29" s="138"/>
      <c r="ADE29" s="138"/>
      <c r="ADF29" s="138"/>
      <c r="ADG29" s="138"/>
      <c r="ADH29" s="138"/>
      <c r="ADI29" s="138"/>
      <c r="ADJ29" s="138"/>
      <c r="ADK29" s="138"/>
      <c r="ADL29" s="138"/>
      <c r="ADM29" s="138"/>
      <c r="ADN29" s="138"/>
      <c r="ADO29" s="138"/>
      <c r="ADP29" s="138"/>
      <c r="ADQ29" s="138"/>
      <c r="ADR29" s="138"/>
      <c r="ADS29" s="138"/>
      <c r="ADT29" s="138"/>
      <c r="ADU29" s="138"/>
      <c r="ADV29" s="138"/>
      <c r="ADW29" s="138"/>
      <c r="ADX29" s="138"/>
      <c r="ADY29" s="138"/>
      <c r="ADZ29" s="138"/>
      <c r="AEA29" s="138"/>
      <c r="AEB29" s="138"/>
      <c r="AEC29" s="138"/>
      <c r="AED29" s="138"/>
      <c r="AEE29" s="138"/>
      <c r="AEF29" s="138"/>
      <c r="AEG29" s="138"/>
      <c r="AEH29" s="138"/>
      <c r="AEI29" s="138"/>
      <c r="AEJ29" s="138"/>
      <c r="AEK29" s="138"/>
      <c r="AEL29" s="138"/>
      <c r="AEM29" s="138"/>
      <c r="AEN29" s="138"/>
      <c r="AEO29" s="138"/>
      <c r="AEP29" s="138"/>
      <c r="AEQ29" s="138"/>
      <c r="AER29" s="138"/>
      <c r="AES29" s="138"/>
      <c r="AET29" s="138"/>
      <c r="AEU29" s="138"/>
      <c r="AEV29" s="138"/>
      <c r="AEW29" s="138"/>
      <c r="AEX29" s="138"/>
      <c r="AEY29" s="138"/>
      <c r="AEZ29" s="138"/>
      <c r="AFA29" s="138"/>
      <c r="AFB29" s="138"/>
      <c r="AFC29" s="138"/>
      <c r="AFD29" s="138"/>
      <c r="AFE29" s="138"/>
      <c r="AFF29" s="138"/>
      <c r="AFG29" s="138"/>
      <c r="AFH29" s="138"/>
      <c r="AFI29" s="138"/>
      <c r="AFJ29" s="138"/>
      <c r="AFK29" s="138"/>
      <c r="AFL29" s="138"/>
      <c r="AFM29" s="138"/>
      <c r="AFN29" s="138"/>
      <c r="AFO29" s="138"/>
      <c r="AFP29" s="138"/>
      <c r="AFQ29" s="138"/>
      <c r="AFR29" s="138"/>
      <c r="AFS29" s="138"/>
      <c r="AFT29" s="138"/>
      <c r="AFU29" s="138"/>
      <c r="AFV29" s="138"/>
      <c r="AFW29" s="138"/>
      <c r="AFX29" s="138"/>
      <c r="AFY29" s="138"/>
      <c r="AFZ29" s="138"/>
      <c r="AGA29" s="138"/>
      <c r="AGB29" s="138"/>
      <c r="AGC29" s="138"/>
      <c r="AGD29" s="138"/>
      <c r="AGE29" s="138"/>
      <c r="AGF29" s="138"/>
      <c r="AGG29" s="138"/>
      <c r="AGH29" s="138"/>
      <c r="AGI29" s="138"/>
      <c r="AGJ29" s="138"/>
      <c r="AGK29" s="138"/>
      <c r="AGL29" s="138"/>
      <c r="AGM29" s="138"/>
      <c r="AGN29" s="138"/>
      <c r="AGO29" s="138"/>
      <c r="AGP29" s="138"/>
      <c r="AGQ29" s="138"/>
      <c r="AGR29" s="138"/>
      <c r="AGS29" s="138"/>
      <c r="AGT29" s="138"/>
      <c r="AGU29" s="138"/>
      <c r="AGV29" s="138"/>
      <c r="AGW29" s="138"/>
      <c r="AGX29" s="138"/>
      <c r="AGY29" s="138"/>
      <c r="AGZ29" s="138"/>
      <c r="AHA29" s="138"/>
      <c r="AHB29" s="138"/>
      <c r="AHC29" s="138"/>
      <c r="AHD29" s="138"/>
      <c r="AHE29" s="138"/>
      <c r="AHF29" s="138"/>
      <c r="AHG29" s="138"/>
      <c r="AHH29" s="138"/>
      <c r="AHI29" s="138"/>
      <c r="AHJ29" s="138"/>
      <c r="AHK29" s="138"/>
      <c r="AHL29" s="138"/>
      <c r="AHM29" s="138"/>
      <c r="AHN29" s="138"/>
      <c r="AHO29" s="138"/>
      <c r="AHP29" s="138"/>
      <c r="AHQ29" s="138"/>
      <c r="AHR29" s="138"/>
      <c r="AHS29" s="138"/>
      <c r="AHT29" s="138"/>
      <c r="AHU29" s="138"/>
      <c r="AHV29" s="138"/>
      <c r="AHW29" s="138"/>
      <c r="AHX29" s="138"/>
      <c r="AHY29" s="138"/>
      <c r="AHZ29" s="138"/>
      <c r="AIA29" s="138"/>
      <c r="AIB29" s="138"/>
      <c r="AIC29" s="138"/>
      <c r="AID29" s="138"/>
      <c r="AIE29" s="138"/>
      <c r="AIF29" s="138"/>
      <c r="AIG29" s="138"/>
      <c r="AIH29" s="138"/>
      <c r="AII29" s="138"/>
      <c r="AIJ29" s="138"/>
      <c r="AIK29" s="138"/>
      <c r="AIL29" s="138"/>
      <c r="AIM29" s="138"/>
      <c r="AIN29" s="138"/>
      <c r="AIO29" s="138"/>
      <c r="AIP29" s="138"/>
      <c r="AIQ29" s="138"/>
      <c r="AIR29" s="138"/>
      <c r="AIS29" s="138"/>
      <c r="AIT29" s="138"/>
      <c r="AIU29" s="138"/>
      <c r="AIV29" s="138"/>
      <c r="AIW29" s="138"/>
      <c r="AIX29" s="138"/>
      <c r="AIY29" s="138"/>
      <c r="AIZ29" s="138"/>
      <c r="AJA29" s="138"/>
      <c r="AJB29" s="138"/>
      <c r="AJC29" s="138"/>
      <c r="AJD29" s="138"/>
      <c r="AJE29" s="138"/>
      <c r="AJF29" s="138"/>
      <c r="AJG29" s="138"/>
      <c r="AJH29" s="138"/>
      <c r="AJI29" s="138"/>
      <c r="AJJ29" s="138"/>
      <c r="AJK29" s="138"/>
      <c r="AJL29" s="138"/>
      <c r="AJM29" s="138"/>
      <c r="AJN29" s="138"/>
      <c r="AJO29" s="138"/>
      <c r="AJP29" s="138"/>
      <c r="AJQ29" s="138"/>
      <c r="AJR29" s="138"/>
      <c r="AJS29" s="138"/>
      <c r="AJT29" s="138"/>
      <c r="AJU29" s="138"/>
      <c r="AJV29" s="138"/>
      <c r="AJW29" s="138"/>
      <c r="AJX29" s="138"/>
      <c r="AJY29" s="138"/>
      <c r="AJZ29" s="138"/>
      <c r="AKA29" s="138"/>
      <c r="AKB29" s="138"/>
      <c r="AKC29" s="138"/>
      <c r="AKD29" s="138"/>
      <c r="AKE29" s="138"/>
      <c r="AKF29" s="138"/>
      <c r="AKG29" s="138"/>
      <c r="AKH29" s="138"/>
      <c r="AKI29" s="138"/>
      <c r="AKJ29" s="138"/>
      <c r="AKK29" s="138"/>
      <c r="AKL29" s="138"/>
      <c r="AKM29" s="138"/>
      <c r="AKN29" s="138"/>
      <c r="AKO29" s="138"/>
      <c r="AKP29" s="138"/>
      <c r="AKQ29" s="138"/>
      <c r="AKR29" s="138"/>
      <c r="AKS29" s="138"/>
      <c r="AKT29" s="138"/>
      <c r="AKU29" s="138"/>
      <c r="AKV29" s="138"/>
      <c r="AKW29" s="138"/>
      <c r="AKX29" s="138"/>
      <c r="AKY29" s="138"/>
      <c r="AKZ29" s="138"/>
      <c r="ALA29" s="138"/>
      <c r="ALB29" s="138"/>
      <c r="ALC29" s="138"/>
      <c r="ALD29" s="138"/>
      <c r="ALE29" s="138"/>
      <c r="ALF29" s="138"/>
      <c r="ALG29" s="138"/>
      <c r="ALH29" s="138"/>
      <c r="ALI29" s="138"/>
      <c r="ALJ29" s="138"/>
      <c r="ALK29" s="138"/>
      <c r="ALL29" s="138"/>
      <c r="ALM29" s="138"/>
      <c r="ALN29" s="138"/>
      <c r="ALO29" s="138"/>
      <c r="ALP29" s="138"/>
      <c r="ALQ29" s="138"/>
      <c r="ALR29" s="138"/>
      <c r="ALS29" s="138"/>
      <c r="ALT29" s="138"/>
      <c r="ALU29" s="138"/>
      <c r="ALV29" s="138"/>
      <c r="ALW29" s="138"/>
      <c r="ALX29" s="138"/>
      <c r="ALY29" s="138"/>
      <c r="ALZ29" s="138"/>
      <c r="AMA29" s="138"/>
      <c r="AMB29" s="138"/>
      <c r="AMC29" s="138"/>
      <c r="AMD29" s="138"/>
      <c r="AME29" s="138"/>
      <c r="AMF29" s="138"/>
      <c r="AMG29" s="138"/>
      <c r="AMH29" s="138"/>
      <c r="AMI29" s="138"/>
      <c r="AMJ29" s="138"/>
      <c r="AMK29" s="138"/>
      <c r="AML29" s="138"/>
      <c r="AMM29" s="138"/>
      <c r="AMN29" s="138"/>
      <c r="AMO29" s="138"/>
      <c r="AMP29" s="138"/>
      <c r="AMQ29" s="138"/>
      <c r="AMR29" s="138"/>
      <c r="AMS29" s="138"/>
      <c r="AMT29" s="138"/>
      <c r="AMU29" s="138"/>
      <c r="AMV29" s="138"/>
      <c r="AMW29" s="138"/>
      <c r="AMX29" s="138"/>
      <c r="AMY29" s="138"/>
      <c r="AMZ29" s="138"/>
      <c r="ANA29" s="138"/>
      <c r="ANB29" s="138"/>
      <c r="ANC29" s="138"/>
      <c r="AND29" s="138"/>
      <c r="ANE29" s="138"/>
      <c r="ANF29" s="138"/>
      <c r="ANG29" s="138"/>
      <c r="ANH29" s="138"/>
      <c r="ANI29" s="138"/>
      <c r="ANJ29" s="138"/>
      <c r="ANK29" s="138"/>
      <c r="ANL29" s="138"/>
      <c r="ANM29" s="138"/>
      <c r="ANN29" s="138"/>
      <c r="ANO29" s="138"/>
      <c r="ANP29" s="138"/>
      <c r="ANQ29" s="138"/>
      <c r="ANR29" s="138"/>
      <c r="ANS29" s="138"/>
      <c r="ANT29" s="138"/>
      <c r="ANU29" s="138"/>
      <c r="ANV29" s="138"/>
      <c r="ANW29" s="138"/>
      <c r="ANX29" s="138"/>
      <c r="ANY29" s="138"/>
      <c r="ANZ29" s="138"/>
      <c r="AOA29" s="138"/>
      <c r="AOB29" s="138"/>
      <c r="AOC29" s="138"/>
      <c r="AOD29" s="138"/>
      <c r="AOE29" s="138"/>
      <c r="AOF29" s="138"/>
      <c r="AOG29" s="138"/>
      <c r="AOH29" s="138"/>
      <c r="AOI29" s="138"/>
      <c r="AOJ29" s="138"/>
      <c r="AOK29" s="138"/>
      <c r="AOL29" s="138"/>
      <c r="AOM29" s="138"/>
      <c r="AON29" s="138"/>
      <c r="AOO29" s="138"/>
      <c r="AOP29" s="138"/>
      <c r="AOQ29" s="138"/>
      <c r="AOR29" s="138"/>
      <c r="AOS29" s="138"/>
      <c r="AOT29" s="138"/>
      <c r="AOU29" s="138"/>
      <c r="AOV29" s="138"/>
      <c r="AOW29" s="138"/>
      <c r="AOX29" s="138"/>
      <c r="AOY29" s="138"/>
      <c r="AOZ29" s="138"/>
      <c r="APA29" s="138"/>
      <c r="APB29" s="138"/>
      <c r="APC29" s="138"/>
      <c r="APD29" s="138"/>
      <c r="APE29" s="138"/>
      <c r="APF29" s="138"/>
      <c r="APG29" s="138"/>
      <c r="APH29" s="138"/>
      <c r="API29" s="138"/>
      <c r="APJ29" s="138"/>
      <c r="APK29" s="138"/>
      <c r="APL29" s="138"/>
      <c r="APM29" s="138"/>
      <c r="APN29" s="138"/>
      <c r="APO29" s="138"/>
      <c r="APP29" s="138"/>
      <c r="APQ29" s="138"/>
      <c r="APR29" s="138"/>
      <c r="APS29" s="138"/>
      <c r="APT29" s="138"/>
      <c r="APU29" s="138"/>
      <c r="APV29" s="138"/>
      <c r="APW29" s="138"/>
      <c r="APX29" s="138"/>
      <c r="APY29" s="138"/>
      <c r="APZ29" s="138"/>
      <c r="AQA29" s="138"/>
      <c r="AQB29" s="138"/>
      <c r="AQC29" s="138"/>
      <c r="AQD29" s="138"/>
      <c r="AQE29" s="138"/>
      <c r="AQF29" s="138"/>
      <c r="AQG29" s="138"/>
      <c r="AQH29" s="138"/>
      <c r="AQI29" s="138"/>
      <c r="AQJ29" s="138"/>
      <c r="AQK29" s="138"/>
      <c r="AQL29" s="138"/>
      <c r="AQM29" s="138"/>
      <c r="AQN29" s="138"/>
      <c r="AQO29" s="138"/>
      <c r="AQP29" s="138"/>
      <c r="AQQ29" s="138"/>
      <c r="AQR29" s="138"/>
      <c r="AQS29" s="138"/>
      <c r="AQT29" s="138"/>
      <c r="AQU29" s="138"/>
      <c r="AQV29" s="138"/>
      <c r="AQW29" s="138"/>
      <c r="AQX29" s="138"/>
      <c r="AQY29" s="138"/>
      <c r="AQZ29" s="138"/>
      <c r="ARA29" s="138"/>
      <c r="ARB29" s="138"/>
      <c r="ARC29" s="138"/>
      <c r="ARD29" s="138"/>
      <c r="ARE29" s="138"/>
      <c r="ARF29" s="138"/>
      <c r="ARG29" s="138"/>
      <c r="ARH29" s="138"/>
      <c r="ARI29" s="138"/>
      <c r="ARJ29" s="138"/>
      <c r="ARK29" s="138"/>
      <c r="ARL29" s="138"/>
      <c r="ARM29" s="138"/>
      <c r="ARN29" s="138"/>
      <c r="ARO29" s="138"/>
      <c r="ARP29" s="138"/>
      <c r="ARQ29" s="138"/>
      <c r="ARR29" s="138"/>
      <c r="ARS29" s="138"/>
      <c r="ART29" s="138"/>
      <c r="ARU29" s="138"/>
      <c r="ARV29" s="138"/>
      <c r="ARW29" s="138"/>
      <c r="ARX29" s="138"/>
      <c r="ARY29" s="138"/>
      <c r="ARZ29" s="138"/>
      <c r="ASA29" s="138"/>
      <c r="ASB29" s="138"/>
      <c r="ASC29" s="138"/>
      <c r="ASD29" s="138"/>
      <c r="ASE29" s="138"/>
      <c r="ASF29" s="138"/>
      <c r="ASG29" s="138"/>
      <c r="ASH29" s="138"/>
      <c r="ASI29" s="138"/>
      <c r="ASJ29" s="138"/>
      <c r="ASK29" s="138"/>
      <c r="ASL29" s="138"/>
      <c r="ASM29" s="138"/>
      <c r="ASN29" s="138"/>
      <c r="ASO29" s="138"/>
      <c r="ASP29" s="138"/>
      <c r="ASQ29" s="138"/>
      <c r="ASR29" s="138"/>
      <c r="ASS29" s="138"/>
      <c r="AST29" s="138"/>
      <c r="ASU29" s="138"/>
      <c r="ASV29" s="138"/>
      <c r="ASW29" s="138"/>
      <c r="ASX29" s="138"/>
      <c r="ASY29" s="138"/>
      <c r="ASZ29" s="138"/>
      <c r="ATA29" s="138"/>
      <c r="ATB29" s="138"/>
      <c r="ATC29" s="138"/>
      <c r="ATD29" s="138"/>
      <c r="ATE29" s="138"/>
      <c r="ATF29" s="138"/>
      <c r="ATG29" s="138"/>
      <c r="ATH29" s="138"/>
      <c r="ATI29" s="138"/>
      <c r="ATJ29" s="138"/>
      <c r="ATK29" s="138"/>
      <c r="ATL29" s="138"/>
      <c r="ATM29" s="138"/>
      <c r="ATN29" s="138"/>
      <c r="ATO29" s="138"/>
      <c r="ATP29" s="138"/>
      <c r="ATQ29" s="138"/>
      <c r="ATR29" s="138"/>
      <c r="ATS29" s="138"/>
      <c r="ATT29" s="138"/>
      <c r="ATU29" s="138"/>
      <c r="ATV29" s="138"/>
      <c r="ATW29" s="138"/>
      <c r="ATX29" s="138"/>
      <c r="ATY29" s="138"/>
      <c r="ATZ29" s="138"/>
      <c r="AUA29" s="138"/>
      <c r="AUB29" s="138"/>
      <c r="AUC29" s="138"/>
      <c r="AUD29" s="138"/>
      <c r="AUE29" s="138"/>
      <c r="AUF29" s="138"/>
      <c r="AUG29" s="138"/>
      <c r="AUH29" s="138"/>
      <c r="AUI29" s="138"/>
      <c r="AUJ29" s="138"/>
      <c r="AUK29" s="138"/>
      <c r="AUL29" s="138"/>
      <c r="AUM29" s="138"/>
      <c r="AUN29" s="138"/>
      <c r="AUO29" s="138"/>
      <c r="AUP29" s="138"/>
      <c r="AUQ29" s="138"/>
      <c r="AUR29" s="138"/>
      <c r="AUS29" s="138"/>
      <c r="AUT29" s="138"/>
      <c r="AUU29" s="138"/>
      <c r="AUV29" s="138"/>
      <c r="AUW29" s="138"/>
      <c r="AUX29" s="138"/>
      <c r="AUY29" s="138"/>
      <c r="AUZ29" s="138"/>
      <c r="AVA29" s="138"/>
      <c r="AVB29" s="138"/>
      <c r="AVC29" s="138"/>
      <c r="AVD29" s="138"/>
      <c r="AVE29" s="138"/>
      <c r="AVF29" s="138"/>
      <c r="AVG29" s="138"/>
      <c r="AVH29" s="138"/>
      <c r="AVI29" s="138"/>
      <c r="AVJ29" s="138"/>
      <c r="AVK29" s="138"/>
      <c r="AVL29" s="138"/>
      <c r="AVM29" s="138"/>
      <c r="AVN29" s="138"/>
      <c r="AVO29" s="138"/>
      <c r="AVP29" s="138"/>
      <c r="AVQ29" s="138"/>
      <c r="AVR29" s="138"/>
      <c r="AVS29" s="138"/>
      <c r="AVT29" s="138"/>
      <c r="AVU29" s="138"/>
      <c r="AVV29" s="138"/>
      <c r="AVW29" s="138"/>
      <c r="AVX29" s="138"/>
      <c r="AVY29" s="138"/>
      <c r="AVZ29" s="138"/>
      <c r="AWA29" s="138"/>
      <c r="AWB29" s="138"/>
      <c r="AWC29" s="138"/>
      <c r="AWD29" s="138"/>
      <c r="AWE29" s="138"/>
      <c r="AWF29" s="138"/>
      <c r="AWG29" s="138"/>
      <c r="AWH29" s="138"/>
      <c r="AWI29" s="138"/>
      <c r="AWJ29" s="138"/>
      <c r="AWK29" s="138"/>
      <c r="AWL29" s="138"/>
      <c r="AWM29" s="138"/>
      <c r="AWN29" s="138"/>
      <c r="AWO29" s="138"/>
      <c r="AWP29" s="138"/>
      <c r="AWQ29" s="138"/>
      <c r="AWR29" s="138"/>
      <c r="AWS29" s="138"/>
      <c r="AWT29" s="138"/>
      <c r="AWU29" s="138"/>
      <c r="AWV29" s="138"/>
      <c r="AWW29" s="138"/>
      <c r="AWX29" s="138"/>
      <c r="AWY29" s="138"/>
      <c r="AWZ29" s="138"/>
      <c r="AXA29" s="138"/>
      <c r="AXB29" s="138"/>
      <c r="AXC29" s="138"/>
      <c r="AXD29" s="138"/>
      <c r="AXE29" s="138"/>
      <c r="AXF29" s="138"/>
      <c r="AXG29" s="138"/>
      <c r="AXH29" s="138"/>
      <c r="AXI29" s="138"/>
      <c r="AXJ29" s="138"/>
      <c r="AXK29" s="138"/>
      <c r="AXL29" s="138"/>
      <c r="AXM29" s="138"/>
      <c r="AXN29" s="138"/>
      <c r="AXO29" s="138"/>
      <c r="AXP29" s="138"/>
      <c r="AXQ29" s="138"/>
      <c r="AXR29" s="138"/>
      <c r="AXS29" s="138"/>
      <c r="AXT29" s="138"/>
      <c r="AXU29" s="138"/>
      <c r="AXV29" s="138"/>
      <c r="AXW29" s="138"/>
      <c r="AXX29" s="138"/>
      <c r="AXY29" s="138"/>
      <c r="AXZ29" s="138"/>
      <c r="AYA29" s="138"/>
      <c r="AYB29" s="138"/>
      <c r="AYC29" s="138"/>
      <c r="AYD29" s="138"/>
      <c r="AYE29" s="138"/>
      <c r="AYF29" s="138"/>
      <c r="AYG29" s="138"/>
      <c r="AYH29" s="138"/>
      <c r="AYI29" s="138"/>
      <c r="AYJ29" s="138"/>
      <c r="AYK29" s="138"/>
      <c r="AYL29" s="138"/>
      <c r="AYM29" s="138"/>
      <c r="AYN29" s="138"/>
      <c r="AYO29" s="138"/>
      <c r="AYP29" s="138"/>
      <c r="AYQ29" s="138"/>
      <c r="AYR29" s="138"/>
      <c r="AYS29" s="138"/>
      <c r="AYT29" s="138"/>
      <c r="AYU29" s="138"/>
      <c r="AYV29" s="138"/>
      <c r="AYW29" s="138"/>
      <c r="AYX29" s="138"/>
      <c r="AYY29" s="138"/>
      <c r="AYZ29" s="138"/>
      <c r="AZA29" s="138"/>
      <c r="AZB29" s="138"/>
      <c r="AZC29" s="138"/>
      <c r="AZD29" s="138"/>
      <c r="AZE29" s="138"/>
      <c r="AZF29" s="138"/>
      <c r="AZG29" s="138"/>
      <c r="AZH29" s="138"/>
      <c r="AZI29" s="138"/>
      <c r="AZJ29" s="138"/>
      <c r="AZK29" s="138"/>
      <c r="AZL29" s="138"/>
      <c r="AZM29" s="138"/>
      <c r="AZN29" s="138"/>
      <c r="AZO29" s="138"/>
      <c r="AZP29" s="138"/>
      <c r="AZQ29" s="138"/>
      <c r="AZR29" s="138"/>
      <c r="AZS29" s="138"/>
      <c r="AZT29" s="138"/>
      <c r="AZU29" s="138"/>
      <c r="AZV29" s="138"/>
      <c r="AZW29" s="138"/>
      <c r="AZX29" s="138"/>
      <c r="AZY29" s="138"/>
      <c r="AZZ29" s="138"/>
      <c r="BAA29" s="138"/>
      <c r="BAB29" s="138"/>
      <c r="BAC29" s="138"/>
      <c r="BAD29" s="138"/>
      <c r="BAE29" s="138"/>
      <c r="BAF29" s="138"/>
      <c r="BAG29" s="138"/>
      <c r="BAH29" s="138"/>
      <c r="BAI29" s="138"/>
      <c r="BAJ29" s="138"/>
      <c r="BAK29" s="138"/>
      <c r="BAL29" s="138"/>
      <c r="BAM29" s="138"/>
      <c r="BAN29" s="138"/>
      <c r="BAO29" s="138"/>
      <c r="BAP29" s="138"/>
      <c r="BAQ29" s="138"/>
      <c r="BAR29" s="138"/>
      <c r="BAS29" s="138"/>
      <c r="BAT29" s="138"/>
      <c r="BAU29" s="138"/>
      <c r="BAV29" s="138"/>
      <c r="BAW29" s="138"/>
      <c r="BAX29" s="138"/>
      <c r="BAY29" s="138"/>
      <c r="BAZ29" s="138"/>
      <c r="BBA29" s="138"/>
      <c r="BBB29" s="138"/>
      <c r="BBC29" s="138"/>
      <c r="BBD29" s="138"/>
      <c r="BBE29" s="138"/>
      <c r="BBF29" s="138"/>
      <c r="BBG29" s="138"/>
      <c r="BBH29" s="138"/>
      <c r="BBI29" s="138"/>
      <c r="BBJ29" s="138"/>
      <c r="BBK29" s="138"/>
      <c r="BBL29" s="138"/>
      <c r="BBM29" s="138"/>
      <c r="BBN29" s="138"/>
      <c r="BBO29" s="138"/>
      <c r="BBP29" s="138"/>
      <c r="BBQ29" s="138"/>
      <c r="BBR29" s="138"/>
      <c r="BBS29" s="138"/>
      <c r="BBT29" s="138"/>
      <c r="BBU29" s="138"/>
      <c r="BBV29" s="138"/>
      <c r="BBW29" s="138"/>
      <c r="BBX29" s="138"/>
      <c r="BBY29" s="138"/>
      <c r="BBZ29" s="138"/>
      <c r="BCA29" s="138"/>
      <c r="BCB29" s="138"/>
      <c r="BCC29" s="138"/>
      <c r="BCD29" s="138"/>
      <c r="BCE29" s="138"/>
      <c r="BCF29" s="138"/>
      <c r="BCG29" s="138"/>
      <c r="BCH29" s="138"/>
      <c r="BCI29" s="138"/>
      <c r="BCJ29" s="138"/>
      <c r="BCK29" s="138"/>
      <c r="BCL29" s="138"/>
      <c r="BCM29" s="138"/>
      <c r="BCN29" s="138"/>
      <c r="BCO29" s="138"/>
      <c r="BCP29" s="138"/>
      <c r="BCQ29" s="138"/>
      <c r="BCR29" s="138"/>
      <c r="BCS29" s="138"/>
      <c r="BCT29" s="138"/>
      <c r="BCU29" s="138"/>
      <c r="BCV29" s="138"/>
      <c r="BCW29" s="138"/>
      <c r="BCX29" s="138"/>
      <c r="BCY29" s="138"/>
      <c r="BCZ29" s="138"/>
      <c r="BDA29" s="138"/>
      <c r="BDB29" s="138"/>
      <c r="BDC29" s="138"/>
      <c r="BDD29" s="138"/>
      <c r="BDE29" s="138"/>
      <c r="BDF29" s="138"/>
      <c r="BDG29" s="138"/>
      <c r="BDH29" s="138"/>
      <c r="BDI29" s="138"/>
      <c r="BDJ29" s="138"/>
      <c r="BDK29" s="138"/>
      <c r="BDL29" s="138"/>
      <c r="BDM29" s="138"/>
      <c r="BDN29" s="138"/>
      <c r="BDO29" s="138"/>
      <c r="BDP29" s="138"/>
      <c r="BDQ29" s="138"/>
      <c r="BDR29" s="138"/>
      <c r="BDS29" s="138"/>
      <c r="BDT29" s="138"/>
      <c r="BDU29" s="138"/>
      <c r="BDV29" s="138"/>
      <c r="BDW29" s="138"/>
      <c r="BDX29" s="138"/>
      <c r="BDY29" s="138"/>
      <c r="BDZ29" s="138"/>
      <c r="BEA29" s="138"/>
      <c r="BEB29" s="138"/>
      <c r="BEC29" s="138"/>
      <c r="BED29" s="138"/>
      <c r="BEE29" s="138"/>
      <c r="BEF29" s="138"/>
      <c r="BEG29" s="138"/>
      <c r="BEH29" s="138"/>
      <c r="BEI29" s="138"/>
      <c r="BEJ29" s="138"/>
      <c r="BEK29" s="138"/>
      <c r="BEL29" s="138"/>
      <c r="BEM29" s="138"/>
      <c r="BEN29" s="138"/>
      <c r="BEO29" s="138"/>
      <c r="BEP29" s="138"/>
      <c r="BEQ29" s="138"/>
      <c r="BER29" s="138"/>
      <c r="BES29" s="138"/>
      <c r="BET29" s="138"/>
      <c r="BEU29" s="138"/>
      <c r="BEV29" s="138"/>
      <c r="BEW29" s="138"/>
      <c r="BEX29" s="138"/>
      <c r="BEY29" s="138"/>
      <c r="BEZ29" s="138"/>
      <c r="BFA29" s="138"/>
      <c r="BFB29" s="138"/>
      <c r="BFC29" s="138"/>
      <c r="BFD29" s="138"/>
      <c r="BFE29" s="138"/>
      <c r="BFF29" s="138"/>
      <c r="BFG29" s="138"/>
      <c r="BFH29" s="138"/>
      <c r="BFI29" s="138"/>
      <c r="BFJ29" s="138"/>
      <c r="BFK29" s="138"/>
      <c r="BFL29" s="138"/>
      <c r="BFM29" s="138"/>
      <c r="BFN29" s="138"/>
      <c r="BFO29" s="138"/>
      <c r="BFP29" s="138"/>
      <c r="BFQ29" s="138"/>
      <c r="BFR29" s="138"/>
      <c r="BFS29" s="138"/>
      <c r="BFT29" s="138"/>
      <c r="BFU29" s="138"/>
      <c r="BFV29" s="138"/>
      <c r="BFW29" s="138"/>
      <c r="BFX29" s="138"/>
      <c r="BFY29" s="138"/>
      <c r="BFZ29" s="138"/>
      <c r="BGA29" s="138"/>
      <c r="BGB29" s="138"/>
      <c r="BGC29" s="138"/>
      <c r="BGD29" s="138"/>
      <c r="BGE29" s="138"/>
      <c r="BGF29" s="138"/>
      <c r="BGG29" s="138"/>
      <c r="BGH29" s="138"/>
      <c r="BGI29" s="138"/>
      <c r="BGJ29" s="138"/>
      <c r="BGK29" s="138"/>
      <c r="BGL29" s="138"/>
      <c r="BGM29" s="138"/>
      <c r="BGN29" s="138"/>
      <c r="BGO29" s="138"/>
      <c r="BGP29" s="138"/>
      <c r="BGQ29" s="138"/>
      <c r="BGR29" s="138"/>
      <c r="BGS29" s="138"/>
      <c r="BGT29" s="138"/>
      <c r="BGU29" s="138"/>
      <c r="BGV29" s="138"/>
      <c r="BGW29" s="138"/>
      <c r="BGX29" s="138"/>
      <c r="BGY29" s="138"/>
      <c r="BGZ29" s="138"/>
      <c r="BHA29" s="138"/>
      <c r="BHB29" s="138"/>
      <c r="BHC29" s="138"/>
      <c r="BHD29" s="138"/>
      <c r="BHE29" s="138"/>
      <c r="BHF29" s="138"/>
      <c r="BHG29" s="138"/>
      <c r="BHH29" s="138"/>
      <c r="BHI29" s="138"/>
      <c r="BHJ29" s="138"/>
      <c r="BHK29" s="138"/>
      <c r="BHL29" s="138"/>
      <c r="BHM29" s="138"/>
      <c r="BHN29" s="138"/>
      <c r="BHO29" s="138"/>
      <c r="BHP29" s="138"/>
      <c r="BHQ29" s="138"/>
      <c r="BHR29" s="138"/>
      <c r="BHS29" s="138"/>
      <c r="BHT29" s="138"/>
      <c r="BHU29" s="138"/>
      <c r="BHV29" s="138"/>
      <c r="BHW29" s="138"/>
      <c r="BHX29" s="138"/>
      <c r="BHY29" s="138"/>
      <c r="BHZ29" s="138"/>
      <c r="BIA29" s="138"/>
      <c r="BIB29" s="138"/>
      <c r="BIC29" s="138"/>
      <c r="BID29" s="138"/>
      <c r="BIE29" s="138"/>
      <c r="BIF29" s="138"/>
      <c r="BIG29" s="138"/>
      <c r="BIH29" s="138"/>
      <c r="BII29" s="138"/>
      <c r="BIJ29" s="138"/>
      <c r="BIK29" s="138"/>
      <c r="BIL29" s="138"/>
      <c r="BIM29" s="138"/>
      <c r="BIN29" s="138"/>
      <c r="BIO29" s="138"/>
      <c r="BIP29" s="138"/>
      <c r="BIQ29" s="138"/>
      <c r="BIR29" s="138"/>
      <c r="BIS29" s="138"/>
      <c r="BIT29" s="138"/>
      <c r="BIU29" s="138"/>
      <c r="BIV29" s="138"/>
      <c r="BIW29" s="138"/>
      <c r="BIX29" s="138"/>
      <c r="BIY29" s="138"/>
      <c r="BIZ29" s="138"/>
      <c r="BJA29" s="138"/>
      <c r="BJB29" s="138"/>
      <c r="BJC29" s="138"/>
      <c r="BJD29" s="138"/>
      <c r="BJE29" s="138"/>
      <c r="BJF29" s="138"/>
      <c r="BJG29" s="138"/>
      <c r="BJH29" s="138"/>
      <c r="BJI29" s="138"/>
      <c r="BJJ29" s="138"/>
      <c r="BJK29" s="138"/>
      <c r="BJL29" s="138"/>
      <c r="BJM29" s="138"/>
      <c r="BJN29" s="138"/>
      <c r="BJO29" s="138"/>
      <c r="BJP29" s="138"/>
      <c r="BJQ29" s="138"/>
      <c r="BJR29" s="138"/>
      <c r="BJS29" s="138"/>
      <c r="BJT29" s="138"/>
      <c r="BJU29" s="138"/>
      <c r="BJV29" s="138"/>
      <c r="BJW29" s="138"/>
      <c r="BJX29" s="138"/>
      <c r="BJY29" s="138"/>
      <c r="BJZ29" s="138"/>
      <c r="BKA29" s="138"/>
      <c r="BKB29" s="138"/>
      <c r="BKC29" s="138"/>
      <c r="BKD29" s="138"/>
      <c r="BKE29" s="138"/>
      <c r="BKF29" s="138"/>
      <c r="BKG29" s="138"/>
      <c r="BKH29" s="138"/>
      <c r="BKI29" s="138"/>
      <c r="BKJ29" s="138"/>
      <c r="BKK29" s="138"/>
      <c r="BKL29" s="138"/>
      <c r="BKM29" s="138"/>
      <c r="BKN29" s="138"/>
      <c r="BKO29" s="138"/>
      <c r="BKP29" s="138"/>
      <c r="BKQ29" s="138"/>
      <c r="BKR29" s="138"/>
      <c r="BKS29" s="138"/>
      <c r="BKT29" s="138"/>
      <c r="BKU29" s="138"/>
      <c r="BKV29" s="138"/>
      <c r="BKW29" s="138"/>
      <c r="BKX29" s="138"/>
      <c r="BKY29" s="138"/>
      <c r="BKZ29" s="138"/>
      <c r="BLA29" s="138"/>
      <c r="BLB29" s="138"/>
      <c r="BLC29" s="138"/>
      <c r="BLD29" s="138"/>
      <c r="BLE29" s="138"/>
      <c r="BLF29" s="138"/>
      <c r="BLG29" s="138"/>
      <c r="BLH29" s="138"/>
      <c r="BLI29" s="138"/>
      <c r="BLJ29" s="138"/>
      <c r="BLK29" s="138"/>
      <c r="BLL29" s="138"/>
      <c r="BLM29" s="138"/>
      <c r="BLN29" s="138"/>
      <c r="BLO29" s="138"/>
      <c r="BLP29" s="138"/>
      <c r="BLQ29" s="138"/>
      <c r="BLR29" s="138"/>
      <c r="BLS29" s="138"/>
      <c r="BLT29" s="138"/>
      <c r="BLU29" s="138"/>
      <c r="BLV29" s="138"/>
      <c r="BLW29" s="138"/>
      <c r="BLX29" s="138"/>
      <c r="BLY29" s="138"/>
      <c r="BLZ29" s="138"/>
      <c r="BMA29" s="138"/>
      <c r="BMB29" s="138"/>
      <c r="BMC29" s="138"/>
      <c r="BMD29" s="138"/>
      <c r="BME29" s="138"/>
      <c r="BMF29" s="138"/>
      <c r="BMG29" s="138"/>
      <c r="BMH29" s="138"/>
      <c r="BMI29" s="138"/>
      <c r="BMJ29" s="138"/>
      <c r="BMK29" s="138"/>
      <c r="BML29" s="138"/>
      <c r="BMM29" s="138"/>
      <c r="BMN29" s="138"/>
      <c r="BMO29" s="138"/>
      <c r="BMP29" s="138"/>
      <c r="BMQ29" s="138"/>
      <c r="BMR29" s="138"/>
      <c r="BMS29" s="138"/>
      <c r="BMT29" s="138"/>
      <c r="BMU29" s="138"/>
      <c r="BMV29" s="138"/>
      <c r="BMW29" s="138"/>
      <c r="BMX29" s="138"/>
      <c r="BMY29" s="138"/>
      <c r="BMZ29" s="138"/>
      <c r="BNA29" s="138"/>
      <c r="BNB29" s="138"/>
      <c r="BNC29" s="138"/>
      <c r="BND29" s="138"/>
      <c r="BNE29" s="138"/>
      <c r="BNF29" s="138"/>
      <c r="BNG29" s="138"/>
      <c r="BNH29" s="138"/>
      <c r="BNI29" s="138"/>
      <c r="BNJ29" s="138"/>
      <c r="BNK29" s="138"/>
      <c r="BNL29" s="138"/>
      <c r="BNM29" s="138"/>
      <c r="BNN29" s="138"/>
      <c r="BNO29" s="138"/>
      <c r="BNP29" s="138"/>
      <c r="BNQ29" s="138"/>
      <c r="BNR29" s="138"/>
      <c r="BNS29" s="138"/>
      <c r="BNT29" s="138"/>
      <c r="BNU29" s="138"/>
      <c r="BNV29" s="138"/>
      <c r="BNW29" s="138"/>
      <c r="BNX29" s="138"/>
      <c r="BNY29" s="138"/>
      <c r="BNZ29" s="138"/>
      <c r="BOA29" s="138"/>
      <c r="BOB29" s="138"/>
      <c r="BOC29" s="138"/>
      <c r="BOD29" s="138"/>
      <c r="BOE29" s="138"/>
      <c r="BOF29" s="138"/>
      <c r="BOG29" s="138"/>
      <c r="BOH29" s="138"/>
      <c r="BOI29" s="138"/>
      <c r="BOJ29" s="138"/>
      <c r="BOK29" s="138"/>
      <c r="BOL29" s="138"/>
      <c r="BOM29" s="138"/>
      <c r="BON29" s="138"/>
      <c r="BOO29" s="138"/>
      <c r="BOP29" s="138"/>
      <c r="BOQ29" s="138"/>
      <c r="BOR29" s="138"/>
      <c r="BOS29" s="138"/>
      <c r="BOT29" s="138"/>
      <c r="BOU29" s="138"/>
      <c r="BOV29" s="138"/>
      <c r="BOW29" s="138"/>
      <c r="BOX29" s="138"/>
      <c r="BOY29" s="138"/>
      <c r="BOZ29" s="138"/>
      <c r="BPA29" s="138"/>
      <c r="BPB29" s="138"/>
      <c r="BPC29" s="138"/>
      <c r="BPD29" s="138"/>
      <c r="BPE29" s="138"/>
      <c r="BPF29" s="138"/>
      <c r="BPG29" s="138"/>
      <c r="BPH29" s="138"/>
      <c r="BPI29" s="138"/>
      <c r="BPJ29" s="138"/>
      <c r="BPK29" s="138"/>
      <c r="BPL29" s="138"/>
      <c r="BPM29" s="138"/>
      <c r="BPN29" s="138"/>
      <c r="BPO29" s="138"/>
      <c r="BPP29" s="138"/>
      <c r="BPQ29" s="138"/>
      <c r="BPR29" s="138"/>
      <c r="BPS29" s="138"/>
      <c r="BPT29" s="138"/>
      <c r="BPU29" s="138"/>
      <c r="BPV29" s="138"/>
      <c r="BPW29" s="138"/>
      <c r="BPX29" s="138"/>
      <c r="BPY29" s="138"/>
      <c r="BPZ29" s="138"/>
      <c r="BQA29" s="138"/>
      <c r="BQB29" s="138"/>
      <c r="BQC29" s="138"/>
      <c r="BQD29" s="138"/>
      <c r="BQE29" s="138"/>
      <c r="BQF29" s="138"/>
      <c r="BQG29" s="138"/>
      <c r="BQH29" s="138"/>
      <c r="BQI29" s="138"/>
      <c r="BQJ29" s="138"/>
      <c r="BQK29" s="138"/>
      <c r="BQL29" s="138"/>
      <c r="BQM29" s="138"/>
      <c r="BQN29" s="138"/>
      <c r="BQO29" s="138"/>
      <c r="BQP29" s="138"/>
      <c r="BQQ29" s="138"/>
      <c r="BQR29" s="138"/>
      <c r="BQS29" s="138"/>
      <c r="BQT29" s="138"/>
      <c r="BQU29" s="138"/>
      <c r="BQV29" s="138"/>
      <c r="BQW29" s="138"/>
      <c r="BQX29" s="138"/>
      <c r="BQY29" s="138"/>
      <c r="BQZ29" s="138"/>
      <c r="BRA29" s="138"/>
      <c r="BRB29" s="138"/>
      <c r="BRC29" s="138"/>
      <c r="BRD29" s="138"/>
      <c r="BRE29" s="138"/>
      <c r="BRF29" s="138"/>
      <c r="BRG29" s="138"/>
      <c r="BRH29" s="138"/>
      <c r="BRI29" s="138"/>
      <c r="BRJ29" s="138"/>
      <c r="BRK29" s="138"/>
      <c r="BRL29" s="138"/>
      <c r="BRM29" s="138"/>
      <c r="BRN29" s="138"/>
      <c r="BRO29" s="138"/>
      <c r="BRP29" s="138"/>
      <c r="BRQ29" s="138"/>
      <c r="BRR29" s="138"/>
      <c r="BRS29" s="138"/>
      <c r="BRT29" s="138"/>
      <c r="BRU29" s="138"/>
      <c r="BRV29" s="138"/>
      <c r="BRW29" s="138"/>
      <c r="BRX29" s="138"/>
      <c r="BRY29" s="138"/>
      <c r="BRZ29" s="138"/>
      <c r="BSA29" s="138"/>
      <c r="BSB29" s="138"/>
      <c r="BSC29" s="138"/>
      <c r="BSD29" s="138"/>
      <c r="BSE29" s="138"/>
      <c r="BSF29" s="138"/>
      <c r="BSG29" s="138"/>
      <c r="BSH29" s="138"/>
      <c r="BSI29" s="138"/>
      <c r="BSJ29" s="138"/>
      <c r="BSK29" s="138"/>
      <c r="BSL29" s="138"/>
      <c r="BSM29" s="138"/>
      <c r="BSN29" s="138"/>
      <c r="BSO29" s="138"/>
      <c r="BSP29" s="138"/>
      <c r="BSQ29" s="138"/>
      <c r="BSR29" s="138"/>
      <c r="BSS29" s="138"/>
      <c r="BST29" s="138"/>
      <c r="BSU29" s="138"/>
      <c r="BSV29" s="138"/>
      <c r="BSW29" s="138"/>
      <c r="BSX29" s="138"/>
      <c r="BSY29" s="138"/>
      <c r="BSZ29" s="138"/>
      <c r="BTA29" s="138"/>
      <c r="BTB29" s="138"/>
      <c r="BTC29" s="138"/>
      <c r="BTD29" s="138"/>
      <c r="BTE29" s="138"/>
      <c r="BTF29" s="138"/>
      <c r="BTG29" s="138"/>
      <c r="BTH29" s="138"/>
      <c r="BTI29" s="138"/>
      <c r="BTJ29" s="138"/>
      <c r="BTK29" s="138"/>
      <c r="BTL29" s="138"/>
      <c r="BTM29" s="138"/>
      <c r="BTN29" s="138"/>
      <c r="BTO29" s="138"/>
      <c r="BTP29" s="138"/>
      <c r="BTQ29" s="138"/>
      <c r="BTR29" s="138"/>
      <c r="BTS29" s="138"/>
      <c r="BTT29" s="138"/>
      <c r="BTU29" s="138"/>
      <c r="BTV29" s="138"/>
      <c r="BTW29" s="138"/>
      <c r="BTX29" s="138"/>
      <c r="BTY29" s="138"/>
      <c r="BTZ29" s="138"/>
      <c r="BUA29" s="138"/>
      <c r="BUB29" s="138"/>
      <c r="BUC29" s="138"/>
      <c r="BUD29" s="138"/>
      <c r="BUE29" s="138"/>
      <c r="BUF29" s="138"/>
      <c r="BUG29" s="138"/>
      <c r="BUH29" s="138"/>
      <c r="BUI29" s="138"/>
      <c r="BUJ29" s="138"/>
      <c r="BUK29" s="138"/>
      <c r="BUL29" s="138"/>
      <c r="BUM29" s="138"/>
      <c r="BUN29" s="138"/>
      <c r="BUO29" s="138"/>
      <c r="BUP29" s="138"/>
      <c r="BUQ29" s="138"/>
      <c r="BUR29" s="138"/>
      <c r="BUS29" s="138"/>
      <c r="BUT29" s="138"/>
      <c r="BUU29" s="138"/>
      <c r="BUV29" s="138"/>
      <c r="BUW29" s="138"/>
      <c r="BUX29" s="138"/>
      <c r="BUY29" s="138"/>
      <c r="BUZ29" s="138"/>
      <c r="BVA29" s="138"/>
      <c r="BVB29" s="138"/>
      <c r="BVC29" s="138"/>
      <c r="BVD29" s="138"/>
      <c r="BVE29" s="138"/>
      <c r="BVF29" s="138"/>
      <c r="BVG29" s="138"/>
      <c r="BVH29" s="138"/>
      <c r="BVI29" s="138"/>
      <c r="BVJ29" s="138"/>
      <c r="BVK29" s="138"/>
      <c r="BVL29" s="138"/>
      <c r="BVM29" s="138"/>
      <c r="BVN29" s="138"/>
      <c r="BVO29" s="138"/>
      <c r="BVP29" s="138"/>
      <c r="BVQ29" s="138"/>
      <c r="BVR29" s="138"/>
      <c r="BVS29" s="138"/>
      <c r="BVT29" s="138"/>
      <c r="BVU29" s="138"/>
      <c r="BVV29" s="138"/>
      <c r="BVW29" s="138"/>
      <c r="BVX29" s="138"/>
      <c r="BVY29" s="138"/>
      <c r="BVZ29" s="138"/>
      <c r="BWA29" s="138"/>
      <c r="BWB29" s="138"/>
      <c r="BWC29" s="138"/>
      <c r="BWD29" s="138"/>
      <c r="BWE29" s="138"/>
      <c r="BWF29" s="138"/>
      <c r="BWG29" s="138"/>
      <c r="BWH29" s="138"/>
      <c r="BWI29" s="138"/>
      <c r="BWJ29" s="138"/>
      <c r="BWK29" s="138"/>
      <c r="BWL29" s="138"/>
      <c r="BWM29" s="138"/>
      <c r="BWN29" s="138"/>
      <c r="BWO29" s="138"/>
      <c r="BWP29" s="138"/>
      <c r="BWQ29" s="138"/>
      <c r="BWR29" s="138"/>
      <c r="BWS29" s="138"/>
      <c r="BWT29" s="138"/>
      <c r="BWU29" s="138"/>
      <c r="BWV29" s="138"/>
      <c r="BWW29" s="138"/>
      <c r="BWX29" s="138"/>
      <c r="BWY29" s="138"/>
      <c r="BWZ29" s="138"/>
      <c r="BXA29" s="138"/>
      <c r="BXB29" s="138"/>
      <c r="BXC29" s="138"/>
      <c r="BXD29" s="138"/>
      <c r="BXE29" s="138"/>
      <c r="BXF29" s="138"/>
      <c r="BXG29" s="138"/>
      <c r="BXH29" s="138"/>
      <c r="BXI29" s="138"/>
      <c r="BXJ29" s="138"/>
      <c r="BXK29" s="138"/>
      <c r="BXL29" s="138"/>
      <c r="BXM29" s="138"/>
      <c r="BXN29" s="138"/>
      <c r="BXO29" s="138"/>
      <c r="BXP29" s="138"/>
      <c r="BXQ29" s="138"/>
      <c r="BXR29" s="138"/>
      <c r="BXS29" s="138"/>
      <c r="BXT29" s="138"/>
      <c r="BXU29" s="138"/>
      <c r="BXV29" s="138"/>
      <c r="BXW29" s="138"/>
      <c r="BXX29" s="138"/>
      <c r="BXY29" s="138"/>
      <c r="BXZ29" s="138"/>
      <c r="BYA29" s="138"/>
      <c r="BYB29" s="138"/>
      <c r="BYC29" s="138"/>
      <c r="BYD29" s="138"/>
      <c r="BYE29" s="138"/>
      <c r="BYF29" s="138"/>
      <c r="BYG29" s="138"/>
      <c r="BYH29" s="138"/>
      <c r="BYI29" s="138"/>
      <c r="BYJ29" s="138"/>
      <c r="BYK29" s="138"/>
      <c r="BYL29" s="138"/>
      <c r="BYM29" s="138"/>
      <c r="BYN29" s="138"/>
      <c r="BYO29" s="138"/>
      <c r="BYP29" s="138"/>
      <c r="BYQ29" s="138"/>
      <c r="BYR29" s="138"/>
      <c r="BYS29" s="138"/>
      <c r="BYT29" s="138"/>
      <c r="BYU29" s="138"/>
      <c r="BYV29" s="138"/>
      <c r="BYW29" s="138"/>
      <c r="BYX29" s="138"/>
      <c r="BYY29" s="138"/>
      <c r="BYZ29" s="138"/>
      <c r="BZA29" s="138"/>
      <c r="BZB29" s="138"/>
      <c r="BZC29" s="138"/>
      <c r="BZD29" s="138"/>
      <c r="BZE29" s="138"/>
      <c r="BZF29" s="138"/>
      <c r="BZG29" s="138"/>
      <c r="BZH29" s="138"/>
      <c r="BZI29" s="138"/>
      <c r="BZJ29" s="138"/>
      <c r="BZK29" s="138"/>
      <c r="BZL29" s="138"/>
      <c r="BZM29" s="138"/>
      <c r="BZN29" s="138"/>
      <c r="BZO29" s="138"/>
      <c r="BZP29" s="138"/>
      <c r="BZQ29" s="138"/>
      <c r="BZR29" s="138"/>
      <c r="BZS29" s="138"/>
      <c r="BZT29" s="138"/>
      <c r="BZU29" s="138"/>
      <c r="BZV29" s="138"/>
      <c r="BZW29" s="138"/>
      <c r="BZX29" s="138"/>
      <c r="BZY29" s="138"/>
      <c r="BZZ29" s="138"/>
      <c r="CAA29" s="138"/>
      <c r="CAB29" s="138"/>
      <c r="CAC29" s="138"/>
      <c r="CAD29" s="138"/>
      <c r="CAE29" s="138"/>
      <c r="CAF29" s="138"/>
      <c r="CAG29" s="138"/>
      <c r="CAH29" s="138"/>
      <c r="CAI29" s="138"/>
      <c r="CAJ29" s="138"/>
      <c r="CAK29" s="138"/>
      <c r="CAL29" s="138"/>
      <c r="CAM29" s="138"/>
      <c r="CAN29" s="138"/>
      <c r="CAO29" s="138"/>
      <c r="CAP29" s="138"/>
      <c r="CAQ29" s="138"/>
      <c r="CAR29" s="138"/>
      <c r="CAS29" s="138"/>
      <c r="CAT29" s="138"/>
      <c r="CAU29" s="138"/>
      <c r="CAV29" s="138"/>
      <c r="CAW29" s="138"/>
      <c r="CAX29" s="138"/>
      <c r="CAY29" s="138"/>
      <c r="CAZ29" s="138"/>
      <c r="CBA29" s="138"/>
      <c r="CBB29" s="138"/>
      <c r="CBC29" s="138"/>
      <c r="CBD29" s="138"/>
      <c r="CBE29" s="138"/>
      <c r="CBF29" s="138"/>
      <c r="CBG29" s="138"/>
      <c r="CBH29" s="138"/>
      <c r="CBI29" s="138"/>
      <c r="CBJ29" s="138"/>
      <c r="CBK29" s="138"/>
      <c r="CBL29" s="138"/>
      <c r="CBM29" s="138"/>
      <c r="CBN29" s="138"/>
      <c r="CBO29" s="138"/>
      <c r="CBP29" s="138"/>
      <c r="CBQ29" s="138"/>
      <c r="CBR29" s="138"/>
      <c r="CBS29" s="138"/>
      <c r="CBT29" s="138"/>
      <c r="CBU29" s="138"/>
      <c r="CBV29" s="138"/>
      <c r="CBW29" s="138"/>
      <c r="CBX29" s="138"/>
      <c r="CBY29" s="138"/>
      <c r="CBZ29" s="138"/>
      <c r="CCA29" s="138"/>
      <c r="CCB29" s="138"/>
      <c r="CCC29" s="138"/>
      <c r="CCD29" s="138"/>
      <c r="CCE29" s="138"/>
      <c r="CCF29" s="138"/>
      <c r="CCG29" s="138"/>
      <c r="CCH29" s="138"/>
      <c r="CCI29" s="138"/>
      <c r="CCJ29" s="138"/>
      <c r="CCK29" s="138"/>
      <c r="CCL29" s="138"/>
      <c r="CCM29" s="138"/>
      <c r="CCN29" s="138"/>
      <c r="CCO29" s="138"/>
      <c r="CCP29" s="138"/>
      <c r="CCQ29" s="138"/>
      <c r="CCR29" s="138"/>
      <c r="CCS29" s="138"/>
      <c r="CCT29" s="138"/>
      <c r="CCU29" s="138"/>
      <c r="CCV29" s="138"/>
      <c r="CCW29" s="138"/>
      <c r="CCX29" s="138"/>
      <c r="CCY29" s="138"/>
      <c r="CCZ29" s="138"/>
      <c r="CDA29" s="138"/>
      <c r="CDB29" s="138"/>
      <c r="CDC29" s="138"/>
      <c r="CDD29" s="138"/>
      <c r="CDE29" s="138"/>
      <c r="CDF29" s="138"/>
      <c r="CDG29" s="138"/>
      <c r="CDH29" s="138"/>
      <c r="CDI29" s="138"/>
      <c r="CDJ29" s="138"/>
      <c r="CDK29" s="138"/>
      <c r="CDL29" s="138"/>
      <c r="CDM29" s="138"/>
      <c r="CDN29" s="138"/>
      <c r="CDO29" s="138"/>
      <c r="CDP29" s="138"/>
      <c r="CDQ29" s="138"/>
      <c r="CDR29" s="138"/>
      <c r="CDS29" s="138"/>
      <c r="CDT29" s="138"/>
      <c r="CDU29" s="138"/>
      <c r="CDV29" s="138"/>
      <c r="CDW29" s="138"/>
      <c r="CDX29" s="138"/>
      <c r="CDY29" s="138"/>
      <c r="CDZ29" s="138"/>
      <c r="CEA29" s="138"/>
      <c r="CEB29" s="138"/>
      <c r="CEC29" s="138"/>
      <c r="CED29" s="138"/>
      <c r="CEE29" s="138"/>
      <c r="CEF29" s="138"/>
      <c r="CEG29" s="138"/>
      <c r="CEH29" s="138"/>
      <c r="CEI29" s="138"/>
      <c r="CEJ29" s="138"/>
      <c r="CEK29" s="138"/>
      <c r="CEL29" s="138"/>
      <c r="CEM29" s="138"/>
      <c r="CEN29" s="138"/>
      <c r="CEO29" s="138"/>
      <c r="CEP29" s="138"/>
      <c r="CEQ29" s="138"/>
      <c r="CER29" s="138"/>
      <c r="CES29" s="138"/>
      <c r="CET29" s="138"/>
      <c r="CEU29" s="138"/>
      <c r="CEV29" s="138"/>
      <c r="CEW29" s="138"/>
      <c r="CEX29" s="138"/>
      <c r="CEY29" s="138"/>
      <c r="CEZ29" s="138"/>
      <c r="CFA29" s="138"/>
      <c r="CFB29" s="138"/>
      <c r="CFC29" s="138"/>
      <c r="CFD29" s="138"/>
      <c r="CFE29" s="138"/>
      <c r="CFF29" s="138"/>
      <c r="CFG29" s="138"/>
      <c r="CFH29" s="138"/>
      <c r="CFI29" s="138"/>
      <c r="CFJ29" s="138"/>
      <c r="CFK29" s="138"/>
      <c r="CFL29" s="138"/>
      <c r="CFM29" s="138"/>
      <c r="CFN29" s="138"/>
      <c r="CFO29" s="138"/>
      <c r="CFP29" s="138"/>
      <c r="CFQ29" s="138"/>
      <c r="CFR29" s="138"/>
      <c r="CFS29" s="138"/>
      <c r="CFT29" s="138"/>
      <c r="CFU29" s="138"/>
      <c r="CFV29" s="138"/>
      <c r="CFW29" s="138"/>
      <c r="CFX29" s="138"/>
      <c r="CFY29" s="138"/>
      <c r="CFZ29" s="138"/>
      <c r="CGA29" s="138"/>
      <c r="CGB29" s="138"/>
      <c r="CGC29" s="138"/>
      <c r="CGD29" s="138"/>
      <c r="CGE29" s="138"/>
      <c r="CGF29" s="138"/>
      <c r="CGG29" s="138"/>
      <c r="CGH29" s="138"/>
      <c r="CGI29" s="138"/>
      <c r="CGJ29" s="138"/>
      <c r="CGK29" s="138"/>
      <c r="CGL29" s="138"/>
      <c r="CGM29" s="138"/>
      <c r="CGN29" s="138"/>
      <c r="CGO29" s="138"/>
      <c r="CGP29" s="138"/>
      <c r="CGQ29" s="138"/>
      <c r="CGR29" s="138"/>
      <c r="CGS29" s="138"/>
      <c r="CGT29" s="138"/>
      <c r="CGU29" s="138"/>
      <c r="CGV29" s="138"/>
      <c r="CGW29" s="138"/>
      <c r="CGX29" s="138"/>
      <c r="CGY29" s="138"/>
      <c r="CGZ29" s="138"/>
      <c r="CHA29" s="138"/>
      <c r="CHB29" s="138"/>
      <c r="CHC29" s="138"/>
      <c r="CHD29" s="138"/>
      <c r="CHE29" s="138"/>
      <c r="CHF29" s="138"/>
      <c r="CHG29" s="138"/>
      <c r="CHH29" s="138"/>
      <c r="CHI29" s="138"/>
      <c r="CHJ29" s="138"/>
      <c r="CHK29" s="138"/>
      <c r="CHL29" s="138"/>
      <c r="CHM29" s="138"/>
      <c r="CHN29" s="138"/>
      <c r="CHO29" s="138"/>
      <c r="CHP29" s="138"/>
      <c r="CHQ29" s="138"/>
      <c r="CHR29" s="138"/>
      <c r="CHS29" s="138"/>
      <c r="CHT29" s="138"/>
      <c r="CHU29" s="138"/>
      <c r="CHV29" s="138"/>
      <c r="CHW29" s="138"/>
      <c r="CHX29" s="138"/>
      <c r="CHY29" s="138"/>
      <c r="CHZ29" s="138"/>
      <c r="CIA29" s="138"/>
      <c r="CIB29" s="138"/>
      <c r="CIC29" s="138"/>
      <c r="CID29" s="138"/>
      <c r="CIE29" s="138"/>
      <c r="CIF29" s="138"/>
      <c r="CIG29" s="138"/>
      <c r="CIH29" s="138"/>
      <c r="CII29" s="138"/>
      <c r="CIJ29" s="138"/>
      <c r="CIK29" s="138"/>
      <c r="CIL29" s="138"/>
      <c r="CIM29" s="138"/>
      <c r="CIN29" s="138"/>
      <c r="CIO29" s="138"/>
      <c r="CIP29" s="138"/>
      <c r="CIQ29" s="138"/>
      <c r="CIR29" s="138"/>
      <c r="CIS29" s="138"/>
      <c r="CIT29" s="138"/>
      <c r="CIU29" s="138"/>
      <c r="CIV29" s="138"/>
      <c r="CIW29" s="138"/>
      <c r="CIX29" s="138"/>
      <c r="CIY29" s="138"/>
      <c r="CIZ29" s="138"/>
      <c r="CJA29" s="138"/>
      <c r="CJB29" s="138"/>
      <c r="CJC29" s="138"/>
      <c r="CJD29" s="138"/>
      <c r="CJE29" s="138"/>
      <c r="CJF29" s="138"/>
      <c r="CJG29" s="138"/>
      <c r="CJH29" s="138"/>
      <c r="CJI29" s="138"/>
      <c r="CJJ29" s="138"/>
      <c r="CJK29" s="138"/>
      <c r="CJL29" s="138"/>
      <c r="CJM29" s="138"/>
      <c r="CJN29" s="138"/>
      <c r="CJO29" s="138"/>
      <c r="CJP29" s="138"/>
      <c r="CJQ29" s="138"/>
      <c r="CJR29" s="138"/>
      <c r="CJS29" s="138"/>
      <c r="CJT29" s="138"/>
      <c r="CJU29" s="138"/>
      <c r="CJV29" s="138"/>
      <c r="CJW29" s="138"/>
      <c r="CJX29" s="138"/>
      <c r="CJY29" s="138"/>
      <c r="CJZ29" s="138"/>
      <c r="CKA29" s="138"/>
      <c r="CKB29" s="138"/>
      <c r="CKC29" s="138"/>
      <c r="CKD29" s="138"/>
      <c r="CKE29" s="138"/>
      <c r="CKF29" s="138"/>
      <c r="CKG29" s="138"/>
      <c r="CKH29" s="138"/>
      <c r="CKI29" s="138"/>
      <c r="CKJ29" s="138"/>
      <c r="CKK29" s="138"/>
      <c r="CKL29" s="138"/>
      <c r="CKM29" s="138"/>
      <c r="CKN29" s="138"/>
      <c r="CKO29" s="138"/>
      <c r="CKP29" s="138"/>
      <c r="CKQ29" s="138"/>
      <c r="CKR29" s="138"/>
      <c r="CKS29" s="138"/>
      <c r="CKT29" s="138"/>
      <c r="CKU29" s="138"/>
      <c r="CKV29" s="138"/>
      <c r="CKW29" s="138"/>
      <c r="CKX29" s="138"/>
      <c r="CKY29" s="138"/>
      <c r="CKZ29" s="138"/>
      <c r="CLA29" s="138"/>
      <c r="CLB29" s="138"/>
      <c r="CLC29" s="138"/>
      <c r="CLD29" s="138"/>
      <c r="CLE29" s="138"/>
      <c r="CLF29" s="138"/>
      <c r="CLG29" s="138"/>
      <c r="CLH29" s="138"/>
      <c r="CLI29" s="138"/>
      <c r="CLJ29" s="138"/>
      <c r="CLK29" s="138"/>
      <c r="CLL29" s="138"/>
      <c r="CLM29" s="138"/>
      <c r="CLN29" s="138"/>
      <c r="CLO29" s="138"/>
      <c r="CLP29" s="138"/>
      <c r="CLQ29" s="138"/>
      <c r="CLR29" s="138"/>
      <c r="CLS29" s="138"/>
      <c r="CLT29" s="138"/>
      <c r="CLU29" s="138"/>
      <c r="CLV29" s="138"/>
      <c r="CLW29" s="138"/>
      <c r="CLX29" s="138"/>
      <c r="CLY29" s="138"/>
      <c r="CLZ29" s="138"/>
      <c r="CMA29" s="138"/>
      <c r="CMB29" s="138"/>
      <c r="CMC29" s="138"/>
      <c r="CMD29" s="138"/>
      <c r="CME29" s="138"/>
      <c r="CMF29" s="138"/>
      <c r="CMG29" s="138"/>
      <c r="CMH29" s="138"/>
      <c r="CMI29" s="138"/>
      <c r="CMJ29" s="138"/>
      <c r="CMK29" s="138"/>
      <c r="CML29" s="138"/>
      <c r="CMM29" s="138"/>
      <c r="CMN29" s="138"/>
      <c r="CMO29" s="138"/>
      <c r="CMP29" s="138"/>
      <c r="CMQ29" s="138"/>
      <c r="CMR29" s="138"/>
      <c r="CMS29" s="138"/>
      <c r="CMT29" s="138"/>
      <c r="CMU29" s="138"/>
      <c r="CMV29" s="138"/>
      <c r="CMW29" s="138"/>
      <c r="CMX29" s="138"/>
      <c r="CMY29" s="138"/>
      <c r="CMZ29" s="138"/>
      <c r="CNA29" s="138"/>
      <c r="CNB29" s="138"/>
      <c r="CNC29" s="138"/>
      <c r="CND29" s="138"/>
      <c r="CNE29" s="138"/>
      <c r="CNF29" s="138"/>
      <c r="CNG29" s="138"/>
      <c r="CNH29" s="138"/>
      <c r="CNI29" s="138"/>
      <c r="CNJ29" s="138"/>
      <c r="CNK29" s="138"/>
      <c r="CNL29" s="138"/>
      <c r="CNM29" s="138"/>
      <c r="CNN29" s="138"/>
      <c r="CNO29" s="138"/>
      <c r="CNP29" s="138"/>
      <c r="CNQ29" s="138"/>
      <c r="CNR29" s="138"/>
      <c r="CNS29" s="138"/>
      <c r="CNT29" s="138"/>
      <c r="CNU29" s="138"/>
      <c r="CNV29" s="138"/>
      <c r="CNW29" s="138"/>
      <c r="CNX29" s="138"/>
      <c r="CNY29" s="138"/>
      <c r="CNZ29" s="138"/>
      <c r="COA29" s="138"/>
      <c r="COB29" s="138"/>
      <c r="COC29" s="138"/>
      <c r="COD29" s="138"/>
      <c r="COE29" s="138"/>
      <c r="COF29" s="138"/>
      <c r="COG29" s="138"/>
      <c r="COH29" s="138"/>
      <c r="COI29" s="138"/>
      <c r="COJ29" s="138"/>
      <c r="COK29" s="138"/>
      <c r="COL29" s="138"/>
      <c r="COM29" s="138"/>
      <c r="CON29" s="138"/>
      <c r="COO29" s="138"/>
      <c r="COP29" s="138"/>
      <c r="COQ29" s="138"/>
      <c r="COR29" s="138"/>
      <c r="COS29" s="138"/>
      <c r="COT29" s="138"/>
      <c r="COU29" s="138"/>
      <c r="COV29" s="138"/>
      <c r="COW29" s="138"/>
      <c r="COX29" s="138"/>
      <c r="COY29" s="138"/>
      <c r="COZ29" s="138"/>
      <c r="CPA29" s="138"/>
      <c r="CPB29" s="138"/>
      <c r="CPC29" s="138"/>
      <c r="CPD29" s="138"/>
      <c r="CPE29" s="138"/>
      <c r="CPF29" s="138"/>
      <c r="CPG29" s="138"/>
      <c r="CPH29" s="138"/>
      <c r="CPI29" s="138"/>
      <c r="CPJ29" s="138"/>
      <c r="CPK29" s="138"/>
      <c r="CPL29" s="138"/>
      <c r="CPM29" s="138"/>
      <c r="CPN29" s="138"/>
      <c r="CPO29" s="138"/>
      <c r="CPP29" s="138"/>
      <c r="CPQ29" s="138"/>
      <c r="CPR29" s="138"/>
      <c r="CPS29" s="138"/>
      <c r="CPT29" s="138"/>
      <c r="CPU29" s="138"/>
      <c r="CPV29" s="138"/>
      <c r="CPW29" s="138"/>
      <c r="CPX29" s="138"/>
      <c r="CPY29" s="138"/>
      <c r="CPZ29" s="138"/>
      <c r="CQA29" s="138"/>
      <c r="CQB29" s="138"/>
      <c r="CQC29" s="138"/>
      <c r="CQD29" s="138"/>
      <c r="CQE29" s="138"/>
      <c r="CQF29" s="138"/>
      <c r="CQG29" s="138"/>
      <c r="CQH29" s="138"/>
      <c r="CQI29" s="138"/>
      <c r="CQJ29" s="138"/>
      <c r="CQK29" s="138"/>
      <c r="CQL29" s="138"/>
      <c r="CQM29" s="138"/>
      <c r="CQN29" s="138"/>
      <c r="CQO29" s="138"/>
      <c r="CQP29" s="138"/>
      <c r="CQQ29" s="138"/>
      <c r="CQR29" s="138"/>
      <c r="CQS29" s="138"/>
      <c r="CQT29" s="138"/>
      <c r="CQU29" s="138"/>
      <c r="CQV29" s="138"/>
      <c r="CQW29" s="138"/>
      <c r="CQX29" s="138"/>
      <c r="CQY29" s="138"/>
      <c r="CQZ29" s="138"/>
      <c r="CRA29" s="138"/>
      <c r="CRB29" s="138"/>
      <c r="CRC29" s="138"/>
      <c r="CRD29" s="138"/>
      <c r="CRE29" s="138"/>
      <c r="CRF29" s="138"/>
      <c r="CRG29" s="138"/>
      <c r="CRH29" s="138"/>
      <c r="CRI29" s="138"/>
      <c r="CRJ29" s="138"/>
      <c r="CRK29" s="138"/>
      <c r="CRL29" s="138"/>
      <c r="CRM29" s="138"/>
      <c r="CRN29" s="138"/>
      <c r="CRO29" s="138"/>
      <c r="CRP29" s="138"/>
      <c r="CRQ29" s="138"/>
      <c r="CRR29" s="138"/>
      <c r="CRS29" s="138"/>
      <c r="CRT29" s="138"/>
      <c r="CRU29" s="138"/>
      <c r="CRV29" s="138"/>
      <c r="CRW29" s="138"/>
      <c r="CRX29" s="138"/>
      <c r="CRY29" s="138"/>
      <c r="CRZ29" s="138"/>
      <c r="CSA29" s="138"/>
      <c r="CSB29" s="138"/>
      <c r="CSC29" s="138"/>
      <c r="CSD29" s="138"/>
      <c r="CSE29" s="138"/>
      <c r="CSF29" s="138"/>
      <c r="CSG29" s="138"/>
      <c r="CSH29" s="138"/>
      <c r="CSI29" s="138"/>
      <c r="CSJ29" s="138"/>
      <c r="CSK29" s="138"/>
      <c r="CSL29" s="138"/>
      <c r="CSM29" s="138"/>
      <c r="CSN29" s="138"/>
      <c r="CSO29" s="138"/>
      <c r="CSP29" s="138"/>
      <c r="CSQ29" s="138"/>
      <c r="CSR29" s="138"/>
      <c r="CSS29" s="138"/>
      <c r="CST29" s="138"/>
      <c r="CSU29" s="138"/>
      <c r="CSV29" s="138"/>
      <c r="CSW29" s="138"/>
      <c r="CSX29" s="138"/>
      <c r="CSY29" s="138"/>
      <c r="CSZ29" s="138"/>
      <c r="CTA29" s="138"/>
      <c r="CTB29" s="138"/>
      <c r="CTC29" s="138"/>
      <c r="CTD29" s="138"/>
      <c r="CTE29" s="138"/>
      <c r="CTF29" s="138"/>
      <c r="CTG29" s="138"/>
      <c r="CTH29" s="138"/>
      <c r="CTI29" s="138"/>
      <c r="CTJ29" s="138"/>
      <c r="CTK29" s="138"/>
      <c r="CTL29" s="138"/>
      <c r="CTM29" s="138"/>
      <c r="CTN29" s="138"/>
      <c r="CTO29" s="138"/>
      <c r="CTP29" s="138"/>
      <c r="CTQ29" s="138"/>
      <c r="CTR29" s="138"/>
      <c r="CTS29" s="138"/>
      <c r="CTT29" s="138"/>
      <c r="CTU29" s="138"/>
      <c r="CTV29" s="138"/>
      <c r="CTW29" s="138"/>
      <c r="CTX29" s="138"/>
      <c r="CTY29" s="138"/>
      <c r="CTZ29" s="138"/>
      <c r="CUA29" s="138"/>
      <c r="CUB29" s="138"/>
      <c r="CUC29" s="138"/>
      <c r="CUD29" s="138"/>
      <c r="CUE29" s="138"/>
      <c r="CUF29" s="138"/>
      <c r="CUG29" s="138"/>
      <c r="CUH29" s="138"/>
      <c r="CUI29" s="138"/>
      <c r="CUJ29" s="138"/>
      <c r="CUK29" s="138"/>
      <c r="CUL29" s="138"/>
      <c r="CUM29" s="138"/>
      <c r="CUN29" s="138"/>
      <c r="CUO29" s="138"/>
      <c r="CUP29" s="138"/>
      <c r="CUQ29" s="138"/>
      <c r="CUR29" s="138"/>
      <c r="CUS29" s="138"/>
      <c r="CUT29" s="138"/>
      <c r="CUU29" s="138"/>
      <c r="CUV29" s="138"/>
      <c r="CUW29" s="138"/>
      <c r="CUX29" s="138"/>
      <c r="CUY29" s="138"/>
      <c r="CUZ29" s="138"/>
      <c r="CVA29" s="138"/>
      <c r="CVB29" s="138"/>
      <c r="CVC29" s="138"/>
      <c r="CVD29" s="138"/>
      <c r="CVE29" s="138"/>
      <c r="CVF29" s="138"/>
      <c r="CVG29" s="138"/>
      <c r="CVH29" s="138"/>
      <c r="CVI29" s="138"/>
      <c r="CVJ29" s="138"/>
      <c r="CVK29" s="138"/>
      <c r="CVL29" s="138"/>
      <c r="CVM29" s="138"/>
      <c r="CVN29" s="138"/>
      <c r="CVO29" s="138"/>
      <c r="CVP29" s="138"/>
      <c r="CVQ29" s="138"/>
      <c r="CVR29" s="138"/>
      <c r="CVS29" s="138"/>
      <c r="CVT29" s="138"/>
      <c r="CVU29" s="138"/>
      <c r="CVV29" s="138"/>
      <c r="CVW29" s="138"/>
      <c r="CVX29" s="138"/>
      <c r="CVY29" s="138"/>
      <c r="CVZ29" s="138"/>
      <c r="CWA29" s="138"/>
      <c r="CWB29" s="138"/>
      <c r="CWC29" s="138"/>
      <c r="CWD29" s="138"/>
      <c r="CWE29" s="138"/>
      <c r="CWF29" s="138"/>
      <c r="CWG29" s="138"/>
      <c r="CWH29" s="138"/>
      <c r="CWI29" s="138"/>
      <c r="CWJ29" s="138"/>
      <c r="CWK29" s="138"/>
      <c r="CWL29" s="138"/>
      <c r="CWM29" s="138"/>
      <c r="CWN29" s="138"/>
      <c r="CWO29" s="138"/>
      <c r="CWP29" s="138"/>
      <c r="CWQ29" s="138"/>
      <c r="CWR29" s="138"/>
      <c r="CWS29" s="138"/>
      <c r="CWT29" s="138"/>
      <c r="CWU29" s="138"/>
      <c r="CWV29" s="138"/>
      <c r="CWW29" s="138"/>
      <c r="CWX29" s="138"/>
      <c r="CWY29" s="138"/>
      <c r="CWZ29" s="138"/>
      <c r="CXA29" s="138"/>
      <c r="CXB29" s="138"/>
      <c r="CXC29" s="138"/>
      <c r="CXD29" s="138"/>
      <c r="CXE29" s="138"/>
      <c r="CXF29" s="138"/>
      <c r="CXG29" s="138"/>
      <c r="CXH29" s="138"/>
      <c r="CXI29" s="138"/>
      <c r="CXJ29" s="138"/>
      <c r="CXK29" s="138"/>
      <c r="CXL29" s="138"/>
      <c r="CXM29" s="138"/>
      <c r="CXN29" s="138"/>
      <c r="CXO29" s="138"/>
      <c r="CXP29" s="138"/>
      <c r="CXQ29" s="138"/>
      <c r="CXR29" s="138"/>
      <c r="CXS29" s="138"/>
      <c r="CXT29" s="138"/>
      <c r="CXU29" s="138"/>
      <c r="CXV29" s="138"/>
      <c r="CXW29" s="138"/>
      <c r="CXX29" s="138"/>
      <c r="CXY29" s="138"/>
      <c r="CXZ29" s="138"/>
      <c r="CYA29" s="138"/>
      <c r="CYB29" s="138"/>
      <c r="CYC29" s="138"/>
      <c r="CYD29" s="138"/>
      <c r="CYE29" s="138"/>
      <c r="CYF29" s="138"/>
      <c r="CYG29" s="138"/>
      <c r="CYH29" s="138"/>
      <c r="CYI29" s="138"/>
      <c r="CYJ29" s="138"/>
      <c r="CYK29" s="138"/>
      <c r="CYL29" s="138"/>
      <c r="CYM29" s="138"/>
      <c r="CYN29" s="138"/>
      <c r="CYO29" s="138"/>
      <c r="CYP29" s="138"/>
      <c r="CYQ29" s="138"/>
      <c r="CYR29" s="138"/>
      <c r="CYS29" s="138"/>
      <c r="CYT29" s="138"/>
      <c r="CYU29" s="138"/>
      <c r="CYV29" s="138"/>
      <c r="CYW29" s="138"/>
      <c r="CYX29" s="138"/>
      <c r="CYY29" s="138"/>
      <c r="CYZ29" s="138"/>
      <c r="CZA29" s="138"/>
      <c r="CZB29" s="138"/>
      <c r="CZC29" s="138"/>
      <c r="CZD29" s="138"/>
      <c r="CZE29" s="138"/>
      <c r="CZF29" s="138"/>
      <c r="CZG29" s="138"/>
      <c r="CZH29" s="138"/>
      <c r="CZI29" s="138"/>
      <c r="CZJ29" s="138"/>
      <c r="CZK29" s="138"/>
      <c r="CZL29" s="138"/>
      <c r="CZM29" s="138"/>
      <c r="CZN29" s="138"/>
      <c r="CZO29" s="138"/>
      <c r="CZP29" s="138"/>
      <c r="CZQ29" s="138"/>
      <c r="CZR29" s="138"/>
      <c r="CZS29" s="138"/>
      <c r="CZT29" s="138"/>
      <c r="CZU29" s="138"/>
      <c r="CZV29" s="138"/>
      <c r="CZW29" s="138"/>
      <c r="CZX29" s="138"/>
      <c r="CZY29" s="138"/>
      <c r="CZZ29" s="138"/>
      <c r="DAA29" s="138"/>
      <c r="DAB29" s="138"/>
      <c r="DAC29" s="138"/>
      <c r="DAD29" s="138"/>
      <c r="DAE29" s="138"/>
      <c r="DAF29" s="138"/>
      <c r="DAG29" s="138"/>
      <c r="DAH29" s="138"/>
      <c r="DAI29" s="138"/>
      <c r="DAJ29" s="138"/>
      <c r="DAK29" s="138"/>
      <c r="DAL29" s="138"/>
      <c r="DAM29" s="138"/>
      <c r="DAN29" s="138"/>
      <c r="DAO29" s="138"/>
      <c r="DAP29" s="138"/>
      <c r="DAQ29" s="138"/>
      <c r="DAR29" s="138"/>
      <c r="DAS29" s="138"/>
      <c r="DAT29" s="138"/>
      <c r="DAU29" s="138"/>
      <c r="DAV29" s="138"/>
      <c r="DAW29" s="138"/>
      <c r="DAX29" s="138"/>
      <c r="DAY29" s="138"/>
      <c r="DAZ29" s="138"/>
      <c r="DBA29" s="138"/>
      <c r="DBB29" s="138"/>
      <c r="DBC29" s="138"/>
      <c r="DBD29" s="138"/>
      <c r="DBE29" s="138"/>
      <c r="DBF29" s="138"/>
      <c r="DBG29" s="138"/>
      <c r="DBH29" s="138"/>
      <c r="DBI29" s="138"/>
      <c r="DBJ29" s="138"/>
      <c r="DBK29" s="138"/>
      <c r="DBL29" s="138"/>
      <c r="DBM29" s="138"/>
      <c r="DBN29" s="138"/>
      <c r="DBO29" s="138"/>
      <c r="DBP29" s="138"/>
      <c r="DBQ29" s="138"/>
      <c r="DBR29" s="138"/>
      <c r="DBS29" s="138"/>
      <c r="DBT29" s="138"/>
      <c r="DBU29" s="138"/>
      <c r="DBV29" s="138"/>
      <c r="DBW29" s="138"/>
      <c r="DBX29" s="138"/>
      <c r="DBY29" s="138"/>
      <c r="DBZ29" s="138"/>
      <c r="DCA29" s="138"/>
      <c r="DCB29" s="138"/>
      <c r="DCC29" s="138"/>
      <c r="DCD29" s="138"/>
      <c r="DCE29" s="138"/>
      <c r="DCF29" s="138"/>
      <c r="DCG29" s="138"/>
      <c r="DCH29" s="138"/>
      <c r="DCI29" s="138"/>
      <c r="DCJ29" s="138"/>
      <c r="DCK29" s="138"/>
      <c r="DCL29" s="138"/>
      <c r="DCM29" s="138"/>
      <c r="DCN29" s="138"/>
      <c r="DCO29" s="138"/>
      <c r="DCP29" s="138"/>
      <c r="DCQ29" s="138"/>
      <c r="DCR29" s="138"/>
      <c r="DCS29" s="138"/>
      <c r="DCT29" s="138"/>
      <c r="DCU29" s="138"/>
      <c r="DCV29" s="138"/>
      <c r="DCW29" s="138"/>
      <c r="DCX29" s="138"/>
      <c r="DCY29" s="138"/>
      <c r="DCZ29" s="138"/>
      <c r="DDA29" s="138"/>
      <c r="DDB29" s="138"/>
      <c r="DDC29" s="138"/>
      <c r="DDD29" s="138"/>
      <c r="DDE29" s="138"/>
      <c r="DDF29" s="138"/>
      <c r="DDG29" s="138"/>
      <c r="DDH29" s="138"/>
      <c r="DDI29" s="138"/>
      <c r="DDJ29" s="138"/>
      <c r="DDK29" s="138"/>
      <c r="DDL29" s="138"/>
      <c r="DDM29" s="138"/>
      <c r="DDN29" s="138"/>
      <c r="DDO29" s="138"/>
      <c r="DDP29" s="138"/>
      <c r="DDQ29" s="138"/>
      <c r="DDR29" s="138"/>
      <c r="DDS29" s="138"/>
      <c r="DDT29" s="138"/>
      <c r="DDU29" s="138"/>
      <c r="DDV29" s="138"/>
      <c r="DDW29" s="138"/>
      <c r="DDX29" s="138"/>
      <c r="DDY29" s="138"/>
      <c r="DDZ29" s="138"/>
      <c r="DEA29" s="138"/>
      <c r="DEB29" s="138"/>
      <c r="DEC29" s="138"/>
      <c r="DED29" s="138"/>
      <c r="DEE29" s="138"/>
      <c r="DEF29" s="138"/>
      <c r="DEG29" s="138"/>
      <c r="DEH29" s="138"/>
      <c r="DEI29" s="138"/>
      <c r="DEJ29" s="138"/>
      <c r="DEK29" s="138"/>
      <c r="DEL29" s="138"/>
      <c r="DEM29" s="138"/>
      <c r="DEN29" s="138"/>
      <c r="DEO29" s="138"/>
      <c r="DEP29" s="138"/>
      <c r="DEQ29" s="138"/>
      <c r="DER29" s="138"/>
      <c r="DES29" s="138"/>
      <c r="DET29" s="138"/>
      <c r="DEU29" s="138"/>
      <c r="DEV29" s="138"/>
      <c r="DEW29" s="138"/>
      <c r="DEX29" s="138"/>
      <c r="DEY29" s="138"/>
      <c r="DEZ29" s="138"/>
      <c r="DFA29" s="138"/>
      <c r="DFB29" s="138"/>
      <c r="DFC29" s="138"/>
      <c r="DFD29" s="138"/>
      <c r="DFE29" s="138"/>
      <c r="DFF29" s="138"/>
      <c r="DFG29" s="138"/>
      <c r="DFH29" s="138"/>
      <c r="DFI29" s="138"/>
      <c r="DFJ29" s="138"/>
      <c r="DFK29" s="138"/>
      <c r="DFL29" s="138"/>
      <c r="DFM29" s="138"/>
      <c r="DFN29" s="138"/>
      <c r="DFO29" s="138"/>
      <c r="DFP29" s="138"/>
      <c r="DFQ29" s="138"/>
      <c r="DFR29" s="138"/>
      <c r="DFS29" s="138"/>
      <c r="DFT29" s="138"/>
      <c r="DFU29" s="138"/>
      <c r="DFV29" s="138"/>
      <c r="DFW29" s="138"/>
      <c r="DFX29" s="138"/>
      <c r="DFY29" s="138"/>
      <c r="DFZ29" s="138"/>
      <c r="DGA29" s="138"/>
      <c r="DGB29" s="138"/>
      <c r="DGC29" s="138"/>
      <c r="DGD29" s="138"/>
      <c r="DGE29" s="138"/>
      <c r="DGF29" s="138"/>
      <c r="DGG29" s="138"/>
      <c r="DGH29" s="138"/>
      <c r="DGI29" s="138"/>
      <c r="DGJ29" s="138"/>
      <c r="DGK29" s="138"/>
      <c r="DGL29" s="138"/>
      <c r="DGM29" s="138"/>
      <c r="DGN29" s="138"/>
      <c r="DGO29" s="138"/>
      <c r="DGP29" s="138"/>
      <c r="DGQ29" s="138"/>
      <c r="DGR29" s="138"/>
      <c r="DGS29" s="138"/>
      <c r="DGT29" s="138"/>
      <c r="DGU29" s="138"/>
      <c r="DGV29" s="138"/>
      <c r="DGW29" s="138"/>
      <c r="DGX29" s="138"/>
      <c r="DGY29" s="138"/>
      <c r="DGZ29" s="138"/>
      <c r="DHA29" s="138"/>
      <c r="DHB29" s="138"/>
      <c r="DHC29" s="138"/>
      <c r="DHD29" s="138"/>
      <c r="DHE29" s="138"/>
      <c r="DHF29" s="138"/>
      <c r="DHG29" s="138"/>
      <c r="DHH29" s="138"/>
      <c r="DHI29" s="138"/>
      <c r="DHJ29" s="138"/>
      <c r="DHK29" s="138"/>
      <c r="DHL29" s="138"/>
      <c r="DHM29" s="138"/>
      <c r="DHN29" s="138"/>
      <c r="DHO29" s="138"/>
      <c r="DHP29" s="138"/>
      <c r="DHQ29" s="138"/>
      <c r="DHR29" s="138"/>
      <c r="DHS29" s="138"/>
      <c r="DHT29" s="138"/>
      <c r="DHU29" s="138"/>
      <c r="DHV29" s="138"/>
      <c r="DHW29" s="138"/>
      <c r="DHX29" s="138"/>
      <c r="DHY29" s="138"/>
      <c r="DHZ29" s="138"/>
      <c r="DIA29" s="138"/>
      <c r="DIB29" s="138"/>
      <c r="DIC29" s="138"/>
      <c r="DID29" s="138"/>
      <c r="DIE29" s="138"/>
      <c r="DIF29" s="138"/>
      <c r="DIG29" s="138"/>
      <c r="DIH29" s="138"/>
      <c r="DII29" s="138"/>
      <c r="DIJ29" s="138"/>
      <c r="DIK29" s="138"/>
      <c r="DIL29" s="138"/>
      <c r="DIM29" s="138"/>
      <c r="DIN29" s="138"/>
      <c r="DIO29" s="138"/>
      <c r="DIP29" s="138"/>
      <c r="DIQ29" s="138"/>
      <c r="DIR29" s="138"/>
      <c r="DIS29" s="138"/>
      <c r="DIT29" s="138"/>
      <c r="DIU29" s="138"/>
      <c r="DIV29" s="138"/>
      <c r="DIW29" s="138"/>
      <c r="DIX29" s="138"/>
      <c r="DIY29" s="138"/>
      <c r="DIZ29" s="138"/>
      <c r="DJA29" s="138"/>
      <c r="DJB29" s="138"/>
      <c r="DJC29" s="138"/>
      <c r="DJD29" s="138"/>
      <c r="DJE29" s="138"/>
      <c r="DJF29" s="138"/>
      <c r="DJG29" s="138"/>
      <c r="DJH29" s="138"/>
      <c r="DJI29" s="138"/>
      <c r="DJJ29" s="138"/>
      <c r="DJK29" s="138"/>
      <c r="DJL29" s="138"/>
      <c r="DJM29" s="138"/>
      <c r="DJN29" s="138"/>
      <c r="DJO29" s="138"/>
      <c r="DJP29" s="138"/>
      <c r="DJQ29" s="138"/>
      <c r="DJR29" s="138"/>
      <c r="DJS29" s="138"/>
      <c r="DJT29" s="138"/>
      <c r="DJU29" s="138"/>
      <c r="DJV29" s="138"/>
      <c r="DJW29" s="138"/>
      <c r="DJX29" s="138"/>
      <c r="DJY29" s="138"/>
      <c r="DJZ29" s="138"/>
      <c r="DKA29" s="138"/>
      <c r="DKB29" s="138"/>
      <c r="DKC29" s="138"/>
      <c r="DKD29" s="138"/>
      <c r="DKE29" s="138"/>
      <c r="DKF29" s="138"/>
      <c r="DKG29" s="138"/>
      <c r="DKH29" s="138"/>
      <c r="DKI29" s="138"/>
      <c r="DKJ29" s="138"/>
      <c r="DKK29" s="138"/>
      <c r="DKL29" s="138"/>
      <c r="DKM29" s="138"/>
      <c r="DKN29" s="138"/>
      <c r="DKO29" s="138"/>
      <c r="DKP29" s="138"/>
      <c r="DKQ29" s="138"/>
      <c r="DKR29" s="138"/>
      <c r="DKS29" s="138"/>
      <c r="DKT29" s="138"/>
      <c r="DKU29" s="138"/>
      <c r="DKV29" s="138"/>
      <c r="DKW29" s="138"/>
      <c r="DKX29" s="138"/>
      <c r="DKY29" s="138"/>
      <c r="DKZ29" s="138"/>
      <c r="DLA29" s="138"/>
      <c r="DLB29" s="138"/>
      <c r="DLC29" s="138"/>
      <c r="DLD29" s="138"/>
      <c r="DLE29" s="138"/>
      <c r="DLF29" s="138"/>
      <c r="DLG29" s="138"/>
      <c r="DLH29" s="138"/>
      <c r="DLI29" s="138"/>
      <c r="DLJ29" s="138"/>
      <c r="DLK29" s="138"/>
      <c r="DLL29" s="138"/>
      <c r="DLM29" s="138"/>
      <c r="DLN29" s="138"/>
      <c r="DLO29" s="138"/>
      <c r="DLP29" s="138"/>
      <c r="DLQ29" s="138"/>
      <c r="DLR29" s="138"/>
      <c r="DLS29" s="138"/>
      <c r="DLT29" s="138"/>
      <c r="DLU29" s="138"/>
      <c r="DLV29" s="138"/>
      <c r="DLW29" s="138"/>
      <c r="DLX29" s="138"/>
      <c r="DLY29" s="138"/>
      <c r="DLZ29" s="138"/>
      <c r="DMA29" s="138"/>
      <c r="DMB29" s="138"/>
      <c r="DMC29" s="138"/>
      <c r="DMD29" s="138"/>
      <c r="DME29" s="138"/>
      <c r="DMF29" s="138"/>
      <c r="DMG29" s="138"/>
      <c r="DMH29" s="138"/>
      <c r="DMI29" s="138"/>
      <c r="DMJ29" s="138"/>
      <c r="DMK29" s="138"/>
      <c r="DML29" s="138"/>
      <c r="DMM29" s="138"/>
      <c r="DMN29" s="138"/>
      <c r="DMO29" s="138"/>
      <c r="DMP29" s="138"/>
      <c r="DMQ29" s="138"/>
      <c r="DMR29" s="138"/>
      <c r="DMS29" s="138"/>
      <c r="DMT29" s="138"/>
      <c r="DMU29" s="138"/>
      <c r="DMV29" s="138"/>
      <c r="DMW29" s="138"/>
      <c r="DMX29" s="138"/>
      <c r="DMY29" s="138"/>
      <c r="DMZ29" s="138"/>
      <c r="DNA29" s="138"/>
      <c r="DNB29" s="138"/>
      <c r="DNC29" s="138"/>
      <c r="DND29" s="138"/>
      <c r="DNE29" s="138"/>
      <c r="DNF29" s="138"/>
      <c r="DNG29" s="138"/>
      <c r="DNH29" s="138"/>
      <c r="DNI29" s="138"/>
      <c r="DNJ29" s="138"/>
      <c r="DNK29" s="138"/>
      <c r="DNL29" s="138"/>
      <c r="DNM29" s="138"/>
      <c r="DNN29" s="138"/>
      <c r="DNO29" s="138"/>
      <c r="DNP29" s="138"/>
      <c r="DNQ29" s="138"/>
      <c r="DNR29" s="138"/>
      <c r="DNS29" s="138"/>
      <c r="DNT29" s="138"/>
      <c r="DNU29" s="138"/>
      <c r="DNV29" s="138"/>
      <c r="DNW29" s="138"/>
      <c r="DNX29" s="138"/>
      <c r="DNY29" s="138"/>
      <c r="DNZ29" s="138"/>
      <c r="DOA29" s="138"/>
      <c r="DOB29" s="138"/>
      <c r="DOC29" s="138"/>
      <c r="DOD29" s="138"/>
      <c r="DOE29" s="138"/>
      <c r="DOF29" s="138"/>
      <c r="DOG29" s="138"/>
      <c r="DOH29" s="138"/>
      <c r="DOI29" s="138"/>
      <c r="DOJ29" s="138"/>
      <c r="DOK29" s="138"/>
      <c r="DOL29" s="138"/>
      <c r="DOM29" s="138"/>
      <c r="DON29" s="138"/>
      <c r="DOO29" s="138"/>
      <c r="DOP29" s="138"/>
      <c r="DOQ29" s="138"/>
      <c r="DOR29" s="138"/>
      <c r="DOS29" s="138"/>
      <c r="DOT29" s="138"/>
      <c r="DOU29" s="138"/>
      <c r="DOV29" s="138"/>
      <c r="DOW29" s="138"/>
      <c r="DOX29" s="138"/>
      <c r="DOY29" s="138"/>
      <c r="DOZ29" s="138"/>
      <c r="DPA29" s="138"/>
      <c r="DPB29" s="138"/>
      <c r="DPC29" s="138"/>
      <c r="DPD29" s="138"/>
      <c r="DPE29" s="138"/>
      <c r="DPF29" s="138"/>
      <c r="DPG29" s="138"/>
      <c r="DPH29" s="138"/>
      <c r="DPI29" s="138"/>
      <c r="DPJ29" s="138"/>
      <c r="DPK29" s="138"/>
      <c r="DPL29" s="138"/>
      <c r="DPM29" s="138"/>
      <c r="DPN29" s="138"/>
      <c r="DPO29" s="138"/>
      <c r="DPP29" s="138"/>
      <c r="DPQ29" s="138"/>
      <c r="DPR29" s="138"/>
      <c r="DPS29" s="138"/>
      <c r="DPT29" s="138"/>
      <c r="DPU29" s="138"/>
      <c r="DPV29" s="138"/>
      <c r="DPW29" s="138"/>
      <c r="DPX29" s="138"/>
      <c r="DPY29" s="138"/>
      <c r="DPZ29" s="138"/>
      <c r="DQA29" s="138"/>
      <c r="DQB29" s="138"/>
      <c r="DQC29" s="138"/>
      <c r="DQD29" s="138"/>
      <c r="DQE29" s="138"/>
      <c r="DQF29" s="138"/>
      <c r="DQG29" s="138"/>
      <c r="DQH29" s="138"/>
      <c r="DQI29" s="138"/>
      <c r="DQJ29" s="138"/>
      <c r="DQK29" s="138"/>
      <c r="DQL29" s="138"/>
      <c r="DQM29" s="138"/>
      <c r="DQN29" s="138"/>
      <c r="DQO29" s="138"/>
      <c r="DQP29" s="138"/>
      <c r="DQQ29" s="138"/>
      <c r="DQR29" s="138"/>
      <c r="DQS29" s="138"/>
      <c r="DQT29" s="138"/>
      <c r="DQU29" s="138"/>
      <c r="DQV29" s="138"/>
      <c r="DQW29" s="138"/>
      <c r="DQX29" s="138"/>
      <c r="DQY29" s="138"/>
      <c r="DQZ29" s="138"/>
      <c r="DRA29" s="138"/>
      <c r="DRB29" s="138"/>
      <c r="DRC29" s="138"/>
      <c r="DRD29" s="138"/>
      <c r="DRE29" s="138"/>
      <c r="DRF29" s="138"/>
      <c r="DRG29" s="138"/>
      <c r="DRH29" s="138"/>
      <c r="DRI29" s="138"/>
      <c r="DRJ29" s="138"/>
      <c r="DRK29" s="138"/>
      <c r="DRL29" s="138"/>
      <c r="DRM29" s="138"/>
      <c r="DRN29" s="138"/>
      <c r="DRO29" s="138"/>
      <c r="DRP29" s="138"/>
      <c r="DRQ29" s="138"/>
      <c r="DRR29" s="138"/>
      <c r="DRS29" s="138"/>
      <c r="DRT29" s="138"/>
      <c r="DRU29" s="138"/>
      <c r="DRV29" s="138"/>
      <c r="DRW29" s="138"/>
      <c r="DRX29" s="138"/>
      <c r="DRY29" s="138"/>
      <c r="DRZ29" s="138"/>
      <c r="DSA29" s="138"/>
      <c r="DSB29" s="138"/>
      <c r="DSC29" s="138"/>
      <c r="DSD29" s="138"/>
      <c r="DSE29" s="138"/>
      <c r="DSF29" s="138"/>
      <c r="DSG29" s="138"/>
      <c r="DSH29" s="138"/>
      <c r="DSI29" s="138"/>
      <c r="DSJ29" s="138"/>
      <c r="DSK29" s="138"/>
      <c r="DSL29" s="138"/>
      <c r="DSM29" s="138"/>
      <c r="DSN29" s="138"/>
      <c r="DSO29" s="138"/>
      <c r="DSP29" s="138"/>
      <c r="DSQ29" s="138"/>
      <c r="DSR29" s="138"/>
      <c r="DSS29" s="138"/>
      <c r="DST29" s="138"/>
      <c r="DSU29" s="138"/>
      <c r="DSV29" s="138"/>
      <c r="DSW29" s="138"/>
      <c r="DSX29" s="138"/>
      <c r="DSY29" s="138"/>
      <c r="DSZ29" s="138"/>
      <c r="DTA29" s="138"/>
      <c r="DTB29" s="138"/>
      <c r="DTC29" s="138"/>
      <c r="DTD29" s="138"/>
      <c r="DTE29" s="138"/>
      <c r="DTF29" s="138"/>
      <c r="DTG29" s="138"/>
      <c r="DTH29" s="138"/>
      <c r="DTI29" s="138"/>
      <c r="DTJ29" s="138"/>
      <c r="DTK29" s="138"/>
      <c r="DTL29" s="138"/>
      <c r="DTM29" s="138"/>
      <c r="DTN29" s="138"/>
      <c r="DTO29" s="138"/>
      <c r="DTP29" s="138"/>
      <c r="DTQ29" s="138"/>
      <c r="DTR29" s="138"/>
      <c r="DTS29" s="138"/>
      <c r="DTT29" s="138"/>
      <c r="DTU29" s="138"/>
      <c r="DTV29" s="138"/>
      <c r="DTW29" s="138"/>
      <c r="DTX29" s="138"/>
      <c r="DTY29" s="138"/>
      <c r="DTZ29" s="138"/>
      <c r="DUA29" s="138"/>
      <c r="DUB29" s="138"/>
      <c r="DUC29" s="138"/>
      <c r="DUD29" s="138"/>
      <c r="DUE29" s="138"/>
      <c r="DUF29" s="138"/>
      <c r="DUG29" s="138"/>
      <c r="DUH29" s="138"/>
      <c r="DUI29" s="138"/>
      <c r="DUJ29" s="138"/>
      <c r="DUK29" s="138"/>
      <c r="DUL29" s="138"/>
      <c r="DUM29" s="138"/>
      <c r="DUN29" s="138"/>
      <c r="DUO29" s="138"/>
      <c r="DUP29" s="138"/>
      <c r="DUQ29" s="138"/>
      <c r="DUR29" s="138"/>
      <c r="DUS29" s="138"/>
      <c r="DUT29" s="138"/>
      <c r="DUU29" s="138"/>
      <c r="DUV29" s="138"/>
      <c r="DUW29" s="138"/>
      <c r="DUX29" s="138"/>
      <c r="DUY29" s="138"/>
      <c r="DUZ29" s="138"/>
      <c r="DVA29" s="138"/>
      <c r="DVB29" s="138"/>
      <c r="DVC29" s="138"/>
      <c r="DVD29" s="138"/>
      <c r="DVE29" s="138"/>
      <c r="DVF29" s="138"/>
      <c r="DVG29" s="138"/>
      <c r="DVH29" s="138"/>
      <c r="DVI29" s="138"/>
      <c r="DVJ29" s="138"/>
      <c r="DVK29" s="138"/>
      <c r="DVL29" s="138"/>
      <c r="DVM29" s="138"/>
      <c r="DVN29" s="138"/>
      <c r="DVO29" s="138"/>
      <c r="DVP29" s="138"/>
      <c r="DVQ29" s="138"/>
      <c r="DVR29" s="138"/>
      <c r="DVS29" s="138"/>
      <c r="DVT29" s="138"/>
      <c r="DVU29" s="138"/>
      <c r="DVV29" s="138"/>
      <c r="DVW29" s="138"/>
      <c r="DVX29" s="138"/>
      <c r="DVY29" s="138"/>
      <c r="DVZ29" s="138"/>
      <c r="DWA29" s="138"/>
      <c r="DWB29" s="138"/>
      <c r="DWC29" s="138"/>
      <c r="DWD29" s="138"/>
      <c r="DWE29" s="138"/>
      <c r="DWF29" s="138"/>
      <c r="DWG29" s="138"/>
      <c r="DWH29" s="138"/>
      <c r="DWI29" s="138"/>
      <c r="DWJ29" s="138"/>
      <c r="DWK29" s="138"/>
      <c r="DWL29" s="138"/>
      <c r="DWM29" s="138"/>
      <c r="DWN29" s="138"/>
      <c r="DWO29" s="138"/>
      <c r="DWP29" s="138"/>
      <c r="DWQ29" s="138"/>
      <c r="DWR29" s="138"/>
      <c r="DWS29" s="138"/>
      <c r="DWT29" s="138"/>
      <c r="DWU29" s="138"/>
      <c r="DWV29" s="138"/>
      <c r="DWW29" s="138"/>
      <c r="DWX29" s="138"/>
      <c r="DWY29" s="138"/>
      <c r="DWZ29" s="138"/>
      <c r="DXA29" s="138"/>
      <c r="DXB29" s="138"/>
      <c r="DXC29" s="138"/>
      <c r="DXD29" s="138"/>
      <c r="DXE29" s="138"/>
      <c r="DXF29" s="138"/>
      <c r="DXG29" s="138"/>
      <c r="DXH29" s="138"/>
      <c r="DXI29" s="138"/>
      <c r="DXJ29" s="138"/>
      <c r="DXK29" s="138"/>
      <c r="DXL29" s="138"/>
      <c r="DXM29" s="138"/>
      <c r="DXN29" s="138"/>
      <c r="DXO29" s="138"/>
      <c r="DXP29" s="138"/>
      <c r="DXQ29" s="138"/>
      <c r="DXR29" s="138"/>
      <c r="DXS29" s="138"/>
      <c r="DXT29" s="138"/>
      <c r="DXU29" s="138"/>
      <c r="DXV29" s="138"/>
      <c r="DXW29" s="138"/>
      <c r="DXX29" s="138"/>
      <c r="DXY29" s="138"/>
      <c r="DXZ29" s="138"/>
      <c r="DYA29" s="138"/>
      <c r="DYB29" s="138"/>
      <c r="DYC29" s="138"/>
      <c r="DYD29" s="138"/>
      <c r="DYE29" s="138"/>
      <c r="DYF29" s="138"/>
      <c r="DYG29" s="138"/>
      <c r="DYH29" s="138"/>
      <c r="DYI29" s="138"/>
      <c r="DYJ29" s="138"/>
      <c r="DYK29" s="138"/>
      <c r="DYL29" s="138"/>
      <c r="DYM29" s="138"/>
      <c r="DYN29" s="138"/>
      <c r="DYO29" s="138"/>
      <c r="DYP29" s="138"/>
      <c r="DYQ29" s="138"/>
      <c r="DYR29" s="138"/>
      <c r="DYS29" s="138"/>
      <c r="DYT29" s="138"/>
      <c r="DYU29" s="138"/>
      <c r="DYV29" s="138"/>
      <c r="DYW29" s="138"/>
      <c r="DYX29" s="138"/>
      <c r="DYY29" s="138"/>
      <c r="DYZ29" s="138"/>
      <c r="DZA29" s="138"/>
      <c r="DZB29" s="138"/>
      <c r="DZC29" s="138"/>
      <c r="DZD29" s="138"/>
      <c r="DZE29" s="138"/>
      <c r="DZF29" s="138"/>
      <c r="DZG29" s="138"/>
      <c r="DZH29" s="138"/>
      <c r="DZI29" s="138"/>
      <c r="DZJ29" s="138"/>
      <c r="DZK29" s="138"/>
      <c r="DZL29" s="138"/>
      <c r="DZM29" s="138"/>
      <c r="DZN29" s="138"/>
      <c r="DZO29" s="138"/>
      <c r="DZP29" s="138"/>
      <c r="DZQ29" s="138"/>
      <c r="DZR29" s="138"/>
      <c r="DZS29" s="138"/>
      <c r="DZT29" s="138"/>
      <c r="DZU29" s="138"/>
      <c r="DZV29" s="138"/>
      <c r="DZW29" s="138"/>
      <c r="DZX29" s="138"/>
      <c r="DZY29" s="138"/>
      <c r="DZZ29" s="138"/>
      <c r="EAA29" s="138"/>
      <c r="EAB29" s="138"/>
      <c r="EAC29" s="138"/>
      <c r="EAD29" s="138"/>
      <c r="EAE29" s="138"/>
      <c r="EAF29" s="138"/>
      <c r="EAG29" s="138"/>
      <c r="EAH29" s="138"/>
      <c r="EAI29" s="138"/>
      <c r="EAJ29" s="138"/>
      <c r="EAK29" s="138"/>
      <c r="EAL29" s="138"/>
      <c r="EAM29" s="138"/>
      <c r="EAN29" s="138"/>
      <c r="EAO29" s="138"/>
      <c r="EAP29" s="138"/>
      <c r="EAQ29" s="138"/>
      <c r="EAR29" s="138"/>
      <c r="EAS29" s="138"/>
      <c r="EAT29" s="138"/>
      <c r="EAU29" s="138"/>
      <c r="EAV29" s="138"/>
      <c r="EAW29" s="138"/>
      <c r="EAX29" s="138"/>
      <c r="EAY29" s="138"/>
      <c r="EAZ29" s="138"/>
      <c r="EBA29" s="138"/>
      <c r="EBB29" s="138"/>
      <c r="EBC29" s="138"/>
      <c r="EBD29" s="138"/>
      <c r="EBE29" s="138"/>
      <c r="EBF29" s="138"/>
      <c r="EBG29" s="138"/>
      <c r="EBH29" s="138"/>
      <c r="EBI29" s="138"/>
      <c r="EBJ29" s="138"/>
      <c r="EBK29" s="138"/>
      <c r="EBL29" s="138"/>
      <c r="EBM29" s="138"/>
      <c r="EBN29" s="138"/>
      <c r="EBO29" s="138"/>
      <c r="EBP29" s="138"/>
      <c r="EBQ29" s="138"/>
      <c r="EBR29" s="138"/>
      <c r="EBS29" s="138"/>
      <c r="EBT29" s="138"/>
      <c r="EBU29" s="138"/>
      <c r="EBV29" s="138"/>
      <c r="EBW29" s="138"/>
      <c r="EBX29" s="138"/>
      <c r="EBY29" s="138"/>
      <c r="EBZ29" s="138"/>
      <c r="ECA29" s="138"/>
      <c r="ECB29" s="138"/>
      <c r="ECC29" s="138"/>
      <c r="ECD29" s="138"/>
      <c r="ECE29" s="138"/>
      <c r="ECF29" s="138"/>
      <c r="ECG29" s="138"/>
      <c r="ECH29" s="138"/>
      <c r="ECI29" s="138"/>
      <c r="ECJ29" s="138"/>
      <c r="ECK29" s="138"/>
      <c r="ECL29" s="138"/>
      <c r="ECM29" s="138"/>
      <c r="ECN29" s="138"/>
      <c r="ECO29" s="138"/>
      <c r="ECP29" s="138"/>
      <c r="ECQ29" s="138"/>
      <c r="ECR29" s="138"/>
      <c r="ECS29" s="138"/>
      <c r="ECT29" s="138"/>
      <c r="ECU29" s="138"/>
      <c r="ECV29" s="138"/>
      <c r="ECW29" s="138"/>
      <c r="ECX29" s="138"/>
      <c r="ECY29" s="138"/>
      <c r="ECZ29" s="138"/>
      <c r="EDA29" s="138"/>
      <c r="EDB29" s="138"/>
      <c r="EDC29" s="138"/>
      <c r="EDD29" s="138"/>
      <c r="EDE29" s="138"/>
      <c r="EDF29" s="138"/>
      <c r="EDG29" s="138"/>
      <c r="EDH29" s="138"/>
      <c r="EDI29" s="138"/>
      <c r="EDJ29" s="138"/>
      <c r="EDK29" s="138"/>
      <c r="EDL29" s="138"/>
      <c r="EDM29" s="138"/>
      <c r="EDN29" s="138"/>
      <c r="EDO29" s="138"/>
      <c r="EDP29" s="138"/>
      <c r="EDQ29" s="138"/>
      <c r="EDR29" s="138"/>
      <c r="EDS29" s="138"/>
      <c r="EDT29" s="138"/>
      <c r="EDU29" s="138"/>
      <c r="EDV29" s="138"/>
      <c r="EDW29" s="138"/>
      <c r="EDX29" s="138"/>
      <c r="EDY29" s="138"/>
      <c r="EDZ29" s="138"/>
      <c r="EEA29" s="138"/>
      <c r="EEB29" s="138"/>
      <c r="EEC29" s="138"/>
      <c r="EED29" s="138"/>
      <c r="EEE29" s="138"/>
      <c r="EEF29" s="138"/>
      <c r="EEG29" s="138"/>
      <c r="EEH29" s="138"/>
      <c r="EEI29" s="138"/>
      <c r="EEJ29" s="138"/>
      <c r="EEK29" s="138"/>
      <c r="EEL29" s="138"/>
      <c r="EEM29" s="138"/>
      <c r="EEN29" s="138"/>
      <c r="EEO29" s="138"/>
      <c r="EEP29" s="138"/>
      <c r="EEQ29" s="138"/>
      <c r="EER29" s="138"/>
      <c r="EES29" s="138"/>
      <c r="EET29" s="138"/>
      <c r="EEU29" s="138"/>
      <c r="EEV29" s="138"/>
      <c r="EEW29" s="138"/>
      <c r="EEX29" s="138"/>
      <c r="EEY29" s="138"/>
      <c r="EEZ29" s="138"/>
      <c r="EFA29" s="138"/>
      <c r="EFB29" s="138"/>
      <c r="EFC29" s="138"/>
      <c r="EFD29" s="138"/>
      <c r="EFE29" s="138"/>
      <c r="EFF29" s="138"/>
      <c r="EFG29" s="138"/>
      <c r="EFH29" s="138"/>
      <c r="EFI29" s="138"/>
      <c r="EFJ29" s="138"/>
      <c r="EFK29" s="138"/>
      <c r="EFL29" s="138"/>
      <c r="EFM29" s="138"/>
      <c r="EFN29" s="138"/>
      <c r="EFO29" s="138"/>
      <c r="EFP29" s="138"/>
      <c r="EFQ29" s="138"/>
      <c r="EFR29" s="138"/>
      <c r="EFS29" s="138"/>
      <c r="EFT29" s="138"/>
      <c r="EFU29" s="138"/>
      <c r="EFV29" s="138"/>
      <c r="EFW29" s="138"/>
      <c r="EFX29" s="138"/>
      <c r="EFY29" s="138"/>
      <c r="EFZ29" s="138"/>
      <c r="EGA29" s="138"/>
      <c r="EGB29" s="138"/>
      <c r="EGC29" s="138"/>
      <c r="EGD29" s="138"/>
      <c r="EGE29" s="138"/>
      <c r="EGF29" s="138"/>
      <c r="EGG29" s="138"/>
      <c r="EGH29" s="138"/>
      <c r="EGI29" s="138"/>
      <c r="EGJ29" s="138"/>
      <c r="EGK29" s="138"/>
      <c r="EGL29" s="138"/>
      <c r="EGM29" s="138"/>
      <c r="EGN29" s="138"/>
      <c r="EGO29" s="138"/>
      <c r="EGP29" s="138"/>
      <c r="EGQ29" s="138"/>
      <c r="EGR29" s="138"/>
      <c r="EGS29" s="138"/>
      <c r="EGT29" s="138"/>
      <c r="EGU29" s="138"/>
      <c r="EGV29" s="138"/>
      <c r="EGW29" s="138"/>
      <c r="EGX29" s="138"/>
      <c r="EGY29" s="138"/>
      <c r="EGZ29" s="138"/>
      <c r="EHA29" s="138"/>
      <c r="EHB29" s="138"/>
      <c r="EHC29" s="138"/>
      <c r="EHD29" s="138"/>
      <c r="EHE29" s="138"/>
      <c r="EHF29" s="138"/>
      <c r="EHG29" s="138"/>
      <c r="EHH29" s="138"/>
      <c r="EHI29" s="138"/>
      <c r="EHJ29" s="138"/>
      <c r="EHK29" s="138"/>
      <c r="EHL29" s="138"/>
      <c r="EHM29" s="138"/>
      <c r="EHN29" s="138"/>
      <c r="EHO29" s="138"/>
      <c r="EHP29" s="138"/>
      <c r="EHQ29" s="138"/>
      <c r="EHR29" s="138"/>
      <c r="EHS29" s="138"/>
      <c r="EHT29" s="138"/>
      <c r="EHU29" s="138"/>
      <c r="EHV29" s="138"/>
      <c r="EHW29" s="138"/>
      <c r="EHX29" s="138"/>
      <c r="EHY29" s="138"/>
      <c r="EHZ29" s="138"/>
      <c r="EIA29" s="138"/>
      <c r="EIB29" s="138"/>
      <c r="EIC29" s="138"/>
      <c r="EID29" s="138"/>
      <c r="EIE29" s="138"/>
      <c r="EIF29" s="138"/>
      <c r="EIG29" s="138"/>
      <c r="EIH29" s="138"/>
      <c r="EII29" s="138"/>
      <c r="EIJ29" s="138"/>
      <c r="EIK29" s="138"/>
      <c r="EIL29" s="138"/>
      <c r="EIM29" s="138"/>
      <c r="EIN29" s="138"/>
      <c r="EIO29" s="138"/>
      <c r="EIP29" s="138"/>
      <c r="EIQ29" s="138"/>
      <c r="EIR29" s="138"/>
      <c r="EIS29" s="138"/>
      <c r="EIT29" s="138"/>
      <c r="EIU29" s="138"/>
      <c r="EIV29" s="138"/>
      <c r="EIW29" s="138"/>
      <c r="EIX29" s="138"/>
      <c r="EIY29" s="138"/>
      <c r="EIZ29" s="138"/>
      <c r="EJA29" s="138"/>
      <c r="EJB29" s="138"/>
      <c r="EJC29" s="138"/>
      <c r="EJD29" s="138"/>
      <c r="EJE29" s="138"/>
      <c r="EJF29" s="138"/>
      <c r="EJG29" s="138"/>
      <c r="EJH29" s="138"/>
      <c r="EJI29" s="138"/>
      <c r="EJJ29" s="138"/>
      <c r="EJK29" s="138"/>
      <c r="EJL29" s="138"/>
      <c r="EJM29" s="138"/>
      <c r="EJN29" s="138"/>
      <c r="EJO29" s="138"/>
      <c r="EJP29" s="138"/>
      <c r="EJQ29" s="138"/>
      <c r="EJR29" s="138"/>
      <c r="EJS29" s="138"/>
      <c r="EJT29" s="138"/>
      <c r="EJU29" s="138"/>
      <c r="EJV29" s="138"/>
      <c r="EJW29" s="138"/>
      <c r="EJX29" s="138"/>
      <c r="EJY29" s="138"/>
      <c r="EJZ29" s="138"/>
      <c r="EKA29" s="138"/>
      <c r="EKB29" s="138"/>
      <c r="EKC29" s="138"/>
      <c r="EKD29" s="138"/>
      <c r="EKE29" s="138"/>
      <c r="EKF29" s="138"/>
      <c r="EKG29" s="138"/>
      <c r="EKH29" s="138"/>
      <c r="EKI29" s="138"/>
      <c r="EKJ29" s="138"/>
      <c r="EKK29" s="138"/>
      <c r="EKL29" s="138"/>
      <c r="EKM29" s="138"/>
      <c r="EKN29" s="138"/>
      <c r="EKO29" s="138"/>
      <c r="EKP29" s="138"/>
      <c r="EKQ29" s="138"/>
      <c r="EKR29" s="138"/>
      <c r="EKS29" s="138"/>
      <c r="EKT29" s="138"/>
      <c r="EKU29" s="138"/>
      <c r="EKV29" s="138"/>
      <c r="EKW29" s="138"/>
      <c r="EKX29" s="138"/>
      <c r="EKY29" s="138"/>
      <c r="EKZ29" s="138"/>
      <c r="ELA29" s="138"/>
      <c r="ELB29" s="138"/>
      <c r="ELC29" s="138"/>
      <c r="ELD29" s="138"/>
      <c r="ELE29" s="138"/>
      <c r="ELF29" s="138"/>
      <c r="ELG29" s="138"/>
      <c r="ELH29" s="138"/>
      <c r="ELI29" s="138"/>
      <c r="ELJ29" s="138"/>
      <c r="ELK29" s="138"/>
      <c r="ELL29" s="138"/>
      <c r="ELM29" s="138"/>
      <c r="ELN29" s="138"/>
      <c r="ELO29" s="138"/>
      <c r="ELP29" s="138"/>
      <c r="ELQ29" s="138"/>
      <c r="ELR29" s="138"/>
      <c r="ELS29" s="138"/>
      <c r="ELT29" s="138"/>
      <c r="ELU29" s="138"/>
      <c r="ELV29" s="138"/>
      <c r="ELW29" s="138"/>
      <c r="ELX29" s="138"/>
      <c r="ELY29" s="138"/>
      <c r="ELZ29" s="138"/>
      <c r="EMA29" s="138"/>
      <c r="EMB29" s="138"/>
      <c r="EMC29" s="138"/>
      <c r="EMD29" s="138"/>
      <c r="EME29" s="138"/>
      <c r="EMF29" s="138"/>
      <c r="EMG29" s="138"/>
      <c r="EMH29" s="138"/>
      <c r="EMI29" s="138"/>
      <c r="EMJ29" s="138"/>
      <c r="EMK29" s="138"/>
      <c r="EML29" s="138"/>
      <c r="EMM29" s="138"/>
      <c r="EMN29" s="138"/>
      <c r="EMO29" s="138"/>
      <c r="EMP29" s="138"/>
      <c r="EMQ29" s="138"/>
      <c r="EMR29" s="138"/>
      <c r="EMS29" s="138"/>
      <c r="EMT29" s="138"/>
      <c r="EMU29" s="138"/>
      <c r="EMV29" s="138"/>
      <c r="EMW29" s="138"/>
      <c r="EMX29" s="138"/>
      <c r="EMY29" s="138"/>
      <c r="EMZ29" s="138"/>
      <c r="ENA29" s="138"/>
      <c r="ENB29" s="138"/>
      <c r="ENC29" s="138"/>
      <c r="END29" s="138"/>
      <c r="ENE29" s="138"/>
      <c r="ENF29" s="138"/>
      <c r="ENG29" s="138"/>
      <c r="ENH29" s="138"/>
      <c r="ENI29" s="138"/>
      <c r="ENJ29" s="138"/>
      <c r="ENK29" s="138"/>
      <c r="ENL29" s="138"/>
      <c r="ENM29" s="138"/>
      <c r="ENN29" s="138"/>
      <c r="ENO29" s="138"/>
      <c r="ENP29" s="138"/>
      <c r="ENQ29" s="138"/>
      <c r="ENR29" s="138"/>
      <c r="ENS29" s="138"/>
      <c r="ENT29" s="138"/>
      <c r="ENU29" s="138"/>
      <c r="ENV29" s="138"/>
      <c r="ENW29" s="138"/>
      <c r="ENX29" s="138"/>
      <c r="ENY29" s="138"/>
      <c r="ENZ29" s="138"/>
      <c r="EOA29" s="138"/>
      <c r="EOB29" s="138"/>
      <c r="EOC29" s="138"/>
      <c r="EOD29" s="138"/>
      <c r="EOE29" s="138"/>
      <c r="EOF29" s="138"/>
      <c r="EOG29" s="138"/>
      <c r="EOH29" s="138"/>
      <c r="EOI29" s="138"/>
      <c r="EOJ29" s="138"/>
      <c r="EOK29" s="138"/>
      <c r="EOL29" s="138"/>
      <c r="EOM29" s="138"/>
      <c r="EON29" s="138"/>
      <c r="EOO29" s="138"/>
      <c r="EOP29" s="138"/>
      <c r="EOQ29" s="138"/>
      <c r="EOR29" s="138"/>
      <c r="EOS29" s="138"/>
      <c r="EOT29" s="138"/>
      <c r="EOU29" s="138"/>
      <c r="EOV29" s="138"/>
      <c r="EOW29" s="138"/>
      <c r="EOX29" s="138"/>
      <c r="EOY29" s="138"/>
      <c r="EOZ29" s="138"/>
      <c r="EPA29" s="138"/>
      <c r="EPB29" s="138"/>
      <c r="EPC29" s="138"/>
      <c r="EPD29" s="138"/>
      <c r="EPE29" s="138"/>
      <c r="EPF29" s="138"/>
      <c r="EPG29" s="138"/>
      <c r="EPH29" s="138"/>
      <c r="EPI29" s="138"/>
      <c r="EPJ29" s="138"/>
      <c r="EPK29" s="138"/>
      <c r="EPL29" s="138"/>
      <c r="EPM29" s="138"/>
      <c r="EPN29" s="138"/>
      <c r="EPO29" s="138"/>
      <c r="EPP29" s="138"/>
      <c r="EPQ29" s="138"/>
      <c r="EPR29" s="138"/>
      <c r="EPS29" s="138"/>
      <c r="EPT29" s="138"/>
      <c r="EPU29" s="138"/>
      <c r="EPV29" s="138"/>
      <c r="EPW29" s="138"/>
      <c r="EPX29" s="138"/>
      <c r="EPY29" s="138"/>
      <c r="EPZ29" s="138"/>
      <c r="EQA29" s="138"/>
      <c r="EQB29" s="138"/>
      <c r="EQC29" s="138"/>
      <c r="EQD29" s="138"/>
      <c r="EQE29" s="138"/>
      <c r="EQF29" s="138"/>
      <c r="EQG29" s="138"/>
      <c r="EQH29" s="138"/>
      <c r="EQI29" s="138"/>
      <c r="EQJ29" s="138"/>
      <c r="EQK29" s="138"/>
      <c r="EQL29" s="138"/>
      <c r="EQM29" s="138"/>
      <c r="EQN29" s="138"/>
      <c r="EQO29" s="138"/>
      <c r="EQP29" s="138"/>
      <c r="EQQ29" s="138"/>
      <c r="EQR29" s="138"/>
      <c r="EQS29" s="138"/>
      <c r="EQT29" s="138"/>
      <c r="EQU29" s="138"/>
      <c r="EQV29" s="138"/>
      <c r="EQW29" s="138"/>
      <c r="EQX29" s="138"/>
      <c r="EQY29" s="138"/>
      <c r="EQZ29" s="138"/>
      <c r="ERA29" s="138"/>
      <c r="ERB29" s="138"/>
      <c r="ERC29" s="138"/>
      <c r="ERD29" s="138"/>
      <c r="ERE29" s="138"/>
      <c r="ERF29" s="138"/>
      <c r="ERG29" s="138"/>
      <c r="ERH29" s="138"/>
      <c r="ERI29" s="138"/>
      <c r="ERJ29" s="138"/>
      <c r="ERK29" s="138"/>
      <c r="ERL29" s="138"/>
      <c r="ERM29" s="138"/>
      <c r="ERN29" s="138"/>
      <c r="ERO29" s="138"/>
      <c r="ERP29" s="138"/>
      <c r="ERQ29" s="138"/>
      <c r="ERR29" s="138"/>
      <c r="ERS29" s="138"/>
      <c r="ERT29" s="138"/>
      <c r="ERU29" s="138"/>
      <c r="ERV29" s="138"/>
      <c r="ERW29" s="138"/>
      <c r="ERX29" s="138"/>
      <c r="ERY29" s="138"/>
      <c r="ERZ29" s="138"/>
      <c r="ESA29" s="138"/>
      <c r="ESB29" s="138"/>
      <c r="ESC29" s="138"/>
      <c r="ESD29" s="138"/>
      <c r="ESE29" s="138"/>
      <c r="ESF29" s="138"/>
      <c r="ESG29" s="138"/>
      <c r="ESH29" s="138"/>
      <c r="ESI29" s="138"/>
      <c r="ESJ29" s="138"/>
      <c r="ESK29" s="138"/>
      <c r="ESL29" s="138"/>
      <c r="ESM29" s="138"/>
      <c r="ESN29" s="138"/>
      <c r="ESO29" s="138"/>
      <c r="ESP29" s="138"/>
      <c r="ESQ29" s="138"/>
      <c r="ESR29" s="138"/>
      <c r="ESS29" s="138"/>
      <c r="EST29" s="138"/>
      <c r="ESU29" s="138"/>
      <c r="ESV29" s="138"/>
      <c r="ESW29" s="138"/>
      <c r="ESX29" s="138"/>
      <c r="ESY29" s="138"/>
      <c r="ESZ29" s="138"/>
      <c r="ETA29" s="138"/>
      <c r="ETB29" s="138"/>
      <c r="ETC29" s="138"/>
      <c r="ETD29" s="138"/>
      <c r="ETE29" s="138"/>
      <c r="ETF29" s="138"/>
      <c r="ETG29" s="138"/>
      <c r="ETH29" s="138"/>
      <c r="ETI29" s="138"/>
      <c r="ETJ29" s="138"/>
      <c r="ETK29" s="138"/>
      <c r="ETL29" s="138"/>
      <c r="ETM29" s="138"/>
      <c r="ETN29" s="138"/>
      <c r="ETO29" s="138"/>
      <c r="ETP29" s="138"/>
      <c r="ETQ29" s="138"/>
      <c r="ETR29" s="138"/>
      <c r="ETS29" s="138"/>
      <c r="ETT29" s="138"/>
      <c r="ETU29" s="138"/>
      <c r="ETV29" s="138"/>
      <c r="ETW29" s="138"/>
      <c r="ETX29" s="138"/>
      <c r="ETY29" s="138"/>
      <c r="ETZ29" s="138"/>
      <c r="EUA29" s="138"/>
      <c r="EUB29" s="138"/>
      <c r="EUC29" s="138"/>
      <c r="EUD29" s="138"/>
      <c r="EUE29" s="138"/>
      <c r="EUF29" s="138"/>
      <c r="EUG29" s="138"/>
      <c r="EUH29" s="138"/>
      <c r="EUI29" s="138"/>
      <c r="EUJ29" s="138"/>
      <c r="EUK29" s="138"/>
      <c r="EUL29" s="138"/>
      <c r="EUM29" s="138"/>
      <c r="EUN29" s="138"/>
      <c r="EUO29" s="138"/>
      <c r="EUP29" s="138"/>
      <c r="EUQ29" s="138"/>
      <c r="EUR29" s="138"/>
      <c r="EUS29" s="138"/>
      <c r="EUT29" s="138"/>
      <c r="EUU29" s="138"/>
      <c r="EUV29" s="138"/>
      <c r="EUW29" s="138"/>
      <c r="EUX29" s="138"/>
      <c r="EUY29" s="138"/>
      <c r="EUZ29" s="138"/>
      <c r="EVA29" s="138"/>
      <c r="EVB29" s="138"/>
      <c r="EVC29" s="138"/>
      <c r="EVD29" s="138"/>
      <c r="EVE29" s="138"/>
      <c r="EVF29" s="138"/>
      <c r="EVG29" s="138"/>
      <c r="EVH29" s="138"/>
      <c r="EVI29" s="138"/>
      <c r="EVJ29" s="138"/>
      <c r="EVK29" s="138"/>
      <c r="EVL29" s="138"/>
      <c r="EVM29" s="138"/>
      <c r="EVN29" s="138"/>
      <c r="EVO29" s="138"/>
      <c r="EVP29" s="138"/>
      <c r="EVQ29" s="138"/>
      <c r="EVR29" s="138"/>
      <c r="EVS29" s="138"/>
      <c r="EVT29" s="138"/>
      <c r="EVU29" s="138"/>
      <c r="EVV29" s="138"/>
      <c r="EVW29" s="138"/>
      <c r="EVX29" s="138"/>
      <c r="EVY29" s="138"/>
      <c r="EVZ29" s="138"/>
      <c r="EWA29" s="138"/>
      <c r="EWB29" s="138"/>
      <c r="EWC29" s="138"/>
      <c r="EWD29" s="138"/>
      <c r="EWE29" s="138"/>
      <c r="EWF29" s="138"/>
      <c r="EWG29" s="138"/>
      <c r="EWH29" s="138"/>
      <c r="EWI29" s="138"/>
      <c r="EWJ29" s="138"/>
      <c r="EWK29" s="138"/>
      <c r="EWL29" s="138"/>
      <c r="EWM29" s="138"/>
      <c r="EWN29" s="138"/>
      <c r="EWO29" s="138"/>
      <c r="EWP29" s="138"/>
      <c r="EWQ29" s="138"/>
      <c r="EWR29" s="138"/>
      <c r="EWS29" s="138"/>
      <c r="EWT29" s="138"/>
      <c r="EWU29" s="138"/>
      <c r="EWV29" s="138"/>
      <c r="EWW29" s="138"/>
      <c r="EWX29" s="138"/>
      <c r="EWY29" s="138"/>
      <c r="EWZ29" s="138"/>
      <c r="EXA29" s="138"/>
      <c r="EXB29" s="138"/>
      <c r="EXC29" s="138"/>
      <c r="EXD29" s="138"/>
      <c r="EXE29" s="138"/>
      <c r="EXF29" s="138"/>
      <c r="EXG29" s="138"/>
      <c r="EXH29" s="138"/>
      <c r="EXI29" s="138"/>
      <c r="EXJ29" s="138"/>
      <c r="EXK29" s="138"/>
      <c r="EXL29" s="138"/>
      <c r="EXM29" s="138"/>
      <c r="EXN29" s="138"/>
      <c r="EXO29" s="138"/>
      <c r="EXP29" s="138"/>
      <c r="EXQ29" s="138"/>
      <c r="EXR29" s="138"/>
      <c r="EXS29" s="138"/>
      <c r="EXT29" s="138"/>
      <c r="EXU29" s="138"/>
      <c r="EXV29" s="138"/>
      <c r="EXW29" s="138"/>
      <c r="EXX29" s="138"/>
      <c r="EXY29" s="138"/>
      <c r="EXZ29" s="138"/>
      <c r="EYA29" s="138"/>
      <c r="EYB29" s="138"/>
      <c r="EYC29" s="138"/>
      <c r="EYD29" s="138"/>
      <c r="EYE29" s="138"/>
      <c r="EYF29" s="138"/>
      <c r="EYG29" s="138"/>
      <c r="EYH29" s="138"/>
      <c r="EYI29" s="138"/>
      <c r="EYJ29" s="138"/>
      <c r="EYK29" s="138"/>
      <c r="EYL29" s="138"/>
      <c r="EYM29" s="138"/>
      <c r="EYN29" s="138"/>
      <c r="EYO29" s="138"/>
      <c r="EYP29" s="138"/>
      <c r="EYQ29" s="138"/>
      <c r="EYR29" s="138"/>
      <c r="EYS29" s="138"/>
      <c r="EYT29" s="138"/>
      <c r="EYU29" s="138"/>
      <c r="EYV29" s="138"/>
      <c r="EYW29" s="138"/>
      <c r="EYX29" s="138"/>
      <c r="EYY29" s="138"/>
      <c r="EYZ29" s="138"/>
      <c r="EZA29" s="138"/>
      <c r="EZB29" s="138"/>
      <c r="EZC29" s="138"/>
      <c r="EZD29" s="138"/>
      <c r="EZE29" s="138"/>
      <c r="EZF29" s="138"/>
      <c r="EZG29" s="138"/>
      <c r="EZH29" s="138"/>
      <c r="EZI29" s="138"/>
      <c r="EZJ29" s="138"/>
      <c r="EZK29" s="138"/>
      <c r="EZL29" s="138"/>
      <c r="EZM29" s="138"/>
      <c r="EZN29" s="138"/>
      <c r="EZO29" s="138"/>
      <c r="EZP29" s="138"/>
      <c r="EZQ29" s="138"/>
      <c r="EZR29" s="138"/>
      <c r="EZS29" s="138"/>
      <c r="EZT29" s="138"/>
      <c r="EZU29" s="138"/>
      <c r="EZV29" s="138"/>
      <c r="EZW29" s="138"/>
      <c r="EZX29" s="138"/>
      <c r="EZY29" s="138"/>
      <c r="EZZ29" s="138"/>
      <c r="FAA29" s="138"/>
      <c r="FAB29" s="138"/>
      <c r="FAC29" s="138"/>
      <c r="FAD29" s="138"/>
      <c r="FAE29" s="138"/>
      <c r="FAF29" s="138"/>
      <c r="FAG29" s="138"/>
      <c r="FAH29" s="138"/>
      <c r="FAI29" s="138"/>
      <c r="FAJ29" s="138"/>
      <c r="FAK29" s="138"/>
      <c r="FAL29" s="138"/>
      <c r="FAM29" s="138"/>
      <c r="FAN29" s="138"/>
      <c r="FAO29" s="138"/>
      <c r="FAP29" s="138"/>
      <c r="FAQ29" s="138"/>
      <c r="FAR29" s="138"/>
      <c r="FAS29" s="138"/>
      <c r="FAT29" s="138"/>
      <c r="FAU29" s="138"/>
      <c r="FAV29" s="138"/>
      <c r="FAW29" s="138"/>
      <c r="FAX29" s="138"/>
      <c r="FAY29" s="138"/>
      <c r="FAZ29" s="138"/>
      <c r="FBA29" s="138"/>
      <c r="FBB29" s="138"/>
      <c r="FBC29" s="138"/>
      <c r="FBD29" s="138"/>
      <c r="FBE29" s="138"/>
      <c r="FBF29" s="138"/>
      <c r="FBG29" s="138"/>
      <c r="FBH29" s="138"/>
      <c r="FBI29" s="138"/>
      <c r="FBJ29" s="138"/>
      <c r="FBK29" s="138"/>
      <c r="FBL29" s="138"/>
      <c r="FBM29" s="138"/>
      <c r="FBN29" s="138"/>
      <c r="FBO29" s="138"/>
      <c r="FBP29" s="138"/>
      <c r="FBQ29" s="138"/>
      <c r="FBR29" s="138"/>
      <c r="FBS29" s="138"/>
      <c r="FBT29" s="138"/>
      <c r="FBU29" s="138"/>
      <c r="FBV29" s="138"/>
      <c r="FBW29" s="138"/>
      <c r="FBX29" s="138"/>
      <c r="FBY29" s="138"/>
      <c r="FBZ29" s="138"/>
      <c r="FCA29" s="138"/>
      <c r="FCB29" s="138"/>
      <c r="FCC29" s="138"/>
      <c r="FCD29" s="138"/>
      <c r="FCE29" s="138"/>
      <c r="FCF29" s="138"/>
      <c r="FCG29" s="138"/>
      <c r="FCH29" s="138"/>
      <c r="FCI29" s="138"/>
      <c r="FCJ29" s="138"/>
      <c r="FCK29" s="138"/>
      <c r="FCL29" s="138"/>
      <c r="FCM29" s="138"/>
      <c r="FCN29" s="138"/>
      <c r="FCO29" s="138"/>
      <c r="FCP29" s="138"/>
      <c r="FCQ29" s="138"/>
      <c r="FCR29" s="138"/>
      <c r="FCS29" s="138"/>
      <c r="FCT29" s="138"/>
      <c r="FCU29" s="138"/>
      <c r="FCV29" s="138"/>
      <c r="FCW29" s="138"/>
      <c r="FCX29" s="138"/>
      <c r="FCY29" s="138"/>
      <c r="FCZ29" s="138"/>
      <c r="FDA29" s="138"/>
      <c r="FDB29" s="138"/>
      <c r="FDC29" s="138"/>
      <c r="FDD29" s="138"/>
      <c r="FDE29" s="138"/>
      <c r="FDF29" s="138"/>
      <c r="FDG29" s="138"/>
      <c r="FDH29" s="138"/>
      <c r="FDI29" s="138"/>
      <c r="FDJ29" s="138"/>
      <c r="FDK29" s="138"/>
      <c r="FDL29" s="138"/>
      <c r="FDM29" s="138"/>
      <c r="FDN29" s="138"/>
      <c r="FDO29" s="138"/>
      <c r="FDP29" s="138"/>
      <c r="FDQ29" s="138"/>
      <c r="FDR29" s="138"/>
      <c r="FDS29" s="138"/>
      <c r="FDT29" s="138"/>
      <c r="FDU29" s="138"/>
      <c r="FDV29" s="138"/>
      <c r="FDW29" s="138"/>
      <c r="FDX29" s="138"/>
      <c r="FDY29" s="138"/>
      <c r="FDZ29" s="138"/>
      <c r="FEA29" s="138"/>
      <c r="FEB29" s="138"/>
      <c r="FEC29" s="138"/>
      <c r="FED29" s="138"/>
      <c r="FEE29" s="138"/>
      <c r="FEF29" s="138"/>
      <c r="FEG29" s="138"/>
      <c r="FEH29" s="138"/>
      <c r="FEI29" s="138"/>
      <c r="FEJ29" s="138"/>
      <c r="FEK29" s="138"/>
      <c r="FEL29" s="138"/>
      <c r="FEM29" s="138"/>
      <c r="FEN29" s="138"/>
      <c r="FEO29" s="138"/>
      <c r="FEP29" s="138"/>
      <c r="FEQ29" s="138"/>
      <c r="FER29" s="138"/>
      <c r="FES29" s="138"/>
      <c r="FET29" s="138"/>
      <c r="FEU29" s="138"/>
      <c r="FEV29" s="138"/>
      <c r="FEW29" s="138"/>
      <c r="FEX29" s="138"/>
      <c r="FEY29" s="138"/>
      <c r="FEZ29" s="138"/>
      <c r="FFA29" s="138"/>
      <c r="FFB29" s="138"/>
      <c r="FFC29" s="138"/>
      <c r="FFD29" s="138"/>
      <c r="FFE29" s="138"/>
      <c r="FFF29" s="138"/>
      <c r="FFG29" s="138"/>
      <c r="FFH29" s="138"/>
      <c r="FFI29" s="138"/>
      <c r="FFJ29" s="138"/>
      <c r="FFK29" s="138"/>
      <c r="FFL29" s="138"/>
      <c r="FFM29" s="138"/>
      <c r="FFN29" s="138"/>
      <c r="FFO29" s="138"/>
      <c r="FFP29" s="138"/>
      <c r="FFQ29" s="138"/>
      <c r="FFR29" s="138"/>
      <c r="FFS29" s="138"/>
      <c r="FFT29" s="138"/>
      <c r="FFU29" s="138"/>
      <c r="FFV29" s="138"/>
      <c r="FFW29" s="138"/>
      <c r="FFX29" s="138"/>
      <c r="FFY29" s="138"/>
      <c r="FFZ29" s="138"/>
      <c r="FGA29" s="138"/>
      <c r="FGB29" s="138"/>
      <c r="FGC29" s="138"/>
      <c r="FGD29" s="138"/>
      <c r="FGE29" s="138"/>
      <c r="FGF29" s="138"/>
      <c r="FGG29" s="138"/>
      <c r="FGH29" s="138"/>
      <c r="FGI29" s="138"/>
      <c r="FGJ29" s="138"/>
      <c r="FGK29" s="138"/>
      <c r="FGL29" s="138"/>
      <c r="FGM29" s="138"/>
      <c r="FGN29" s="138"/>
      <c r="FGO29" s="138"/>
      <c r="FGP29" s="138"/>
      <c r="FGQ29" s="138"/>
      <c r="FGR29" s="138"/>
      <c r="FGS29" s="138"/>
      <c r="FGT29" s="138"/>
      <c r="FGU29" s="138"/>
      <c r="FGV29" s="138"/>
      <c r="FGW29" s="138"/>
      <c r="FGX29" s="138"/>
      <c r="FGY29" s="138"/>
      <c r="FGZ29" s="138"/>
      <c r="FHA29" s="138"/>
      <c r="FHB29" s="138"/>
      <c r="FHC29" s="138"/>
      <c r="FHD29" s="138"/>
      <c r="FHE29" s="138"/>
      <c r="FHF29" s="138"/>
      <c r="FHG29" s="138"/>
      <c r="FHH29" s="138"/>
      <c r="FHI29" s="138"/>
      <c r="FHJ29" s="138"/>
      <c r="FHK29" s="138"/>
      <c r="FHL29" s="138"/>
      <c r="FHM29" s="138"/>
      <c r="FHN29" s="138"/>
      <c r="FHO29" s="138"/>
      <c r="FHP29" s="138"/>
      <c r="FHQ29" s="138"/>
      <c r="FHR29" s="138"/>
      <c r="FHS29" s="138"/>
      <c r="FHT29" s="138"/>
      <c r="FHU29" s="138"/>
      <c r="FHV29" s="138"/>
      <c r="FHW29" s="138"/>
      <c r="FHX29" s="138"/>
      <c r="FHY29" s="138"/>
      <c r="FHZ29" s="138"/>
      <c r="FIA29" s="138"/>
      <c r="FIB29" s="138"/>
      <c r="FIC29" s="138"/>
      <c r="FID29" s="138"/>
      <c r="FIE29" s="138"/>
      <c r="FIF29" s="138"/>
      <c r="FIG29" s="138"/>
      <c r="FIH29" s="138"/>
      <c r="FII29" s="138"/>
      <c r="FIJ29" s="138"/>
      <c r="FIK29" s="138"/>
      <c r="FIL29" s="138"/>
      <c r="FIM29" s="138"/>
      <c r="FIN29" s="138"/>
      <c r="FIO29" s="138"/>
      <c r="FIP29" s="138"/>
      <c r="FIQ29" s="138"/>
      <c r="FIR29" s="138"/>
      <c r="FIS29" s="138"/>
      <c r="FIT29" s="138"/>
      <c r="FIU29" s="138"/>
      <c r="FIV29" s="138"/>
      <c r="FIW29" s="138"/>
      <c r="FIX29" s="138"/>
      <c r="FIY29" s="138"/>
      <c r="FIZ29" s="138"/>
      <c r="FJA29" s="138"/>
      <c r="FJB29" s="138"/>
      <c r="FJC29" s="138"/>
      <c r="FJD29" s="138"/>
      <c r="FJE29" s="138"/>
      <c r="FJF29" s="138"/>
      <c r="FJG29" s="138"/>
      <c r="FJH29" s="138"/>
      <c r="FJI29" s="138"/>
      <c r="FJJ29" s="138"/>
      <c r="FJK29" s="138"/>
      <c r="FJL29" s="138"/>
      <c r="FJM29" s="138"/>
      <c r="FJN29" s="138"/>
      <c r="FJO29" s="138"/>
      <c r="FJP29" s="138"/>
      <c r="FJQ29" s="138"/>
      <c r="FJR29" s="138"/>
      <c r="FJS29" s="138"/>
      <c r="FJT29" s="138"/>
      <c r="FJU29" s="138"/>
      <c r="FJV29" s="138"/>
      <c r="FJW29" s="138"/>
      <c r="FJX29" s="138"/>
      <c r="FJY29" s="138"/>
      <c r="FJZ29" s="138"/>
      <c r="FKA29" s="138"/>
      <c r="FKB29" s="138"/>
      <c r="FKC29" s="138"/>
      <c r="FKD29" s="138"/>
      <c r="FKE29" s="138"/>
      <c r="FKF29" s="138"/>
      <c r="FKG29" s="138"/>
      <c r="FKH29" s="138"/>
      <c r="FKI29" s="138"/>
      <c r="FKJ29" s="138"/>
      <c r="FKK29" s="138"/>
      <c r="FKL29" s="138"/>
      <c r="FKM29" s="138"/>
      <c r="FKN29" s="138"/>
      <c r="FKO29" s="138"/>
      <c r="FKP29" s="138"/>
      <c r="FKQ29" s="138"/>
      <c r="FKR29" s="138"/>
      <c r="FKS29" s="138"/>
      <c r="FKT29" s="138"/>
      <c r="FKU29" s="138"/>
      <c r="FKV29" s="138"/>
      <c r="FKW29" s="138"/>
      <c r="FKX29" s="138"/>
      <c r="FKY29" s="138"/>
      <c r="FKZ29" s="138"/>
      <c r="FLA29" s="138"/>
      <c r="FLB29" s="138"/>
      <c r="FLC29" s="138"/>
      <c r="FLD29" s="138"/>
      <c r="FLE29" s="138"/>
      <c r="FLF29" s="138"/>
      <c r="FLG29" s="138"/>
      <c r="FLH29" s="138"/>
      <c r="FLI29" s="138"/>
      <c r="FLJ29" s="138"/>
      <c r="FLK29" s="138"/>
      <c r="FLL29" s="138"/>
      <c r="FLM29" s="138"/>
      <c r="FLN29" s="138"/>
      <c r="FLO29" s="138"/>
      <c r="FLP29" s="138"/>
      <c r="FLQ29" s="138"/>
      <c r="FLR29" s="138"/>
      <c r="FLS29" s="138"/>
      <c r="FLT29" s="138"/>
      <c r="FLU29" s="138"/>
      <c r="FLV29" s="138"/>
      <c r="FLW29" s="138"/>
      <c r="FLX29" s="138"/>
      <c r="FLY29" s="138"/>
      <c r="FLZ29" s="138"/>
      <c r="FMA29" s="138"/>
      <c r="FMB29" s="138"/>
      <c r="FMC29" s="138"/>
      <c r="FMD29" s="138"/>
      <c r="FME29" s="138"/>
      <c r="FMF29" s="138"/>
      <c r="FMG29" s="138"/>
      <c r="FMH29" s="138"/>
      <c r="FMI29" s="138"/>
      <c r="FMJ29" s="138"/>
      <c r="FMK29" s="138"/>
      <c r="FML29" s="138"/>
      <c r="FMM29" s="138"/>
      <c r="FMN29" s="138"/>
      <c r="FMO29" s="138"/>
      <c r="FMP29" s="138"/>
      <c r="FMQ29" s="138"/>
      <c r="FMR29" s="138"/>
      <c r="FMS29" s="138"/>
      <c r="FMT29" s="138"/>
      <c r="FMU29" s="138"/>
      <c r="FMV29" s="138"/>
      <c r="FMW29" s="138"/>
      <c r="FMX29" s="138"/>
      <c r="FMY29" s="138"/>
      <c r="FMZ29" s="138"/>
      <c r="FNA29" s="138"/>
      <c r="FNB29" s="138"/>
      <c r="FNC29" s="138"/>
      <c r="FND29" s="138"/>
      <c r="FNE29" s="138"/>
      <c r="FNF29" s="138"/>
      <c r="FNG29" s="138"/>
      <c r="FNH29" s="138"/>
      <c r="FNI29" s="138"/>
      <c r="FNJ29" s="138"/>
      <c r="FNK29" s="138"/>
      <c r="FNL29" s="138"/>
      <c r="FNM29" s="138"/>
      <c r="FNN29" s="138"/>
      <c r="FNO29" s="138"/>
      <c r="FNP29" s="138"/>
      <c r="FNQ29" s="138"/>
      <c r="FNR29" s="138"/>
      <c r="FNS29" s="138"/>
      <c r="FNT29" s="138"/>
      <c r="FNU29" s="138"/>
      <c r="FNV29" s="138"/>
      <c r="FNW29" s="138"/>
      <c r="FNX29" s="138"/>
      <c r="FNY29" s="138"/>
      <c r="FNZ29" s="138"/>
      <c r="FOA29" s="138"/>
      <c r="FOB29" s="138"/>
      <c r="FOC29" s="138"/>
      <c r="FOD29" s="138"/>
      <c r="FOE29" s="138"/>
      <c r="FOF29" s="138"/>
      <c r="FOG29" s="138"/>
      <c r="FOH29" s="138"/>
      <c r="FOI29" s="138"/>
      <c r="FOJ29" s="138"/>
      <c r="FOK29" s="138"/>
      <c r="FOL29" s="138"/>
      <c r="FOM29" s="138"/>
      <c r="FON29" s="138"/>
      <c r="FOO29" s="138"/>
      <c r="FOP29" s="138"/>
      <c r="FOQ29" s="138"/>
      <c r="FOR29" s="138"/>
      <c r="FOS29" s="138"/>
      <c r="FOT29" s="138"/>
      <c r="FOU29" s="138"/>
      <c r="FOV29" s="138"/>
      <c r="FOW29" s="138"/>
      <c r="FOX29" s="138"/>
      <c r="FOY29" s="138"/>
      <c r="FOZ29" s="138"/>
      <c r="FPA29" s="138"/>
      <c r="FPB29" s="138"/>
      <c r="FPC29" s="138"/>
      <c r="FPD29" s="138"/>
      <c r="FPE29" s="138"/>
      <c r="FPF29" s="138"/>
      <c r="FPG29" s="138"/>
      <c r="FPH29" s="138"/>
      <c r="FPI29" s="138"/>
      <c r="FPJ29" s="138"/>
      <c r="FPK29" s="138"/>
      <c r="FPL29" s="138"/>
      <c r="FPM29" s="138"/>
      <c r="FPN29" s="138"/>
      <c r="FPO29" s="138"/>
      <c r="FPP29" s="138"/>
      <c r="FPQ29" s="138"/>
      <c r="FPR29" s="138"/>
      <c r="FPS29" s="138"/>
      <c r="FPT29" s="138"/>
      <c r="FPU29" s="138"/>
      <c r="FPV29" s="138"/>
      <c r="FPW29" s="138"/>
      <c r="FPX29" s="138"/>
      <c r="FPY29" s="138"/>
      <c r="FPZ29" s="138"/>
      <c r="FQA29" s="138"/>
      <c r="FQB29" s="138"/>
      <c r="FQC29" s="138"/>
      <c r="FQD29" s="138"/>
      <c r="FQE29" s="138"/>
      <c r="FQF29" s="138"/>
      <c r="FQG29" s="138"/>
      <c r="FQH29" s="138"/>
      <c r="FQI29" s="138"/>
      <c r="FQJ29" s="138"/>
      <c r="FQK29" s="138"/>
      <c r="FQL29" s="138"/>
      <c r="FQM29" s="138"/>
      <c r="FQN29" s="138"/>
      <c r="FQO29" s="138"/>
      <c r="FQP29" s="138"/>
      <c r="FQQ29" s="138"/>
      <c r="FQR29" s="138"/>
      <c r="FQS29" s="138"/>
      <c r="FQT29" s="138"/>
      <c r="FQU29" s="138"/>
      <c r="FQV29" s="138"/>
      <c r="FQW29" s="138"/>
      <c r="FQX29" s="138"/>
      <c r="FQY29" s="138"/>
      <c r="FQZ29" s="138"/>
      <c r="FRA29" s="138"/>
      <c r="FRB29" s="138"/>
      <c r="FRC29" s="138"/>
      <c r="FRD29" s="138"/>
      <c r="FRE29" s="138"/>
      <c r="FRF29" s="138"/>
      <c r="FRG29" s="138"/>
      <c r="FRH29" s="138"/>
      <c r="FRI29" s="138"/>
      <c r="FRJ29" s="138"/>
      <c r="FRK29" s="138"/>
      <c r="FRL29" s="138"/>
      <c r="FRM29" s="138"/>
      <c r="FRN29" s="138"/>
      <c r="FRO29" s="138"/>
      <c r="FRP29" s="138"/>
      <c r="FRQ29" s="138"/>
      <c r="FRR29" s="138"/>
      <c r="FRS29" s="138"/>
      <c r="FRT29" s="138"/>
      <c r="FRU29" s="138"/>
      <c r="FRV29" s="138"/>
      <c r="FRW29" s="138"/>
      <c r="FRX29" s="138"/>
      <c r="FRY29" s="138"/>
      <c r="FRZ29" s="138"/>
      <c r="FSA29" s="138"/>
      <c r="FSB29" s="138"/>
      <c r="FSC29" s="138"/>
      <c r="FSD29" s="138"/>
      <c r="FSE29" s="138"/>
      <c r="FSF29" s="138"/>
      <c r="FSG29" s="138"/>
      <c r="FSH29" s="138"/>
      <c r="FSI29" s="138"/>
      <c r="FSJ29" s="138"/>
      <c r="FSK29" s="138"/>
      <c r="FSL29" s="138"/>
      <c r="FSM29" s="138"/>
      <c r="FSN29" s="138"/>
      <c r="FSO29" s="138"/>
      <c r="FSP29" s="138"/>
      <c r="FSQ29" s="138"/>
      <c r="FSR29" s="138"/>
      <c r="FSS29" s="138"/>
      <c r="FST29" s="138"/>
      <c r="FSU29" s="138"/>
      <c r="FSV29" s="138"/>
      <c r="FSW29" s="138"/>
      <c r="FSX29" s="138"/>
      <c r="FSY29" s="138"/>
      <c r="FSZ29" s="138"/>
      <c r="FTA29" s="138"/>
      <c r="FTB29" s="138"/>
      <c r="FTC29" s="138"/>
      <c r="FTD29" s="138"/>
      <c r="FTE29" s="138"/>
      <c r="FTF29" s="138"/>
      <c r="FTG29" s="138"/>
      <c r="FTH29" s="138"/>
      <c r="FTI29" s="138"/>
      <c r="FTJ29" s="138"/>
      <c r="FTK29" s="138"/>
      <c r="FTL29" s="138"/>
      <c r="FTM29" s="138"/>
      <c r="FTN29" s="138"/>
      <c r="FTO29" s="138"/>
      <c r="FTP29" s="138"/>
      <c r="FTQ29" s="138"/>
      <c r="FTR29" s="138"/>
      <c r="FTS29" s="138"/>
      <c r="FTT29" s="138"/>
      <c r="FTU29" s="138"/>
      <c r="FTV29" s="138"/>
      <c r="FTW29" s="138"/>
      <c r="FTX29" s="138"/>
      <c r="FTY29" s="138"/>
      <c r="FTZ29" s="138"/>
      <c r="FUA29" s="138"/>
      <c r="FUB29" s="138"/>
      <c r="FUC29" s="138"/>
      <c r="FUD29" s="138"/>
      <c r="FUE29" s="138"/>
      <c r="FUF29" s="138"/>
      <c r="FUG29" s="138"/>
      <c r="FUH29" s="138"/>
      <c r="FUI29" s="138"/>
      <c r="FUJ29" s="138"/>
      <c r="FUK29" s="138"/>
      <c r="FUL29" s="138"/>
      <c r="FUM29" s="138"/>
      <c r="FUN29" s="138"/>
      <c r="FUO29" s="138"/>
      <c r="FUP29" s="138"/>
      <c r="FUQ29" s="138"/>
      <c r="FUR29" s="138"/>
      <c r="FUS29" s="138"/>
      <c r="FUT29" s="138"/>
      <c r="FUU29" s="138"/>
      <c r="FUV29" s="138"/>
      <c r="FUW29" s="138"/>
      <c r="FUX29" s="138"/>
      <c r="FUY29" s="138"/>
      <c r="FUZ29" s="138"/>
      <c r="FVA29" s="138"/>
      <c r="FVB29" s="138"/>
      <c r="FVC29" s="138"/>
      <c r="FVD29" s="138"/>
      <c r="FVE29" s="138"/>
      <c r="FVF29" s="138"/>
      <c r="FVG29" s="138"/>
      <c r="FVH29" s="138"/>
      <c r="FVI29" s="138"/>
      <c r="FVJ29" s="138"/>
      <c r="FVK29" s="138"/>
      <c r="FVL29" s="138"/>
      <c r="FVM29" s="138"/>
      <c r="FVN29" s="138"/>
      <c r="FVO29" s="138"/>
      <c r="FVP29" s="138"/>
      <c r="FVQ29" s="138"/>
      <c r="FVR29" s="138"/>
      <c r="FVS29" s="138"/>
      <c r="FVT29" s="138"/>
      <c r="FVU29" s="138"/>
      <c r="FVV29" s="138"/>
      <c r="FVW29" s="138"/>
      <c r="FVX29" s="138"/>
      <c r="FVY29" s="138"/>
      <c r="FVZ29" s="138"/>
      <c r="FWA29" s="138"/>
      <c r="FWB29" s="138"/>
      <c r="FWC29" s="138"/>
      <c r="FWD29" s="138"/>
      <c r="FWE29" s="138"/>
      <c r="FWF29" s="138"/>
      <c r="FWG29" s="138"/>
      <c r="FWH29" s="138"/>
      <c r="FWI29" s="138"/>
      <c r="FWJ29" s="138"/>
      <c r="FWK29" s="138"/>
      <c r="FWL29" s="138"/>
      <c r="FWM29" s="138"/>
      <c r="FWN29" s="138"/>
      <c r="FWO29" s="138"/>
      <c r="FWP29" s="138"/>
      <c r="FWQ29" s="138"/>
      <c r="FWR29" s="138"/>
      <c r="FWS29" s="138"/>
      <c r="FWT29" s="138"/>
      <c r="FWU29" s="138"/>
      <c r="FWV29" s="138"/>
      <c r="FWW29" s="138"/>
      <c r="FWX29" s="138"/>
      <c r="FWY29" s="138"/>
      <c r="FWZ29" s="138"/>
      <c r="FXA29" s="138"/>
      <c r="FXB29" s="138"/>
      <c r="FXC29" s="138"/>
      <c r="FXD29" s="138"/>
      <c r="FXE29" s="138"/>
      <c r="FXF29" s="138"/>
      <c r="FXG29" s="138"/>
      <c r="FXH29" s="138"/>
      <c r="FXI29" s="138"/>
      <c r="FXJ29" s="138"/>
      <c r="FXK29" s="138"/>
      <c r="FXL29" s="138"/>
      <c r="FXM29" s="138"/>
      <c r="FXN29" s="138"/>
      <c r="FXO29" s="138"/>
      <c r="FXP29" s="138"/>
      <c r="FXQ29" s="138"/>
      <c r="FXR29" s="138"/>
      <c r="FXS29" s="138"/>
      <c r="FXT29" s="138"/>
      <c r="FXU29" s="138"/>
      <c r="FXV29" s="138"/>
      <c r="FXW29" s="138"/>
      <c r="FXX29" s="138"/>
      <c r="FXY29" s="138"/>
      <c r="FXZ29" s="138"/>
      <c r="FYA29" s="138"/>
      <c r="FYB29" s="138"/>
      <c r="FYC29" s="138"/>
      <c r="FYD29" s="138"/>
      <c r="FYE29" s="138"/>
      <c r="FYF29" s="138"/>
      <c r="FYG29" s="138"/>
      <c r="FYH29" s="138"/>
      <c r="FYI29" s="138"/>
      <c r="FYJ29" s="138"/>
      <c r="FYK29" s="138"/>
      <c r="FYL29" s="138"/>
      <c r="FYM29" s="138"/>
      <c r="FYN29" s="138"/>
      <c r="FYO29" s="138"/>
      <c r="FYP29" s="138"/>
      <c r="FYQ29" s="138"/>
      <c r="FYR29" s="138"/>
      <c r="FYS29" s="138"/>
      <c r="FYT29" s="138"/>
      <c r="FYU29" s="138"/>
      <c r="FYV29" s="138"/>
      <c r="FYW29" s="138"/>
      <c r="FYX29" s="138"/>
      <c r="FYY29" s="138"/>
      <c r="FYZ29" s="138"/>
      <c r="FZA29" s="138"/>
      <c r="FZB29" s="138"/>
      <c r="FZC29" s="138"/>
      <c r="FZD29" s="138"/>
      <c r="FZE29" s="138"/>
      <c r="FZF29" s="138"/>
      <c r="FZG29" s="138"/>
      <c r="FZH29" s="138"/>
      <c r="FZI29" s="138"/>
      <c r="FZJ29" s="138"/>
      <c r="FZK29" s="138"/>
      <c r="FZL29" s="138"/>
      <c r="FZM29" s="138"/>
      <c r="FZN29" s="138"/>
      <c r="FZO29" s="138"/>
      <c r="FZP29" s="138"/>
      <c r="FZQ29" s="138"/>
      <c r="FZR29" s="138"/>
      <c r="FZS29" s="138"/>
      <c r="FZT29" s="138"/>
      <c r="FZU29" s="138"/>
      <c r="FZV29" s="138"/>
      <c r="FZW29" s="138"/>
      <c r="FZX29" s="138"/>
      <c r="FZY29" s="138"/>
      <c r="FZZ29" s="138"/>
      <c r="GAA29" s="138"/>
      <c r="GAB29" s="138"/>
      <c r="GAC29" s="138"/>
      <c r="GAD29" s="138"/>
      <c r="GAE29" s="138"/>
      <c r="GAF29" s="138"/>
      <c r="GAG29" s="138"/>
      <c r="GAH29" s="138"/>
      <c r="GAI29" s="138"/>
      <c r="GAJ29" s="138"/>
      <c r="GAK29" s="138"/>
      <c r="GAL29" s="138"/>
      <c r="GAM29" s="138"/>
      <c r="GAN29" s="138"/>
      <c r="GAO29" s="138"/>
      <c r="GAP29" s="138"/>
      <c r="GAQ29" s="138"/>
      <c r="GAR29" s="138"/>
      <c r="GAS29" s="138"/>
      <c r="GAT29" s="138"/>
      <c r="GAU29" s="138"/>
      <c r="GAV29" s="138"/>
      <c r="GAW29" s="138"/>
      <c r="GAX29" s="138"/>
      <c r="GAY29" s="138"/>
      <c r="GAZ29" s="138"/>
      <c r="GBA29" s="138"/>
      <c r="GBB29" s="138"/>
      <c r="GBC29" s="138"/>
      <c r="GBD29" s="138"/>
      <c r="GBE29" s="138"/>
      <c r="GBF29" s="138"/>
      <c r="GBG29" s="138"/>
      <c r="GBH29" s="138"/>
      <c r="GBI29" s="138"/>
      <c r="GBJ29" s="138"/>
      <c r="GBK29" s="138"/>
      <c r="GBL29" s="138"/>
      <c r="GBM29" s="138"/>
      <c r="GBN29" s="138"/>
      <c r="GBO29" s="138"/>
      <c r="GBP29" s="138"/>
      <c r="GBQ29" s="138"/>
      <c r="GBR29" s="138"/>
      <c r="GBS29" s="138"/>
      <c r="GBT29" s="138"/>
      <c r="GBU29" s="138"/>
      <c r="GBV29" s="138"/>
      <c r="GBW29" s="138"/>
      <c r="GBX29" s="138"/>
      <c r="GBY29" s="138"/>
      <c r="GBZ29" s="138"/>
      <c r="GCA29" s="138"/>
      <c r="GCB29" s="138"/>
      <c r="GCC29" s="138"/>
      <c r="GCD29" s="138"/>
      <c r="GCE29" s="138"/>
      <c r="GCF29" s="138"/>
      <c r="GCG29" s="138"/>
      <c r="GCH29" s="138"/>
      <c r="GCI29" s="138"/>
      <c r="GCJ29" s="138"/>
      <c r="GCK29" s="138"/>
      <c r="GCL29" s="138"/>
      <c r="GCM29" s="138"/>
      <c r="GCN29" s="138"/>
      <c r="GCO29" s="138"/>
      <c r="GCP29" s="138"/>
      <c r="GCQ29" s="138"/>
      <c r="GCR29" s="138"/>
      <c r="GCS29" s="138"/>
      <c r="GCT29" s="138"/>
      <c r="GCU29" s="138"/>
      <c r="GCV29" s="138"/>
      <c r="GCW29" s="138"/>
      <c r="GCX29" s="138"/>
      <c r="GCY29" s="138"/>
      <c r="GCZ29" s="138"/>
      <c r="GDA29" s="138"/>
      <c r="GDB29" s="138"/>
      <c r="GDC29" s="138"/>
      <c r="GDD29" s="138"/>
      <c r="GDE29" s="138"/>
      <c r="GDF29" s="138"/>
      <c r="GDG29" s="138"/>
      <c r="GDH29" s="138"/>
      <c r="GDI29" s="138"/>
      <c r="GDJ29" s="138"/>
      <c r="GDK29" s="138"/>
      <c r="GDL29" s="138"/>
      <c r="GDM29" s="138"/>
      <c r="GDN29" s="138"/>
      <c r="GDO29" s="138"/>
      <c r="GDP29" s="138"/>
      <c r="GDQ29" s="138"/>
      <c r="GDR29" s="138"/>
      <c r="GDS29" s="138"/>
      <c r="GDT29" s="138"/>
      <c r="GDU29" s="138"/>
      <c r="GDV29" s="138"/>
      <c r="GDW29" s="138"/>
      <c r="GDX29" s="138"/>
      <c r="GDY29" s="138"/>
      <c r="GDZ29" s="138"/>
      <c r="GEA29" s="138"/>
      <c r="GEB29" s="138"/>
      <c r="GEC29" s="138"/>
      <c r="GED29" s="138"/>
      <c r="GEE29" s="138"/>
      <c r="GEF29" s="138"/>
      <c r="GEG29" s="138"/>
      <c r="GEH29" s="138"/>
      <c r="GEI29" s="138"/>
      <c r="GEJ29" s="138"/>
      <c r="GEK29" s="138"/>
      <c r="GEL29" s="138"/>
      <c r="GEM29" s="138"/>
      <c r="GEN29" s="138"/>
      <c r="GEO29" s="138"/>
      <c r="GEP29" s="138"/>
      <c r="GEQ29" s="138"/>
      <c r="GER29" s="138"/>
      <c r="GES29" s="138"/>
      <c r="GET29" s="138"/>
      <c r="GEU29" s="138"/>
      <c r="GEV29" s="138"/>
      <c r="GEW29" s="138"/>
      <c r="GEX29" s="138"/>
      <c r="GEY29" s="138"/>
      <c r="GEZ29" s="138"/>
      <c r="GFA29" s="138"/>
      <c r="GFB29" s="138"/>
      <c r="GFC29" s="138"/>
      <c r="GFD29" s="138"/>
      <c r="GFE29" s="138"/>
      <c r="GFF29" s="138"/>
      <c r="GFG29" s="138"/>
      <c r="GFH29" s="138"/>
      <c r="GFI29" s="138"/>
      <c r="GFJ29" s="138"/>
      <c r="GFK29" s="138"/>
      <c r="GFL29" s="138"/>
      <c r="GFM29" s="138"/>
      <c r="GFN29" s="138"/>
      <c r="GFO29" s="138"/>
      <c r="GFP29" s="138"/>
      <c r="GFQ29" s="138"/>
      <c r="GFR29" s="138"/>
      <c r="GFS29" s="138"/>
      <c r="GFT29" s="138"/>
      <c r="GFU29" s="138"/>
      <c r="GFV29" s="138"/>
      <c r="GFW29" s="138"/>
      <c r="GFX29" s="138"/>
      <c r="GFY29" s="138"/>
      <c r="GFZ29" s="138"/>
      <c r="GGA29" s="138"/>
      <c r="GGB29" s="138"/>
      <c r="GGC29" s="138"/>
      <c r="GGD29" s="138"/>
      <c r="GGE29" s="138"/>
      <c r="GGF29" s="138"/>
      <c r="GGG29" s="138"/>
      <c r="GGH29" s="138"/>
      <c r="GGI29" s="138"/>
      <c r="GGJ29" s="138"/>
      <c r="GGK29" s="138"/>
      <c r="GGL29" s="138"/>
      <c r="GGM29" s="138"/>
      <c r="GGN29" s="138"/>
      <c r="GGO29" s="138"/>
      <c r="GGP29" s="138"/>
      <c r="GGQ29" s="138"/>
      <c r="GGR29" s="138"/>
      <c r="GGS29" s="138"/>
      <c r="GGT29" s="138"/>
      <c r="GGU29" s="138"/>
      <c r="GGV29" s="138"/>
      <c r="GGW29" s="138"/>
      <c r="GGX29" s="138"/>
      <c r="GGY29" s="138"/>
      <c r="GGZ29" s="138"/>
      <c r="GHA29" s="138"/>
      <c r="GHB29" s="138"/>
      <c r="GHC29" s="138"/>
      <c r="GHD29" s="138"/>
      <c r="GHE29" s="138"/>
      <c r="GHF29" s="138"/>
      <c r="GHG29" s="138"/>
      <c r="GHH29" s="138"/>
      <c r="GHI29" s="138"/>
      <c r="GHJ29" s="138"/>
      <c r="GHK29" s="138"/>
      <c r="GHL29" s="138"/>
      <c r="GHM29" s="138"/>
      <c r="GHN29" s="138"/>
      <c r="GHO29" s="138"/>
      <c r="GHP29" s="138"/>
      <c r="GHQ29" s="138"/>
      <c r="GHR29" s="138"/>
      <c r="GHS29" s="138"/>
      <c r="GHT29" s="138"/>
      <c r="GHU29" s="138"/>
      <c r="GHV29" s="138"/>
      <c r="GHW29" s="138"/>
      <c r="GHX29" s="138"/>
      <c r="GHY29" s="138"/>
      <c r="GHZ29" s="138"/>
      <c r="GIA29" s="138"/>
      <c r="GIB29" s="138"/>
      <c r="GIC29" s="138"/>
      <c r="GID29" s="138"/>
      <c r="GIE29" s="138"/>
      <c r="GIF29" s="138"/>
      <c r="GIG29" s="138"/>
      <c r="GIH29" s="138"/>
      <c r="GII29" s="138"/>
      <c r="GIJ29" s="138"/>
      <c r="GIK29" s="138"/>
      <c r="GIL29" s="138"/>
      <c r="GIM29" s="138"/>
      <c r="GIN29" s="138"/>
      <c r="GIO29" s="138"/>
      <c r="GIP29" s="138"/>
      <c r="GIQ29" s="138"/>
      <c r="GIR29" s="138"/>
      <c r="GIS29" s="138"/>
      <c r="GIT29" s="138"/>
      <c r="GIU29" s="138"/>
      <c r="GIV29" s="138"/>
      <c r="GIW29" s="138"/>
      <c r="GIX29" s="138"/>
      <c r="GIY29" s="138"/>
      <c r="GIZ29" s="138"/>
      <c r="GJA29" s="138"/>
      <c r="GJB29" s="138"/>
      <c r="GJC29" s="138"/>
      <c r="GJD29" s="138"/>
      <c r="GJE29" s="138"/>
      <c r="GJF29" s="138"/>
      <c r="GJG29" s="138"/>
      <c r="GJH29" s="138"/>
      <c r="GJI29" s="138"/>
      <c r="GJJ29" s="138"/>
      <c r="GJK29" s="138"/>
      <c r="GJL29" s="138"/>
      <c r="GJM29" s="138"/>
      <c r="GJN29" s="138"/>
      <c r="GJO29" s="138"/>
      <c r="GJP29" s="138"/>
      <c r="GJQ29" s="138"/>
      <c r="GJR29" s="138"/>
      <c r="GJS29" s="138"/>
      <c r="GJT29" s="138"/>
      <c r="GJU29" s="138"/>
      <c r="GJV29" s="138"/>
      <c r="GJW29" s="138"/>
      <c r="GJX29" s="138"/>
      <c r="GJY29" s="138"/>
      <c r="GJZ29" s="138"/>
      <c r="GKA29" s="138"/>
      <c r="GKB29" s="138"/>
      <c r="GKC29" s="138"/>
      <c r="GKD29" s="138"/>
      <c r="GKE29" s="138"/>
      <c r="GKF29" s="138"/>
      <c r="GKG29" s="138"/>
      <c r="GKH29" s="138"/>
      <c r="GKI29" s="138"/>
      <c r="GKJ29" s="138"/>
      <c r="GKK29" s="138"/>
      <c r="GKL29" s="138"/>
      <c r="GKM29" s="138"/>
      <c r="GKN29" s="138"/>
      <c r="GKO29" s="138"/>
      <c r="GKP29" s="138"/>
      <c r="GKQ29" s="138"/>
      <c r="GKR29" s="138"/>
      <c r="GKS29" s="138"/>
      <c r="GKT29" s="138"/>
      <c r="GKU29" s="138"/>
      <c r="GKV29" s="138"/>
      <c r="GKW29" s="138"/>
      <c r="GKX29" s="138"/>
      <c r="GKY29" s="138"/>
      <c r="GKZ29" s="138"/>
      <c r="GLA29" s="138"/>
      <c r="GLB29" s="138"/>
      <c r="GLC29" s="138"/>
      <c r="GLD29" s="138"/>
      <c r="GLE29" s="138"/>
      <c r="GLF29" s="138"/>
      <c r="GLG29" s="138"/>
      <c r="GLH29" s="138"/>
      <c r="GLI29" s="138"/>
      <c r="GLJ29" s="138"/>
      <c r="GLK29" s="138"/>
      <c r="GLL29" s="138"/>
      <c r="GLM29" s="138"/>
      <c r="GLN29" s="138"/>
      <c r="GLO29" s="138"/>
      <c r="GLP29" s="138"/>
      <c r="GLQ29" s="138"/>
      <c r="GLR29" s="138"/>
      <c r="GLS29" s="138"/>
      <c r="GLT29" s="138"/>
      <c r="GLU29" s="138"/>
      <c r="GLV29" s="138"/>
      <c r="GLW29" s="138"/>
      <c r="GLX29" s="138"/>
      <c r="GLY29" s="138"/>
      <c r="GLZ29" s="138"/>
      <c r="GMA29" s="138"/>
      <c r="GMB29" s="138"/>
      <c r="GMC29" s="138"/>
      <c r="GMD29" s="138"/>
      <c r="GME29" s="138"/>
      <c r="GMF29" s="138"/>
      <c r="GMG29" s="138"/>
      <c r="GMH29" s="138"/>
      <c r="GMI29" s="138"/>
      <c r="GMJ29" s="138"/>
      <c r="GMK29" s="138"/>
      <c r="GML29" s="138"/>
      <c r="GMM29" s="138"/>
      <c r="GMN29" s="138"/>
      <c r="GMO29" s="138"/>
      <c r="GMP29" s="138"/>
      <c r="GMQ29" s="138"/>
      <c r="GMR29" s="138"/>
      <c r="GMS29" s="138"/>
      <c r="GMT29" s="138"/>
      <c r="GMU29" s="138"/>
      <c r="GMV29" s="138"/>
      <c r="GMW29" s="138"/>
      <c r="GMX29" s="138"/>
      <c r="GMY29" s="138"/>
      <c r="GMZ29" s="138"/>
      <c r="GNA29" s="138"/>
      <c r="GNB29" s="138"/>
      <c r="GNC29" s="138"/>
      <c r="GND29" s="138"/>
      <c r="GNE29" s="138"/>
      <c r="GNF29" s="138"/>
      <c r="GNG29" s="138"/>
      <c r="GNH29" s="138"/>
      <c r="GNI29" s="138"/>
      <c r="GNJ29" s="138"/>
      <c r="GNK29" s="138"/>
      <c r="GNL29" s="138"/>
      <c r="GNM29" s="138"/>
      <c r="GNN29" s="138"/>
      <c r="GNO29" s="138"/>
      <c r="GNP29" s="138"/>
      <c r="GNQ29" s="138"/>
      <c r="GNR29" s="138"/>
      <c r="GNS29" s="138"/>
      <c r="GNT29" s="138"/>
      <c r="GNU29" s="138"/>
      <c r="GNV29" s="138"/>
      <c r="GNW29" s="138"/>
      <c r="GNX29" s="138"/>
      <c r="GNY29" s="138"/>
      <c r="GNZ29" s="138"/>
      <c r="GOA29" s="138"/>
      <c r="GOB29" s="138"/>
      <c r="GOC29" s="138"/>
      <c r="GOD29" s="138"/>
      <c r="GOE29" s="138"/>
      <c r="GOF29" s="138"/>
      <c r="GOG29" s="138"/>
      <c r="GOH29" s="138"/>
      <c r="GOI29" s="138"/>
      <c r="GOJ29" s="138"/>
      <c r="GOK29" s="138"/>
      <c r="GOL29" s="138"/>
      <c r="GOM29" s="138"/>
      <c r="GON29" s="138"/>
      <c r="GOO29" s="138"/>
      <c r="GOP29" s="138"/>
      <c r="GOQ29" s="138"/>
      <c r="GOR29" s="138"/>
      <c r="GOS29" s="138"/>
      <c r="GOT29" s="138"/>
      <c r="GOU29" s="138"/>
      <c r="GOV29" s="138"/>
      <c r="GOW29" s="138"/>
      <c r="GOX29" s="138"/>
      <c r="GOY29" s="138"/>
      <c r="GOZ29" s="138"/>
      <c r="GPA29" s="138"/>
      <c r="GPB29" s="138"/>
      <c r="GPC29" s="138"/>
      <c r="GPD29" s="138"/>
      <c r="GPE29" s="138"/>
      <c r="GPF29" s="138"/>
      <c r="GPG29" s="138"/>
      <c r="GPH29" s="138"/>
      <c r="GPI29" s="138"/>
      <c r="GPJ29" s="138"/>
      <c r="GPK29" s="138"/>
      <c r="GPL29" s="138"/>
      <c r="GPM29" s="138"/>
      <c r="GPN29" s="138"/>
      <c r="GPO29" s="138"/>
      <c r="GPP29" s="138"/>
      <c r="GPQ29" s="138"/>
      <c r="GPR29" s="138"/>
      <c r="GPS29" s="138"/>
      <c r="GPT29" s="138"/>
      <c r="GPU29" s="138"/>
      <c r="GPV29" s="138"/>
      <c r="GPW29" s="138"/>
      <c r="GPX29" s="138"/>
      <c r="GPY29" s="138"/>
      <c r="GPZ29" s="138"/>
      <c r="GQA29" s="138"/>
      <c r="GQB29" s="138"/>
      <c r="GQC29" s="138"/>
      <c r="GQD29" s="138"/>
      <c r="GQE29" s="138"/>
      <c r="GQF29" s="138"/>
      <c r="GQG29" s="138"/>
      <c r="GQH29" s="138"/>
      <c r="GQI29" s="138"/>
      <c r="GQJ29" s="138"/>
      <c r="GQK29" s="138"/>
      <c r="GQL29" s="138"/>
      <c r="GQM29" s="138"/>
      <c r="GQN29" s="138"/>
      <c r="GQO29" s="138"/>
      <c r="GQP29" s="138"/>
      <c r="GQQ29" s="138"/>
      <c r="GQR29" s="138"/>
      <c r="GQS29" s="138"/>
      <c r="GQT29" s="138"/>
      <c r="GQU29" s="138"/>
      <c r="GQV29" s="138"/>
      <c r="GQW29" s="138"/>
      <c r="GQX29" s="138"/>
      <c r="GQY29" s="138"/>
      <c r="GQZ29" s="138"/>
      <c r="GRA29" s="138"/>
      <c r="GRB29" s="138"/>
      <c r="GRC29" s="138"/>
      <c r="GRD29" s="138"/>
      <c r="GRE29" s="138"/>
      <c r="GRF29" s="138"/>
      <c r="GRG29" s="138"/>
      <c r="GRH29" s="138"/>
      <c r="GRI29" s="138"/>
      <c r="GRJ29" s="138"/>
      <c r="GRK29" s="138"/>
      <c r="GRL29" s="138"/>
      <c r="GRM29" s="138"/>
      <c r="GRN29" s="138"/>
      <c r="GRO29" s="138"/>
      <c r="GRP29" s="138"/>
      <c r="GRQ29" s="138"/>
      <c r="GRR29" s="138"/>
      <c r="GRS29" s="138"/>
      <c r="GRT29" s="138"/>
      <c r="GRU29" s="138"/>
      <c r="GRV29" s="138"/>
      <c r="GRW29" s="138"/>
      <c r="GRX29" s="138"/>
      <c r="GRY29" s="138"/>
      <c r="GRZ29" s="138"/>
      <c r="GSA29" s="138"/>
      <c r="GSB29" s="138"/>
      <c r="GSC29" s="138"/>
      <c r="GSD29" s="138"/>
      <c r="GSE29" s="138"/>
      <c r="GSF29" s="138"/>
      <c r="GSG29" s="138"/>
      <c r="GSH29" s="138"/>
      <c r="GSI29" s="138"/>
      <c r="GSJ29" s="138"/>
      <c r="GSK29" s="138"/>
      <c r="GSL29" s="138"/>
      <c r="GSM29" s="138"/>
      <c r="GSN29" s="138"/>
      <c r="GSO29" s="138"/>
      <c r="GSP29" s="138"/>
      <c r="GSQ29" s="138"/>
      <c r="GSR29" s="138"/>
      <c r="GSS29" s="138"/>
      <c r="GST29" s="138"/>
      <c r="GSU29" s="138"/>
      <c r="GSV29" s="138"/>
      <c r="GSW29" s="138"/>
      <c r="GSX29" s="138"/>
      <c r="GSY29" s="138"/>
      <c r="GSZ29" s="138"/>
      <c r="GTA29" s="138"/>
      <c r="GTB29" s="138"/>
      <c r="GTC29" s="138"/>
      <c r="GTD29" s="138"/>
      <c r="GTE29" s="138"/>
      <c r="GTF29" s="138"/>
      <c r="GTG29" s="138"/>
      <c r="GTH29" s="138"/>
      <c r="GTI29" s="138"/>
      <c r="GTJ29" s="138"/>
      <c r="GTK29" s="138"/>
      <c r="GTL29" s="138"/>
      <c r="GTM29" s="138"/>
      <c r="GTN29" s="138"/>
      <c r="GTO29" s="138"/>
      <c r="GTP29" s="138"/>
      <c r="GTQ29" s="138"/>
      <c r="GTR29" s="138"/>
      <c r="GTS29" s="138"/>
      <c r="GTT29" s="138"/>
      <c r="GTU29" s="138"/>
      <c r="GTV29" s="138"/>
      <c r="GTW29" s="138"/>
      <c r="GTX29" s="138"/>
      <c r="GTY29" s="138"/>
      <c r="GTZ29" s="138"/>
      <c r="GUA29" s="138"/>
      <c r="GUB29" s="138"/>
      <c r="GUC29" s="138"/>
      <c r="GUD29" s="138"/>
      <c r="GUE29" s="138"/>
      <c r="GUF29" s="138"/>
      <c r="GUG29" s="138"/>
      <c r="GUH29" s="138"/>
      <c r="GUI29" s="138"/>
      <c r="GUJ29" s="138"/>
      <c r="GUK29" s="138"/>
      <c r="GUL29" s="138"/>
      <c r="GUM29" s="138"/>
      <c r="GUN29" s="138"/>
      <c r="GUO29" s="138"/>
      <c r="GUP29" s="138"/>
      <c r="GUQ29" s="138"/>
      <c r="GUR29" s="138"/>
      <c r="GUS29" s="138"/>
      <c r="GUT29" s="138"/>
      <c r="GUU29" s="138"/>
      <c r="GUV29" s="138"/>
      <c r="GUW29" s="138"/>
      <c r="GUX29" s="138"/>
      <c r="GUY29" s="138"/>
      <c r="GUZ29" s="138"/>
      <c r="GVA29" s="138"/>
      <c r="GVB29" s="138"/>
      <c r="GVC29" s="138"/>
      <c r="GVD29" s="138"/>
      <c r="GVE29" s="138"/>
      <c r="GVF29" s="138"/>
      <c r="GVG29" s="138"/>
      <c r="GVH29" s="138"/>
      <c r="GVI29" s="138"/>
      <c r="GVJ29" s="138"/>
      <c r="GVK29" s="138"/>
      <c r="GVL29" s="138"/>
      <c r="GVM29" s="138"/>
      <c r="GVN29" s="138"/>
      <c r="GVO29" s="138"/>
      <c r="GVP29" s="138"/>
      <c r="GVQ29" s="138"/>
      <c r="GVR29" s="138"/>
      <c r="GVS29" s="138"/>
      <c r="GVT29" s="138"/>
      <c r="GVU29" s="138"/>
      <c r="GVV29" s="138"/>
      <c r="GVW29" s="138"/>
      <c r="GVX29" s="138"/>
      <c r="GVY29" s="138"/>
      <c r="GVZ29" s="138"/>
      <c r="GWA29" s="138"/>
      <c r="GWB29" s="138"/>
      <c r="GWC29" s="138"/>
      <c r="GWD29" s="138"/>
      <c r="GWE29" s="138"/>
      <c r="GWF29" s="138"/>
      <c r="GWG29" s="138"/>
      <c r="GWH29" s="138"/>
      <c r="GWI29" s="138"/>
      <c r="GWJ29" s="138"/>
      <c r="GWK29" s="138"/>
      <c r="GWL29" s="138"/>
      <c r="GWM29" s="138"/>
      <c r="GWN29" s="138"/>
      <c r="GWO29" s="138"/>
      <c r="GWP29" s="138"/>
      <c r="GWQ29" s="138"/>
      <c r="GWR29" s="138"/>
      <c r="GWS29" s="138"/>
      <c r="GWT29" s="138"/>
      <c r="GWU29" s="138"/>
      <c r="GWV29" s="138"/>
      <c r="GWW29" s="138"/>
      <c r="GWX29" s="138"/>
      <c r="GWY29" s="138"/>
      <c r="GWZ29" s="138"/>
      <c r="GXA29" s="138"/>
      <c r="GXB29" s="138"/>
      <c r="GXC29" s="138"/>
      <c r="GXD29" s="138"/>
      <c r="GXE29" s="138"/>
      <c r="GXF29" s="138"/>
      <c r="GXG29" s="138"/>
      <c r="GXH29" s="138"/>
      <c r="GXI29" s="138"/>
      <c r="GXJ29" s="138"/>
      <c r="GXK29" s="138"/>
      <c r="GXL29" s="138"/>
      <c r="GXM29" s="138"/>
      <c r="GXN29" s="138"/>
      <c r="GXO29" s="138"/>
      <c r="GXP29" s="138"/>
      <c r="GXQ29" s="138"/>
      <c r="GXR29" s="138"/>
      <c r="GXS29" s="138"/>
      <c r="GXT29" s="138"/>
      <c r="GXU29" s="138"/>
      <c r="GXV29" s="138"/>
      <c r="GXW29" s="138"/>
      <c r="GXX29" s="138"/>
      <c r="GXY29" s="138"/>
      <c r="GXZ29" s="138"/>
      <c r="GYA29" s="138"/>
      <c r="GYB29" s="138"/>
      <c r="GYC29" s="138"/>
      <c r="GYD29" s="138"/>
      <c r="GYE29" s="138"/>
      <c r="GYF29" s="138"/>
      <c r="GYG29" s="138"/>
      <c r="GYH29" s="138"/>
      <c r="GYI29" s="138"/>
      <c r="GYJ29" s="138"/>
      <c r="GYK29" s="138"/>
      <c r="GYL29" s="138"/>
      <c r="GYM29" s="138"/>
      <c r="GYN29" s="138"/>
      <c r="GYO29" s="138"/>
      <c r="GYP29" s="138"/>
      <c r="GYQ29" s="138"/>
      <c r="GYR29" s="138"/>
      <c r="GYS29" s="138"/>
      <c r="GYT29" s="138"/>
      <c r="GYU29" s="138"/>
      <c r="GYV29" s="138"/>
      <c r="GYW29" s="138"/>
      <c r="GYX29" s="138"/>
      <c r="GYY29" s="138"/>
      <c r="GYZ29" s="138"/>
      <c r="GZA29" s="138"/>
      <c r="GZB29" s="138"/>
      <c r="GZC29" s="138"/>
      <c r="GZD29" s="138"/>
      <c r="GZE29" s="138"/>
      <c r="GZF29" s="138"/>
      <c r="GZG29" s="138"/>
      <c r="GZH29" s="138"/>
      <c r="GZI29" s="138"/>
      <c r="GZJ29" s="138"/>
      <c r="GZK29" s="138"/>
      <c r="GZL29" s="138"/>
      <c r="GZM29" s="138"/>
      <c r="GZN29" s="138"/>
      <c r="GZO29" s="138"/>
      <c r="GZP29" s="138"/>
      <c r="GZQ29" s="138"/>
      <c r="GZR29" s="138"/>
      <c r="GZS29" s="138"/>
      <c r="GZT29" s="138"/>
      <c r="GZU29" s="138"/>
      <c r="GZV29" s="138"/>
      <c r="GZW29" s="138"/>
      <c r="GZX29" s="138"/>
      <c r="GZY29" s="138"/>
      <c r="GZZ29" s="138"/>
      <c r="HAA29" s="138"/>
      <c r="HAB29" s="138"/>
      <c r="HAC29" s="138"/>
      <c r="HAD29" s="138"/>
      <c r="HAE29" s="138"/>
      <c r="HAF29" s="138"/>
      <c r="HAG29" s="138"/>
      <c r="HAH29" s="138"/>
      <c r="HAI29" s="138"/>
      <c r="HAJ29" s="138"/>
      <c r="HAK29" s="138"/>
      <c r="HAL29" s="138"/>
      <c r="HAM29" s="138"/>
      <c r="HAN29" s="138"/>
      <c r="HAO29" s="138"/>
      <c r="HAP29" s="138"/>
      <c r="HAQ29" s="138"/>
      <c r="HAR29" s="138"/>
      <c r="HAS29" s="138"/>
      <c r="HAT29" s="138"/>
      <c r="HAU29" s="138"/>
      <c r="HAV29" s="138"/>
      <c r="HAW29" s="138"/>
      <c r="HAX29" s="138"/>
      <c r="HAY29" s="138"/>
      <c r="HAZ29" s="138"/>
      <c r="HBA29" s="138"/>
      <c r="HBB29" s="138"/>
      <c r="HBC29" s="138"/>
      <c r="HBD29" s="138"/>
      <c r="HBE29" s="138"/>
      <c r="HBF29" s="138"/>
      <c r="HBG29" s="138"/>
      <c r="HBH29" s="138"/>
      <c r="HBI29" s="138"/>
      <c r="HBJ29" s="138"/>
      <c r="HBK29" s="138"/>
      <c r="HBL29" s="138"/>
      <c r="HBM29" s="138"/>
      <c r="HBN29" s="138"/>
      <c r="HBO29" s="138"/>
      <c r="HBP29" s="138"/>
      <c r="HBQ29" s="138"/>
      <c r="HBR29" s="138"/>
      <c r="HBS29" s="138"/>
      <c r="HBT29" s="138"/>
      <c r="HBU29" s="138"/>
      <c r="HBV29" s="138"/>
      <c r="HBW29" s="138"/>
      <c r="HBX29" s="138"/>
      <c r="HBY29" s="138"/>
      <c r="HBZ29" s="138"/>
      <c r="HCA29" s="138"/>
      <c r="HCB29" s="138"/>
      <c r="HCC29" s="138"/>
      <c r="HCD29" s="138"/>
      <c r="HCE29" s="138"/>
      <c r="HCF29" s="138"/>
      <c r="HCG29" s="138"/>
      <c r="HCH29" s="138"/>
      <c r="HCI29" s="138"/>
      <c r="HCJ29" s="138"/>
      <c r="HCK29" s="138"/>
      <c r="HCL29" s="138"/>
      <c r="HCM29" s="138"/>
      <c r="HCN29" s="138"/>
      <c r="HCO29" s="138"/>
      <c r="HCP29" s="138"/>
      <c r="HCQ29" s="138"/>
      <c r="HCR29" s="138"/>
      <c r="HCS29" s="138"/>
      <c r="HCT29" s="138"/>
      <c r="HCU29" s="138"/>
      <c r="HCV29" s="138"/>
      <c r="HCW29" s="138"/>
      <c r="HCX29" s="138"/>
      <c r="HCY29" s="138"/>
      <c r="HCZ29" s="138"/>
      <c r="HDA29" s="138"/>
      <c r="HDB29" s="138"/>
      <c r="HDC29" s="138"/>
      <c r="HDD29" s="138"/>
      <c r="HDE29" s="138"/>
      <c r="HDF29" s="138"/>
      <c r="HDG29" s="138"/>
      <c r="HDH29" s="138"/>
      <c r="HDI29" s="138"/>
      <c r="HDJ29" s="138"/>
      <c r="HDK29" s="138"/>
      <c r="HDL29" s="138"/>
      <c r="HDM29" s="138"/>
      <c r="HDN29" s="138"/>
      <c r="HDO29" s="138"/>
      <c r="HDP29" s="138"/>
      <c r="HDQ29" s="138"/>
      <c r="HDR29" s="138"/>
      <c r="HDS29" s="138"/>
      <c r="HDT29" s="138"/>
      <c r="HDU29" s="138"/>
      <c r="HDV29" s="138"/>
      <c r="HDW29" s="138"/>
      <c r="HDX29" s="138"/>
      <c r="HDY29" s="138"/>
      <c r="HDZ29" s="138"/>
      <c r="HEA29" s="138"/>
      <c r="HEB29" s="138"/>
      <c r="HEC29" s="138"/>
      <c r="HED29" s="138"/>
      <c r="HEE29" s="138"/>
      <c r="HEF29" s="138"/>
      <c r="HEG29" s="138"/>
      <c r="HEH29" s="138"/>
      <c r="HEI29" s="138"/>
      <c r="HEJ29" s="138"/>
      <c r="HEK29" s="138"/>
      <c r="HEL29" s="138"/>
      <c r="HEM29" s="138"/>
      <c r="HEN29" s="138"/>
      <c r="HEO29" s="138"/>
      <c r="HEP29" s="138"/>
      <c r="HEQ29" s="138"/>
      <c r="HER29" s="138"/>
      <c r="HES29" s="138"/>
      <c r="HET29" s="138"/>
      <c r="HEU29" s="138"/>
      <c r="HEV29" s="138"/>
      <c r="HEW29" s="138"/>
      <c r="HEX29" s="138"/>
      <c r="HEY29" s="138"/>
      <c r="HEZ29" s="138"/>
      <c r="HFA29" s="138"/>
      <c r="HFB29" s="138"/>
      <c r="HFC29" s="138"/>
      <c r="HFD29" s="138"/>
      <c r="HFE29" s="138"/>
      <c r="HFF29" s="138"/>
      <c r="HFG29" s="138"/>
      <c r="HFH29" s="138"/>
      <c r="HFI29" s="138"/>
      <c r="HFJ29" s="138"/>
      <c r="HFK29" s="138"/>
      <c r="HFL29" s="138"/>
      <c r="HFM29" s="138"/>
      <c r="HFN29" s="138"/>
      <c r="HFO29" s="138"/>
      <c r="HFP29" s="138"/>
      <c r="HFQ29" s="138"/>
      <c r="HFR29" s="138"/>
      <c r="HFS29" s="138"/>
      <c r="HFT29" s="138"/>
      <c r="HFU29" s="138"/>
      <c r="HFV29" s="138"/>
      <c r="HFW29" s="138"/>
      <c r="HFX29" s="138"/>
      <c r="HFY29" s="138"/>
      <c r="HFZ29" s="138"/>
      <c r="HGA29" s="138"/>
      <c r="HGB29" s="138"/>
      <c r="HGC29" s="138"/>
      <c r="HGD29" s="138"/>
      <c r="HGE29" s="138"/>
      <c r="HGF29" s="138"/>
      <c r="HGG29" s="138"/>
      <c r="HGH29" s="138"/>
      <c r="HGI29" s="138"/>
      <c r="HGJ29" s="138"/>
      <c r="HGK29" s="138"/>
      <c r="HGL29" s="138"/>
      <c r="HGM29" s="138"/>
      <c r="HGN29" s="138"/>
      <c r="HGO29" s="138"/>
      <c r="HGP29" s="138"/>
      <c r="HGQ29" s="138"/>
      <c r="HGR29" s="138"/>
      <c r="HGS29" s="138"/>
      <c r="HGT29" s="138"/>
      <c r="HGU29" s="138"/>
      <c r="HGV29" s="138"/>
      <c r="HGW29" s="138"/>
      <c r="HGX29" s="138"/>
      <c r="HGY29" s="138"/>
      <c r="HGZ29" s="138"/>
      <c r="HHA29" s="138"/>
      <c r="HHB29" s="138"/>
      <c r="HHC29" s="138"/>
      <c r="HHD29" s="138"/>
      <c r="HHE29" s="138"/>
      <c r="HHF29" s="138"/>
      <c r="HHG29" s="138"/>
      <c r="HHH29" s="138"/>
      <c r="HHI29" s="138"/>
      <c r="HHJ29" s="138"/>
      <c r="HHK29" s="138"/>
      <c r="HHL29" s="138"/>
      <c r="HHM29" s="138"/>
      <c r="HHN29" s="138"/>
      <c r="HHO29" s="138"/>
      <c r="HHP29" s="138"/>
      <c r="HHQ29" s="138"/>
      <c r="HHR29" s="138"/>
      <c r="HHS29" s="138"/>
      <c r="HHT29" s="138"/>
      <c r="HHU29" s="138"/>
      <c r="HHV29" s="138"/>
      <c r="HHW29" s="138"/>
      <c r="HHX29" s="138"/>
      <c r="HHY29" s="138"/>
      <c r="HHZ29" s="138"/>
      <c r="HIA29" s="138"/>
      <c r="HIB29" s="138"/>
      <c r="HIC29" s="138"/>
      <c r="HID29" s="138"/>
      <c r="HIE29" s="138"/>
      <c r="HIF29" s="138"/>
      <c r="HIG29" s="138"/>
      <c r="HIH29" s="138"/>
      <c r="HII29" s="138"/>
      <c r="HIJ29" s="138"/>
      <c r="HIK29" s="138"/>
      <c r="HIL29" s="138"/>
      <c r="HIM29" s="138"/>
      <c r="HIN29" s="138"/>
      <c r="HIO29" s="138"/>
      <c r="HIP29" s="138"/>
      <c r="HIQ29" s="138"/>
      <c r="HIR29" s="138"/>
      <c r="HIS29" s="138"/>
      <c r="HIT29" s="138"/>
      <c r="HIU29" s="138"/>
      <c r="HIV29" s="138"/>
      <c r="HIW29" s="138"/>
      <c r="HIX29" s="138"/>
      <c r="HIY29" s="138"/>
      <c r="HIZ29" s="138"/>
      <c r="HJA29" s="138"/>
      <c r="HJB29" s="138"/>
      <c r="HJC29" s="138"/>
      <c r="HJD29" s="138"/>
      <c r="HJE29" s="138"/>
      <c r="HJF29" s="138"/>
      <c r="HJG29" s="138"/>
      <c r="HJH29" s="138"/>
      <c r="HJI29" s="138"/>
      <c r="HJJ29" s="138"/>
      <c r="HJK29" s="138"/>
      <c r="HJL29" s="138"/>
      <c r="HJM29" s="138"/>
      <c r="HJN29" s="138"/>
      <c r="HJO29" s="138"/>
      <c r="HJP29" s="138"/>
      <c r="HJQ29" s="138"/>
      <c r="HJR29" s="138"/>
      <c r="HJS29" s="138"/>
      <c r="HJT29" s="138"/>
      <c r="HJU29" s="138"/>
      <c r="HJV29" s="138"/>
      <c r="HJW29" s="138"/>
      <c r="HJX29" s="138"/>
      <c r="HJY29" s="138"/>
      <c r="HJZ29" s="138"/>
      <c r="HKA29" s="138"/>
      <c r="HKB29" s="138"/>
      <c r="HKC29" s="138"/>
      <c r="HKD29" s="138"/>
      <c r="HKE29" s="138"/>
      <c r="HKF29" s="138"/>
      <c r="HKG29" s="138"/>
      <c r="HKH29" s="138"/>
      <c r="HKI29" s="138"/>
      <c r="HKJ29" s="138"/>
      <c r="HKK29" s="138"/>
      <c r="HKL29" s="138"/>
      <c r="HKM29" s="138"/>
      <c r="HKN29" s="138"/>
      <c r="HKO29" s="138"/>
      <c r="HKP29" s="138"/>
      <c r="HKQ29" s="138"/>
      <c r="HKR29" s="138"/>
      <c r="HKS29" s="138"/>
      <c r="HKT29" s="138"/>
      <c r="HKU29" s="138"/>
      <c r="HKV29" s="138"/>
      <c r="HKW29" s="138"/>
      <c r="HKX29" s="138"/>
      <c r="HKY29" s="138"/>
      <c r="HKZ29" s="138"/>
      <c r="HLA29" s="138"/>
      <c r="HLB29" s="138"/>
      <c r="HLC29" s="138"/>
      <c r="HLD29" s="138"/>
      <c r="HLE29" s="138"/>
      <c r="HLF29" s="138"/>
      <c r="HLG29" s="138"/>
      <c r="HLH29" s="138"/>
      <c r="HLI29" s="138"/>
      <c r="HLJ29" s="138"/>
      <c r="HLK29" s="138"/>
      <c r="HLL29" s="138"/>
      <c r="HLM29" s="138"/>
      <c r="HLN29" s="138"/>
      <c r="HLO29" s="138"/>
      <c r="HLP29" s="138"/>
      <c r="HLQ29" s="138"/>
      <c r="HLR29" s="138"/>
      <c r="HLS29" s="138"/>
      <c r="HLT29" s="138"/>
      <c r="HLU29" s="138"/>
      <c r="HLV29" s="138"/>
      <c r="HLW29" s="138"/>
      <c r="HLX29" s="138"/>
      <c r="HLY29" s="138"/>
      <c r="HLZ29" s="138"/>
      <c r="HMA29" s="138"/>
      <c r="HMB29" s="138"/>
      <c r="HMC29" s="138"/>
      <c r="HMD29" s="138"/>
      <c r="HME29" s="138"/>
      <c r="HMF29" s="138"/>
      <c r="HMG29" s="138"/>
      <c r="HMH29" s="138"/>
      <c r="HMI29" s="138"/>
      <c r="HMJ29" s="138"/>
      <c r="HMK29" s="138"/>
      <c r="HML29" s="138"/>
      <c r="HMM29" s="138"/>
      <c r="HMN29" s="138"/>
      <c r="HMO29" s="138"/>
      <c r="HMP29" s="138"/>
      <c r="HMQ29" s="138"/>
      <c r="HMR29" s="138"/>
      <c r="HMS29" s="138"/>
      <c r="HMT29" s="138"/>
      <c r="HMU29" s="138"/>
      <c r="HMV29" s="138"/>
      <c r="HMW29" s="138"/>
      <c r="HMX29" s="138"/>
      <c r="HMY29" s="138"/>
      <c r="HMZ29" s="138"/>
      <c r="HNA29" s="138"/>
      <c r="HNB29" s="138"/>
      <c r="HNC29" s="138"/>
      <c r="HND29" s="138"/>
      <c r="HNE29" s="138"/>
      <c r="HNF29" s="138"/>
      <c r="HNG29" s="138"/>
      <c r="HNH29" s="138"/>
      <c r="HNI29" s="138"/>
      <c r="HNJ29" s="138"/>
      <c r="HNK29" s="138"/>
      <c r="HNL29" s="138"/>
      <c r="HNM29" s="138"/>
      <c r="HNN29" s="138"/>
      <c r="HNO29" s="138"/>
      <c r="HNP29" s="138"/>
      <c r="HNQ29" s="138"/>
      <c r="HNR29" s="138"/>
      <c r="HNS29" s="138"/>
      <c r="HNT29" s="138"/>
      <c r="HNU29" s="138"/>
      <c r="HNV29" s="138"/>
      <c r="HNW29" s="138"/>
      <c r="HNX29" s="138"/>
      <c r="HNY29" s="138"/>
      <c r="HNZ29" s="138"/>
      <c r="HOA29" s="138"/>
      <c r="HOB29" s="138"/>
      <c r="HOC29" s="138"/>
      <c r="HOD29" s="138"/>
      <c r="HOE29" s="138"/>
      <c r="HOF29" s="138"/>
      <c r="HOG29" s="138"/>
      <c r="HOH29" s="138"/>
      <c r="HOI29" s="138"/>
      <c r="HOJ29" s="138"/>
      <c r="HOK29" s="138"/>
      <c r="HOL29" s="138"/>
      <c r="HOM29" s="138"/>
      <c r="HON29" s="138"/>
      <c r="HOO29" s="138"/>
      <c r="HOP29" s="138"/>
      <c r="HOQ29" s="138"/>
      <c r="HOR29" s="138"/>
      <c r="HOS29" s="138"/>
      <c r="HOT29" s="138"/>
      <c r="HOU29" s="138"/>
      <c r="HOV29" s="138"/>
      <c r="HOW29" s="138"/>
      <c r="HOX29" s="138"/>
      <c r="HOY29" s="138"/>
      <c r="HOZ29" s="138"/>
      <c r="HPA29" s="138"/>
      <c r="HPB29" s="138"/>
      <c r="HPC29" s="138"/>
      <c r="HPD29" s="138"/>
      <c r="HPE29" s="138"/>
      <c r="HPF29" s="138"/>
      <c r="HPG29" s="138"/>
      <c r="HPH29" s="138"/>
      <c r="HPI29" s="138"/>
      <c r="HPJ29" s="138"/>
      <c r="HPK29" s="138"/>
      <c r="HPL29" s="138"/>
      <c r="HPM29" s="138"/>
      <c r="HPN29" s="138"/>
      <c r="HPO29" s="138"/>
      <c r="HPP29" s="138"/>
      <c r="HPQ29" s="138"/>
      <c r="HPR29" s="138"/>
      <c r="HPS29" s="138"/>
      <c r="HPT29" s="138"/>
      <c r="HPU29" s="138"/>
      <c r="HPV29" s="138"/>
      <c r="HPW29" s="138"/>
      <c r="HPX29" s="138"/>
      <c r="HPY29" s="138"/>
      <c r="HPZ29" s="138"/>
      <c r="HQA29" s="138"/>
      <c r="HQB29" s="138"/>
      <c r="HQC29" s="138"/>
      <c r="HQD29" s="138"/>
      <c r="HQE29" s="138"/>
      <c r="HQF29" s="138"/>
      <c r="HQG29" s="138"/>
      <c r="HQH29" s="138"/>
      <c r="HQI29" s="138"/>
      <c r="HQJ29" s="138"/>
      <c r="HQK29" s="138"/>
      <c r="HQL29" s="138"/>
      <c r="HQM29" s="138"/>
      <c r="HQN29" s="138"/>
      <c r="HQO29" s="138"/>
      <c r="HQP29" s="138"/>
      <c r="HQQ29" s="138"/>
      <c r="HQR29" s="138"/>
      <c r="HQS29" s="138"/>
      <c r="HQT29" s="138"/>
      <c r="HQU29" s="138"/>
      <c r="HQV29" s="138"/>
      <c r="HQW29" s="138"/>
      <c r="HQX29" s="138"/>
      <c r="HQY29" s="138"/>
      <c r="HQZ29" s="138"/>
      <c r="HRA29" s="138"/>
      <c r="HRB29" s="138"/>
      <c r="HRC29" s="138"/>
      <c r="HRD29" s="138"/>
      <c r="HRE29" s="138"/>
      <c r="HRF29" s="138"/>
      <c r="HRG29" s="138"/>
      <c r="HRH29" s="138"/>
      <c r="HRI29" s="138"/>
      <c r="HRJ29" s="138"/>
      <c r="HRK29" s="138"/>
      <c r="HRL29" s="138"/>
      <c r="HRM29" s="138"/>
      <c r="HRN29" s="138"/>
      <c r="HRO29" s="138"/>
      <c r="HRP29" s="138"/>
      <c r="HRQ29" s="138"/>
      <c r="HRR29" s="138"/>
      <c r="HRS29" s="138"/>
      <c r="HRT29" s="138"/>
      <c r="HRU29" s="138"/>
      <c r="HRV29" s="138"/>
      <c r="HRW29" s="138"/>
      <c r="HRX29" s="138"/>
      <c r="HRY29" s="138"/>
      <c r="HRZ29" s="138"/>
      <c r="HSA29" s="138"/>
      <c r="HSB29" s="138"/>
      <c r="HSC29" s="138"/>
      <c r="HSD29" s="138"/>
      <c r="HSE29" s="138"/>
      <c r="HSF29" s="138"/>
      <c r="HSG29" s="138"/>
      <c r="HSH29" s="138"/>
      <c r="HSI29" s="138"/>
      <c r="HSJ29" s="138"/>
      <c r="HSK29" s="138"/>
      <c r="HSL29" s="138"/>
      <c r="HSM29" s="138"/>
      <c r="HSN29" s="138"/>
      <c r="HSO29" s="138"/>
      <c r="HSP29" s="138"/>
      <c r="HSQ29" s="138"/>
      <c r="HSR29" s="138"/>
      <c r="HSS29" s="138"/>
      <c r="HST29" s="138"/>
      <c r="HSU29" s="138"/>
      <c r="HSV29" s="138"/>
      <c r="HSW29" s="138"/>
      <c r="HSX29" s="138"/>
      <c r="HSY29" s="138"/>
      <c r="HSZ29" s="138"/>
      <c r="HTA29" s="138"/>
      <c r="HTB29" s="138"/>
      <c r="HTC29" s="138"/>
      <c r="HTD29" s="138"/>
      <c r="HTE29" s="138"/>
      <c r="HTF29" s="138"/>
      <c r="HTG29" s="138"/>
      <c r="HTH29" s="138"/>
      <c r="HTI29" s="138"/>
      <c r="HTJ29" s="138"/>
      <c r="HTK29" s="138"/>
      <c r="HTL29" s="138"/>
      <c r="HTM29" s="138"/>
      <c r="HTN29" s="138"/>
      <c r="HTO29" s="138"/>
      <c r="HTP29" s="138"/>
      <c r="HTQ29" s="138"/>
      <c r="HTR29" s="138"/>
      <c r="HTS29" s="138"/>
      <c r="HTT29" s="138"/>
      <c r="HTU29" s="138"/>
      <c r="HTV29" s="138"/>
      <c r="HTW29" s="138"/>
      <c r="HTX29" s="138"/>
      <c r="HTY29" s="138"/>
      <c r="HTZ29" s="138"/>
      <c r="HUA29" s="138"/>
      <c r="HUB29" s="138"/>
      <c r="HUC29" s="138"/>
      <c r="HUD29" s="138"/>
      <c r="HUE29" s="138"/>
      <c r="HUF29" s="138"/>
      <c r="HUG29" s="138"/>
      <c r="HUH29" s="138"/>
      <c r="HUI29" s="138"/>
      <c r="HUJ29" s="138"/>
      <c r="HUK29" s="138"/>
      <c r="HUL29" s="138"/>
      <c r="HUM29" s="138"/>
      <c r="HUN29" s="138"/>
      <c r="HUO29" s="138"/>
      <c r="HUP29" s="138"/>
      <c r="HUQ29" s="138"/>
      <c r="HUR29" s="138"/>
      <c r="HUS29" s="138"/>
      <c r="HUT29" s="138"/>
      <c r="HUU29" s="138"/>
      <c r="HUV29" s="138"/>
      <c r="HUW29" s="138"/>
      <c r="HUX29" s="138"/>
      <c r="HUY29" s="138"/>
      <c r="HUZ29" s="138"/>
      <c r="HVA29" s="138"/>
      <c r="HVB29" s="138"/>
      <c r="HVC29" s="138"/>
      <c r="HVD29" s="138"/>
      <c r="HVE29" s="138"/>
      <c r="HVF29" s="138"/>
      <c r="HVG29" s="138"/>
      <c r="HVH29" s="138"/>
      <c r="HVI29" s="138"/>
      <c r="HVJ29" s="138"/>
      <c r="HVK29" s="138"/>
      <c r="HVL29" s="138"/>
      <c r="HVM29" s="138"/>
      <c r="HVN29" s="138"/>
      <c r="HVO29" s="138"/>
      <c r="HVP29" s="138"/>
      <c r="HVQ29" s="138"/>
      <c r="HVR29" s="138"/>
      <c r="HVS29" s="138"/>
      <c r="HVT29" s="138"/>
      <c r="HVU29" s="138"/>
      <c r="HVV29" s="138"/>
      <c r="HVW29" s="138"/>
      <c r="HVX29" s="138"/>
      <c r="HVY29" s="138"/>
      <c r="HVZ29" s="138"/>
      <c r="HWA29" s="138"/>
      <c r="HWB29" s="138"/>
      <c r="HWC29" s="138"/>
      <c r="HWD29" s="138"/>
      <c r="HWE29" s="138"/>
      <c r="HWF29" s="138"/>
      <c r="HWG29" s="138"/>
      <c r="HWH29" s="138"/>
      <c r="HWI29" s="138"/>
      <c r="HWJ29" s="138"/>
      <c r="HWK29" s="138"/>
      <c r="HWL29" s="138"/>
      <c r="HWM29" s="138"/>
      <c r="HWN29" s="138"/>
      <c r="HWO29" s="138"/>
      <c r="HWP29" s="138"/>
      <c r="HWQ29" s="138"/>
      <c r="HWR29" s="138"/>
      <c r="HWS29" s="138"/>
      <c r="HWT29" s="138"/>
      <c r="HWU29" s="138"/>
      <c r="HWV29" s="138"/>
      <c r="HWW29" s="138"/>
      <c r="HWX29" s="138"/>
      <c r="HWY29" s="138"/>
      <c r="HWZ29" s="138"/>
      <c r="HXA29" s="138"/>
      <c r="HXB29" s="138"/>
      <c r="HXC29" s="138"/>
      <c r="HXD29" s="138"/>
      <c r="HXE29" s="138"/>
      <c r="HXF29" s="138"/>
      <c r="HXG29" s="138"/>
      <c r="HXH29" s="138"/>
      <c r="HXI29" s="138"/>
      <c r="HXJ29" s="138"/>
      <c r="HXK29" s="138"/>
      <c r="HXL29" s="138"/>
      <c r="HXM29" s="138"/>
      <c r="HXN29" s="138"/>
      <c r="HXO29" s="138"/>
      <c r="HXP29" s="138"/>
      <c r="HXQ29" s="138"/>
      <c r="HXR29" s="138"/>
      <c r="HXS29" s="138"/>
      <c r="HXT29" s="138"/>
      <c r="HXU29" s="138"/>
      <c r="HXV29" s="138"/>
      <c r="HXW29" s="138"/>
      <c r="HXX29" s="138"/>
      <c r="HXY29" s="138"/>
      <c r="HXZ29" s="138"/>
      <c r="HYA29" s="138"/>
      <c r="HYB29" s="138"/>
      <c r="HYC29" s="138"/>
      <c r="HYD29" s="138"/>
      <c r="HYE29" s="138"/>
      <c r="HYF29" s="138"/>
      <c r="HYG29" s="138"/>
      <c r="HYH29" s="138"/>
      <c r="HYI29" s="138"/>
      <c r="HYJ29" s="138"/>
      <c r="HYK29" s="138"/>
      <c r="HYL29" s="138"/>
      <c r="HYM29" s="138"/>
      <c r="HYN29" s="138"/>
      <c r="HYO29" s="138"/>
      <c r="HYP29" s="138"/>
      <c r="HYQ29" s="138"/>
      <c r="HYR29" s="138"/>
      <c r="HYS29" s="138"/>
      <c r="HYT29" s="138"/>
      <c r="HYU29" s="138"/>
      <c r="HYV29" s="138"/>
      <c r="HYW29" s="138"/>
      <c r="HYX29" s="138"/>
      <c r="HYY29" s="138"/>
      <c r="HYZ29" s="138"/>
      <c r="HZA29" s="138"/>
      <c r="HZB29" s="138"/>
      <c r="HZC29" s="138"/>
      <c r="HZD29" s="138"/>
      <c r="HZE29" s="138"/>
      <c r="HZF29" s="138"/>
      <c r="HZG29" s="138"/>
      <c r="HZH29" s="138"/>
      <c r="HZI29" s="138"/>
      <c r="HZJ29" s="138"/>
      <c r="HZK29" s="138"/>
      <c r="HZL29" s="138"/>
      <c r="HZM29" s="138"/>
      <c r="HZN29" s="138"/>
      <c r="HZO29" s="138"/>
      <c r="HZP29" s="138"/>
      <c r="HZQ29" s="138"/>
      <c r="HZR29" s="138"/>
      <c r="HZS29" s="138"/>
      <c r="HZT29" s="138"/>
      <c r="HZU29" s="138"/>
      <c r="HZV29" s="138"/>
      <c r="HZW29" s="138"/>
      <c r="HZX29" s="138"/>
      <c r="HZY29" s="138"/>
      <c r="HZZ29" s="138"/>
      <c r="IAA29" s="138"/>
      <c r="IAB29" s="138"/>
      <c r="IAC29" s="138"/>
      <c r="IAD29" s="138"/>
      <c r="IAE29" s="138"/>
      <c r="IAF29" s="138"/>
      <c r="IAG29" s="138"/>
      <c r="IAH29" s="138"/>
      <c r="IAI29" s="138"/>
      <c r="IAJ29" s="138"/>
      <c r="IAK29" s="138"/>
      <c r="IAL29" s="138"/>
      <c r="IAM29" s="138"/>
      <c r="IAN29" s="138"/>
      <c r="IAO29" s="138"/>
      <c r="IAP29" s="138"/>
      <c r="IAQ29" s="138"/>
      <c r="IAR29" s="138"/>
      <c r="IAS29" s="138"/>
      <c r="IAT29" s="138"/>
      <c r="IAU29" s="138"/>
      <c r="IAV29" s="138"/>
      <c r="IAW29" s="138"/>
      <c r="IAX29" s="138"/>
      <c r="IAY29" s="138"/>
      <c r="IAZ29" s="138"/>
      <c r="IBA29" s="138"/>
      <c r="IBB29" s="138"/>
      <c r="IBC29" s="138"/>
      <c r="IBD29" s="138"/>
      <c r="IBE29" s="138"/>
      <c r="IBF29" s="138"/>
      <c r="IBG29" s="138"/>
      <c r="IBH29" s="138"/>
      <c r="IBI29" s="138"/>
      <c r="IBJ29" s="138"/>
      <c r="IBK29" s="138"/>
      <c r="IBL29" s="138"/>
      <c r="IBM29" s="138"/>
      <c r="IBN29" s="138"/>
      <c r="IBO29" s="138"/>
      <c r="IBP29" s="138"/>
      <c r="IBQ29" s="138"/>
      <c r="IBR29" s="138"/>
      <c r="IBS29" s="138"/>
      <c r="IBT29" s="138"/>
      <c r="IBU29" s="138"/>
      <c r="IBV29" s="138"/>
      <c r="IBW29" s="138"/>
      <c r="IBX29" s="138"/>
      <c r="IBY29" s="138"/>
      <c r="IBZ29" s="138"/>
      <c r="ICA29" s="138"/>
      <c r="ICB29" s="138"/>
      <c r="ICC29" s="138"/>
      <c r="ICD29" s="138"/>
      <c r="ICE29" s="138"/>
      <c r="ICF29" s="138"/>
      <c r="ICG29" s="138"/>
      <c r="ICH29" s="138"/>
      <c r="ICI29" s="138"/>
      <c r="ICJ29" s="138"/>
      <c r="ICK29" s="138"/>
      <c r="ICL29" s="138"/>
      <c r="ICM29" s="138"/>
      <c r="ICN29" s="138"/>
      <c r="ICO29" s="138"/>
      <c r="ICP29" s="138"/>
      <c r="ICQ29" s="138"/>
      <c r="ICR29" s="138"/>
      <c r="ICS29" s="138"/>
      <c r="ICT29" s="138"/>
      <c r="ICU29" s="138"/>
      <c r="ICV29" s="138"/>
      <c r="ICW29" s="138"/>
      <c r="ICX29" s="138"/>
      <c r="ICY29" s="138"/>
      <c r="ICZ29" s="138"/>
      <c r="IDA29" s="138"/>
      <c r="IDB29" s="138"/>
      <c r="IDC29" s="138"/>
      <c r="IDD29" s="138"/>
      <c r="IDE29" s="138"/>
      <c r="IDF29" s="138"/>
      <c r="IDG29" s="138"/>
      <c r="IDH29" s="138"/>
      <c r="IDI29" s="138"/>
      <c r="IDJ29" s="138"/>
      <c r="IDK29" s="138"/>
      <c r="IDL29" s="138"/>
      <c r="IDM29" s="138"/>
      <c r="IDN29" s="138"/>
      <c r="IDO29" s="138"/>
      <c r="IDP29" s="138"/>
      <c r="IDQ29" s="138"/>
      <c r="IDR29" s="138"/>
      <c r="IDS29" s="138"/>
      <c r="IDT29" s="138"/>
      <c r="IDU29" s="138"/>
      <c r="IDV29" s="138"/>
      <c r="IDW29" s="138"/>
      <c r="IDX29" s="138"/>
      <c r="IDY29" s="138"/>
      <c r="IDZ29" s="138"/>
      <c r="IEA29" s="138"/>
      <c r="IEB29" s="138"/>
      <c r="IEC29" s="138"/>
      <c r="IED29" s="138"/>
      <c r="IEE29" s="138"/>
      <c r="IEF29" s="138"/>
      <c r="IEG29" s="138"/>
      <c r="IEH29" s="138"/>
      <c r="IEI29" s="138"/>
      <c r="IEJ29" s="138"/>
      <c r="IEK29" s="138"/>
      <c r="IEL29" s="138"/>
      <c r="IEM29" s="138"/>
      <c r="IEN29" s="138"/>
      <c r="IEO29" s="138"/>
      <c r="IEP29" s="138"/>
      <c r="IEQ29" s="138"/>
      <c r="IER29" s="138"/>
      <c r="IES29" s="138"/>
      <c r="IET29" s="138"/>
      <c r="IEU29" s="138"/>
      <c r="IEV29" s="138"/>
      <c r="IEW29" s="138"/>
      <c r="IEX29" s="138"/>
      <c r="IEY29" s="138"/>
      <c r="IEZ29" s="138"/>
      <c r="IFA29" s="138"/>
      <c r="IFB29" s="138"/>
      <c r="IFC29" s="138"/>
      <c r="IFD29" s="138"/>
      <c r="IFE29" s="138"/>
      <c r="IFF29" s="138"/>
      <c r="IFG29" s="138"/>
      <c r="IFH29" s="138"/>
      <c r="IFI29" s="138"/>
      <c r="IFJ29" s="138"/>
      <c r="IFK29" s="138"/>
      <c r="IFL29" s="138"/>
      <c r="IFM29" s="138"/>
      <c r="IFN29" s="138"/>
      <c r="IFO29" s="138"/>
      <c r="IFP29" s="138"/>
      <c r="IFQ29" s="138"/>
      <c r="IFR29" s="138"/>
      <c r="IFS29" s="138"/>
      <c r="IFT29" s="138"/>
      <c r="IFU29" s="138"/>
      <c r="IFV29" s="138"/>
      <c r="IFW29" s="138"/>
      <c r="IFX29" s="138"/>
      <c r="IFY29" s="138"/>
      <c r="IFZ29" s="138"/>
      <c r="IGA29" s="138"/>
      <c r="IGB29" s="138"/>
      <c r="IGC29" s="138"/>
      <c r="IGD29" s="138"/>
      <c r="IGE29" s="138"/>
      <c r="IGF29" s="138"/>
      <c r="IGG29" s="138"/>
      <c r="IGH29" s="138"/>
      <c r="IGI29" s="138"/>
      <c r="IGJ29" s="138"/>
      <c r="IGK29" s="138"/>
      <c r="IGL29" s="138"/>
      <c r="IGM29" s="138"/>
      <c r="IGN29" s="138"/>
      <c r="IGO29" s="138"/>
      <c r="IGP29" s="138"/>
      <c r="IGQ29" s="138"/>
      <c r="IGR29" s="138"/>
      <c r="IGS29" s="138"/>
      <c r="IGT29" s="138"/>
      <c r="IGU29" s="138"/>
      <c r="IGV29" s="138"/>
      <c r="IGW29" s="138"/>
      <c r="IGX29" s="138"/>
      <c r="IGY29" s="138"/>
      <c r="IGZ29" s="138"/>
      <c r="IHA29" s="138"/>
      <c r="IHB29" s="138"/>
      <c r="IHC29" s="138"/>
      <c r="IHD29" s="138"/>
      <c r="IHE29" s="138"/>
      <c r="IHF29" s="138"/>
      <c r="IHG29" s="138"/>
      <c r="IHH29" s="138"/>
      <c r="IHI29" s="138"/>
      <c r="IHJ29" s="138"/>
      <c r="IHK29" s="138"/>
      <c r="IHL29" s="138"/>
      <c r="IHM29" s="138"/>
      <c r="IHN29" s="138"/>
      <c r="IHO29" s="138"/>
      <c r="IHP29" s="138"/>
      <c r="IHQ29" s="138"/>
      <c r="IHR29" s="138"/>
      <c r="IHS29" s="138"/>
      <c r="IHT29" s="138"/>
      <c r="IHU29" s="138"/>
      <c r="IHV29" s="138"/>
      <c r="IHW29" s="138"/>
      <c r="IHX29" s="138"/>
      <c r="IHY29" s="138"/>
      <c r="IHZ29" s="138"/>
      <c r="IIA29" s="138"/>
      <c r="IIB29" s="138"/>
      <c r="IIC29" s="138"/>
      <c r="IID29" s="138"/>
      <c r="IIE29" s="138"/>
      <c r="IIF29" s="138"/>
      <c r="IIG29" s="138"/>
      <c r="IIH29" s="138"/>
      <c r="III29" s="138"/>
      <c r="IIJ29" s="138"/>
      <c r="IIK29" s="138"/>
      <c r="IIL29" s="138"/>
      <c r="IIM29" s="138"/>
      <c r="IIN29" s="138"/>
      <c r="IIO29" s="138"/>
      <c r="IIP29" s="138"/>
      <c r="IIQ29" s="138"/>
      <c r="IIR29" s="138"/>
      <c r="IIS29" s="138"/>
      <c r="IIT29" s="138"/>
      <c r="IIU29" s="138"/>
      <c r="IIV29" s="138"/>
      <c r="IIW29" s="138"/>
      <c r="IIX29" s="138"/>
      <c r="IIY29" s="138"/>
      <c r="IIZ29" s="138"/>
      <c r="IJA29" s="138"/>
      <c r="IJB29" s="138"/>
      <c r="IJC29" s="138"/>
      <c r="IJD29" s="138"/>
      <c r="IJE29" s="138"/>
      <c r="IJF29" s="138"/>
      <c r="IJG29" s="138"/>
      <c r="IJH29" s="138"/>
      <c r="IJI29" s="138"/>
      <c r="IJJ29" s="138"/>
      <c r="IJK29" s="138"/>
      <c r="IJL29" s="138"/>
      <c r="IJM29" s="138"/>
      <c r="IJN29" s="138"/>
      <c r="IJO29" s="138"/>
      <c r="IJP29" s="138"/>
      <c r="IJQ29" s="138"/>
      <c r="IJR29" s="138"/>
      <c r="IJS29" s="138"/>
      <c r="IJT29" s="138"/>
      <c r="IJU29" s="138"/>
      <c r="IJV29" s="138"/>
      <c r="IJW29" s="138"/>
      <c r="IJX29" s="138"/>
      <c r="IJY29" s="138"/>
      <c r="IJZ29" s="138"/>
      <c r="IKA29" s="138"/>
      <c r="IKB29" s="138"/>
      <c r="IKC29" s="138"/>
      <c r="IKD29" s="138"/>
      <c r="IKE29" s="138"/>
      <c r="IKF29" s="138"/>
      <c r="IKG29" s="138"/>
      <c r="IKH29" s="138"/>
      <c r="IKI29" s="138"/>
      <c r="IKJ29" s="138"/>
      <c r="IKK29" s="138"/>
      <c r="IKL29" s="138"/>
      <c r="IKM29" s="138"/>
      <c r="IKN29" s="138"/>
      <c r="IKO29" s="138"/>
      <c r="IKP29" s="138"/>
      <c r="IKQ29" s="138"/>
      <c r="IKR29" s="138"/>
      <c r="IKS29" s="138"/>
      <c r="IKT29" s="138"/>
      <c r="IKU29" s="138"/>
      <c r="IKV29" s="138"/>
      <c r="IKW29" s="138"/>
      <c r="IKX29" s="138"/>
      <c r="IKY29" s="138"/>
      <c r="IKZ29" s="138"/>
      <c r="ILA29" s="138"/>
      <c r="ILB29" s="138"/>
      <c r="ILC29" s="138"/>
      <c r="ILD29" s="138"/>
      <c r="ILE29" s="138"/>
      <c r="ILF29" s="138"/>
      <c r="ILG29" s="138"/>
      <c r="ILH29" s="138"/>
      <c r="ILI29" s="138"/>
      <c r="ILJ29" s="138"/>
      <c r="ILK29" s="138"/>
      <c r="ILL29" s="138"/>
      <c r="ILM29" s="138"/>
      <c r="ILN29" s="138"/>
      <c r="ILO29" s="138"/>
      <c r="ILP29" s="138"/>
      <c r="ILQ29" s="138"/>
      <c r="ILR29" s="138"/>
      <c r="ILS29" s="138"/>
      <c r="ILT29" s="138"/>
      <c r="ILU29" s="138"/>
      <c r="ILV29" s="138"/>
      <c r="ILW29" s="138"/>
      <c r="ILX29" s="138"/>
      <c r="ILY29" s="138"/>
      <c r="ILZ29" s="138"/>
      <c r="IMA29" s="138"/>
      <c r="IMB29" s="138"/>
      <c r="IMC29" s="138"/>
      <c r="IMD29" s="138"/>
      <c r="IME29" s="138"/>
      <c r="IMF29" s="138"/>
      <c r="IMG29" s="138"/>
      <c r="IMH29" s="138"/>
      <c r="IMI29" s="138"/>
      <c r="IMJ29" s="138"/>
      <c r="IMK29" s="138"/>
      <c r="IML29" s="138"/>
      <c r="IMM29" s="138"/>
      <c r="IMN29" s="138"/>
      <c r="IMO29" s="138"/>
      <c r="IMP29" s="138"/>
      <c r="IMQ29" s="138"/>
      <c r="IMR29" s="138"/>
      <c r="IMS29" s="138"/>
      <c r="IMT29" s="138"/>
      <c r="IMU29" s="138"/>
      <c r="IMV29" s="138"/>
      <c r="IMW29" s="138"/>
      <c r="IMX29" s="138"/>
      <c r="IMY29" s="138"/>
      <c r="IMZ29" s="138"/>
      <c r="INA29" s="138"/>
      <c r="INB29" s="138"/>
      <c r="INC29" s="138"/>
      <c r="IND29" s="138"/>
      <c r="INE29" s="138"/>
      <c r="INF29" s="138"/>
      <c r="ING29" s="138"/>
      <c r="INH29" s="138"/>
      <c r="INI29" s="138"/>
      <c r="INJ29" s="138"/>
      <c r="INK29" s="138"/>
      <c r="INL29" s="138"/>
      <c r="INM29" s="138"/>
      <c r="INN29" s="138"/>
      <c r="INO29" s="138"/>
      <c r="INP29" s="138"/>
      <c r="INQ29" s="138"/>
      <c r="INR29" s="138"/>
      <c r="INS29" s="138"/>
      <c r="INT29" s="138"/>
      <c r="INU29" s="138"/>
      <c r="INV29" s="138"/>
      <c r="INW29" s="138"/>
      <c r="INX29" s="138"/>
      <c r="INY29" s="138"/>
      <c r="INZ29" s="138"/>
      <c r="IOA29" s="138"/>
      <c r="IOB29" s="138"/>
      <c r="IOC29" s="138"/>
      <c r="IOD29" s="138"/>
      <c r="IOE29" s="138"/>
      <c r="IOF29" s="138"/>
      <c r="IOG29" s="138"/>
      <c r="IOH29" s="138"/>
      <c r="IOI29" s="138"/>
      <c r="IOJ29" s="138"/>
      <c r="IOK29" s="138"/>
      <c r="IOL29" s="138"/>
      <c r="IOM29" s="138"/>
      <c r="ION29" s="138"/>
      <c r="IOO29" s="138"/>
      <c r="IOP29" s="138"/>
      <c r="IOQ29" s="138"/>
      <c r="IOR29" s="138"/>
      <c r="IOS29" s="138"/>
      <c r="IOT29" s="138"/>
      <c r="IOU29" s="138"/>
      <c r="IOV29" s="138"/>
      <c r="IOW29" s="138"/>
      <c r="IOX29" s="138"/>
      <c r="IOY29" s="138"/>
      <c r="IOZ29" s="138"/>
      <c r="IPA29" s="138"/>
      <c r="IPB29" s="138"/>
      <c r="IPC29" s="138"/>
      <c r="IPD29" s="138"/>
      <c r="IPE29" s="138"/>
      <c r="IPF29" s="138"/>
      <c r="IPG29" s="138"/>
      <c r="IPH29" s="138"/>
      <c r="IPI29" s="138"/>
      <c r="IPJ29" s="138"/>
      <c r="IPK29" s="138"/>
      <c r="IPL29" s="138"/>
      <c r="IPM29" s="138"/>
      <c r="IPN29" s="138"/>
      <c r="IPO29" s="138"/>
      <c r="IPP29" s="138"/>
      <c r="IPQ29" s="138"/>
      <c r="IPR29" s="138"/>
      <c r="IPS29" s="138"/>
      <c r="IPT29" s="138"/>
      <c r="IPU29" s="138"/>
      <c r="IPV29" s="138"/>
      <c r="IPW29" s="138"/>
      <c r="IPX29" s="138"/>
      <c r="IPY29" s="138"/>
      <c r="IPZ29" s="138"/>
      <c r="IQA29" s="138"/>
      <c r="IQB29" s="138"/>
      <c r="IQC29" s="138"/>
      <c r="IQD29" s="138"/>
      <c r="IQE29" s="138"/>
      <c r="IQF29" s="138"/>
      <c r="IQG29" s="138"/>
      <c r="IQH29" s="138"/>
      <c r="IQI29" s="138"/>
      <c r="IQJ29" s="138"/>
      <c r="IQK29" s="138"/>
      <c r="IQL29" s="138"/>
      <c r="IQM29" s="138"/>
      <c r="IQN29" s="138"/>
      <c r="IQO29" s="138"/>
      <c r="IQP29" s="138"/>
      <c r="IQQ29" s="138"/>
      <c r="IQR29" s="138"/>
      <c r="IQS29" s="138"/>
      <c r="IQT29" s="138"/>
      <c r="IQU29" s="138"/>
      <c r="IQV29" s="138"/>
      <c r="IQW29" s="138"/>
      <c r="IQX29" s="138"/>
      <c r="IQY29" s="138"/>
      <c r="IQZ29" s="138"/>
      <c r="IRA29" s="138"/>
      <c r="IRB29" s="138"/>
      <c r="IRC29" s="138"/>
      <c r="IRD29" s="138"/>
      <c r="IRE29" s="138"/>
      <c r="IRF29" s="138"/>
      <c r="IRG29" s="138"/>
      <c r="IRH29" s="138"/>
      <c r="IRI29" s="138"/>
      <c r="IRJ29" s="138"/>
      <c r="IRK29" s="138"/>
      <c r="IRL29" s="138"/>
      <c r="IRM29" s="138"/>
      <c r="IRN29" s="138"/>
      <c r="IRO29" s="138"/>
      <c r="IRP29" s="138"/>
      <c r="IRQ29" s="138"/>
      <c r="IRR29" s="138"/>
      <c r="IRS29" s="138"/>
      <c r="IRT29" s="138"/>
      <c r="IRU29" s="138"/>
      <c r="IRV29" s="138"/>
      <c r="IRW29" s="138"/>
      <c r="IRX29" s="138"/>
      <c r="IRY29" s="138"/>
      <c r="IRZ29" s="138"/>
      <c r="ISA29" s="138"/>
      <c r="ISB29" s="138"/>
      <c r="ISC29" s="138"/>
      <c r="ISD29" s="138"/>
      <c r="ISE29" s="138"/>
      <c r="ISF29" s="138"/>
      <c r="ISG29" s="138"/>
      <c r="ISH29" s="138"/>
      <c r="ISI29" s="138"/>
      <c r="ISJ29" s="138"/>
      <c r="ISK29" s="138"/>
      <c r="ISL29" s="138"/>
      <c r="ISM29" s="138"/>
      <c r="ISN29" s="138"/>
      <c r="ISO29" s="138"/>
      <c r="ISP29" s="138"/>
      <c r="ISQ29" s="138"/>
      <c r="ISR29" s="138"/>
      <c r="ISS29" s="138"/>
      <c r="IST29" s="138"/>
      <c r="ISU29" s="138"/>
      <c r="ISV29" s="138"/>
      <c r="ISW29" s="138"/>
      <c r="ISX29" s="138"/>
      <c r="ISY29" s="138"/>
      <c r="ISZ29" s="138"/>
      <c r="ITA29" s="138"/>
      <c r="ITB29" s="138"/>
      <c r="ITC29" s="138"/>
      <c r="ITD29" s="138"/>
      <c r="ITE29" s="138"/>
      <c r="ITF29" s="138"/>
      <c r="ITG29" s="138"/>
      <c r="ITH29" s="138"/>
      <c r="ITI29" s="138"/>
      <c r="ITJ29" s="138"/>
      <c r="ITK29" s="138"/>
      <c r="ITL29" s="138"/>
      <c r="ITM29" s="138"/>
      <c r="ITN29" s="138"/>
      <c r="ITO29" s="138"/>
      <c r="ITP29" s="138"/>
      <c r="ITQ29" s="138"/>
      <c r="ITR29" s="138"/>
      <c r="ITS29" s="138"/>
      <c r="ITT29" s="138"/>
      <c r="ITU29" s="138"/>
      <c r="ITV29" s="138"/>
      <c r="ITW29" s="138"/>
      <c r="ITX29" s="138"/>
      <c r="ITY29" s="138"/>
      <c r="ITZ29" s="138"/>
      <c r="IUA29" s="138"/>
      <c r="IUB29" s="138"/>
      <c r="IUC29" s="138"/>
      <c r="IUD29" s="138"/>
      <c r="IUE29" s="138"/>
      <c r="IUF29" s="138"/>
      <c r="IUG29" s="138"/>
      <c r="IUH29" s="138"/>
      <c r="IUI29" s="138"/>
      <c r="IUJ29" s="138"/>
      <c r="IUK29" s="138"/>
      <c r="IUL29" s="138"/>
      <c r="IUM29" s="138"/>
      <c r="IUN29" s="138"/>
      <c r="IUO29" s="138"/>
      <c r="IUP29" s="138"/>
      <c r="IUQ29" s="138"/>
      <c r="IUR29" s="138"/>
      <c r="IUS29" s="138"/>
      <c r="IUT29" s="138"/>
      <c r="IUU29" s="138"/>
      <c r="IUV29" s="138"/>
      <c r="IUW29" s="138"/>
      <c r="IUX29" s="138"/>
      <c r="IUY29" s="138"/>
      <c r="IUZ29" s="138"/>
      <c r="IVA29" s="138"/>
      <c r="IVB29" s="138"/>
      <c r="IVC29" s="138"/>
      <c r="IVD29" s="138"/>
      <c r="IVE29" s="138"/>
      <c r="IVF29" s="138"/>
      <c r="IVG29" s="138"/>
      <c r="IVH29" s="138"/>
      <c r="IVI29" s="138"/>
      <c r="IVJ29" s="138"/>
      <c r="IVK29" s="138"/>
      <c r="IVL29" s="138"/>
      <c r="IVM29" s="138"/>
      <c r="IVN29" s="138"/>
      <c r="IVO29" s="138"/>
      <c r="IVP29" s="138"/>
      <c r="IVQ29" s="138"/>
      <c r="IVR29" s="138"/>
      <c r="IVS29" s="138"/>
      <c r="IVT29" s="138"/>
      <c r="IVU29" s="138"/>
      <c r="IVV29" s="138"/>
      <c r="IVW29" s="138"/>
      <c r="IVX29" s="138"/>
      <c r="IVY29" s="138"/>
      <c r="IVZ29" s="138"/>
      <c r="IWA29" s="138"/>
      <c r="IWB29" s="138"/>
      <c r="IWC29" s="138"/>
      <c r="IWD29" s="138"/>
      <c r="IWE29" s="138"/>
      <c r="IWF29" s="138"/>
      <c r="IWG29" s="138"/>
      <c r="IWH29" s="138"/>
      <c r="IWI29" s="138"/>
      <c r="IWJ29" s="138"/>
      <c r="IWK29" s="138"/>
      <c r="IWL29" s="138"/>
      <c r="IWM29" s="138"/>
      <c r="IWN29" s="138"/>
      <c r="IWO29" s="138"/>
      <c r="IWP29" s="138"/>
      <c r="IWQ29" s="138"/>
      <c r="IWR29" s="138"/>
      <c r="IWS29" s="138"/>
      <c r="IWT29" s="138"/>
      <c r="IWU29" s="138"/>
      <c r="IWV29" s="138"/>
      <c r="IWW29" s="138"/>
      <c r="IWX29" s="138"/>
      <c r="IWY29" s="138"/>
      <c r="IWZ29" s="138"/>
      <c r="IXA29" s="138"/>
      <c r="IXB29" s="138"/>
      <c r="IXC29" s="138"/>
      <c r="IXD29" s="138"/>
      <c r="IXE29" s="138"/>
      <c r="IXF29" s="138"/>
      <c r="IXG29" s="138"/>
      <c r="IXH29" s="138"/>
      <c r="IXI29" s="138"/>
      <c r="IXJ29" s="138"/>
      <c r="IXK29" s="138"/>
      <c r="IXL29" s="138"/>
      <c r="IXM29" s="138"/>
      <c r="IXN29" s="138"/>
      <c r="IXO29" s="138"/>
      <c r="IXP29" s="138"/>
      <c r="IXQ29" s="138"/>
      <c r="IXR29" s="138"/>
      <c r="IXS29" s="138"/>
      <c r="IXT29" s="138"/>
      <c r="IXU29" s="138"/>
      <c r="IXV29" s="138"/>
      <c r="IXW29" s="138"/>
      <c r="IXX29" s="138"/>
      <c r="IXY29" s="138"/>
      <c r="IXZ29" s="138"/>
      <c r="IYA29" s="138"/>
      <c r="IYB29" s="138"/>
      <c r="IYC29" s="138"/>
      <c r="IYD29" s="138"/>
      <c r="IYE29" s="138"/>
      <c r="IYF29" s="138"/>
      <c r="IYG29" s="138"/>
      <c r="IYH29" s="138"/>
      <c r="IYI29" s="138"/>
      <c r="IYJ29" s="138"/>
      <c r="IYK29" s="138"/>
      <c r="IYL29" s="138"/>
      <c r="IYM29" s="138"/>
      <c r="IYN29" s="138"/>
      <c r="IYO29" s="138"/>
      <c r="IYP29" s="138"/>
      <c r="IYQ29" s="138"/>
      <c r="IYR29" s="138"/>
      <c r="IYS29" s="138"/>
      <c r="IYT29" s="138"/>
      <c r="IYU29" s="138"/>
      <c r="IYV29" s="138"/>
      <c r="IYW29" s="138"/>
      <c r="IYX29" s="138"/>
      <c r="IYY29" s="138"/>
      <c r="IYZ29" s="138"/>
      <c r="IZA29" s="138"/>
      <c r="IZB29" s="138"/>
      <c r="IZC29" s="138"/>
      <c r="IZD29" s="138"/>
      <c r="IZE29" s="138"/>
      <c r="IZF29" s="138"/>
      <c r="IZG29" s="138"/>
      <c r="IZH29" s="138"/>
      <c r="IZI29" s="138"/>
      <c r="IZJ29" s="138"/>
      <c r="IZK29" s="138"/>
      <c r="IZL29" s="138"/>
      <c r="IZM29" s="138"/>
      <c r="IZN29" s="138"/>
      <c r="IZO29" s="138"/>
      <c r="IZP29" s="138"/>
      <c r="IZQ29" s="138"/>
      <c r="IZR29" s="138"/>
      <c r="IZS29" s="138"/>
      <c r="IZT29" s="138"/>
      <c r="IZU29" s="138"/>
      <c r="IZV29" s="138"/>
      <c r="IZW29" s="138"/>
      <c r="IZX29" s="138"/>
      <c r="IZY29" s="138"/>
      <c r="IZZ29" s="138"/>
      <c r="JAA29" s="138"/>
      <c r="JAB29" s="138"/>
      <c r="JAC29" s="138"/>
      <c r="JAD29" s="138"/>
      <c r="JAE29" s="138"/>
      <c r="JAF29" s="138"/>
      <c r="JAG29" s="138"/>
      <c r="JAH29" s="138"/>
      <c r="JAI29" s="138"/>
      <c r="JAJ29" s="138"/>
      <c r="JAK29" s="138"/>
      <c r="JAL29" s="138"/>
      <c r="JAM29" s="138"/>
      <c r="JAN29" s="138"/>
      <c r="JAO29" s="138"/>
      <c r="JAP29" s="138"/>
      <c r="JAQ29" s="138"/>
      <c r="JAR29" s="138"/>
      <c r="JAS29" s="138"/>
      <c r="JAT29" s="138"/>
      <c r="JAU29" s="138"/>
      <c r="JAV29" s="138"/>
      <c r="JAW29" s="138"/>
      <c r="JAX29" s="138"/>
      <c r="JAY29" s="138"/>
      <c r="JAZ29" s="138"/>
      <c r="JBA29" s="138"/>
      <c r="JBB29" s="138"/>
      <c r="JBC29" s="138"/>
      <c r="JBD29" s="138"/>
      <c r="JBE29" s="138"/>
      <c r="JBF29" s="138"/>
      <c r="JBG29" s="138"/>
      <c r="JBH29" s="138"/>
      <c r="JBI29" s="138"/>
      <c r="JBJ29" s="138"/>
      <c r="JBK29" s="138"/>
      <c r="JBL29" s="138"/>
      <c r="JBM29" s="138"/>
      <c r="JBN29" s="138"/>
      <c r="JBO29" s="138"/>
      <c r="JBP29" s="138"/>
      <c r="JBQ29" s="138"/>
      <c r="JBR29" s="138"/>
      <c r="JBS29" s="138"/>
      <c r="JBT29" s="138"/>
      <c r="JBU29" s="138"/>
      <c r="JBV29" s="138"/>
      <c r="JBW29" s="138"/>
      <c r="JBX29" s="138"/>
      <c r="JBY29" s="138"/>
      <c r="JBZ29" s="138"/>
      <c r="JCA29" s="138"/>
      <c r="JCB29" s="138"/>
      <c r="JCC29" s="138"/>
      <c r="JCD29" s="138"/>
      <c r="JCE29" s="138"/>
      <c r="JCF29" s="138"/>
      <c r="JCG29" s="138"/>
      <c r="JCH29" s="138"/>
      <c r="JCI29" s="138"/>
      <c r="JCJ29" s="138"/>
      <c r="JCK29" s="138"/>
      <c r="JCL29" s="138"/>
      <c r="JCM29" s="138"/>
      <c r="JCN29" s="138"/>
      <c r="JCO29" s="138"/>
      <c r="JCP29" s="138"/>
      <c r="JCQ29" s="138"/>
      <c r="JCR29" s="138"/>
      <c r="JCS29" s="138"/>
      <c r="JCT29" s="138"/>
      <c r="JCU29" s="138"/>
      <c r="JCV29" s="138"/>
      <c r="JCW29" s="138"/>
      <c r="JCX29" s="138"/>
      <c r="JCY29" s="138"/>
      <c r="JCZ29" s="138"/>
      <c r="JDA29" s="138"/>
      <c r="JDB29" s="138"/>
      <c r="JDC29" s="138"/>
      <c r="JDD29" s="138"/>
      <c r="JDE29" s="138"/>
      <c r="JDF29" s="138"/>
      <c r="JDG29" s="138"/>
      <c r="JDH29" s="138"/>
      <c r="JDI29" s="138"/>
      <c r="JDJ29" s="138"/>
      <c r="JDK29" s="138"/>
      <c r="JDL29" s="138"/>
      <c r="JDM29" s="138"/>
      <c r="JDN29" s="138"/>
      <c r="JDO29" s="138"/>
      <c r="JDP29" s="138"/>
      <c r="JDQ29" s="138"/>
      <c r="JDR29" s="138"/>
      <c r="JDS29" s="138"/>
      <c r="JDT29" s="138"/>
      <c r="JDU29" s="138"/>
      <c r="JDV29" s="138"/>
      <c r="JDW29" s="138"/>
      <c r="JDX29" s="138"/>
      <c r="JDY29" s="138"/>
      <c r="JDZ29" s="138"/>
      <c r="JEA29" s="138"/>
      <c r="JEB29" s="138"/>
      <c r="JEC29" s="138"/>
      <c r="JED29" s="138"/>
      <c r="JEE29" s="138"/>
      <c r="JEF29" s="138"/>
      <c r="JEG29" s="138"/>
      <c r="JEH29" s="138"/>
      <c r="JEI29" s="138"/>
      <c r="JEJ29" s="138"/>
      <c r="JEK29" s="138"/>
      <c r="JEL29" s="138"/>
      <c r="JEM29" s="138"/>
      <c r="JEN29" s="138"/>
      <c r="JEO29" s="138"/>
      <c r="JEP29" s="138"/>
      <c r="JEQ29" s="138"/>
      <c r="JER29" s="138"/>
      <c r="JES29" s="138"/>
      <c r="JET29" s="138"/>
      <c r="JEU29" s="138"/>
      <c r="JEV29" s="138"/>
      <c r="JEW29" s="138"/>
      <c r="JEX29" s="138"/>
      <c r="JEY29" s="138"/>
      <c r="JEZ29" s="138"/>
      <c r="JFA29" s="138"/>
      <c r="JFB29" s="138"/>
      <c r="JFC29" s="138"/>
      <c r="JFD29" s="138"/>
      <c r="JFE29" s="138"/>
      <c r="JFF29" s="138"/>
      <c r="JFG29" s="138"/>
      <c r="JFH29" s="138"/>
      <c r="JFI29" s="138"/>
      <c r="JFJ29" s="138"/>
      <c r="JFK29" s="138"/>
      <c r="JFL29" s="138"/>
      <c r="JFM29" s="138"/>
      <c r="JFN29" s="138"/>
      <c r="JFO29" s="138"/>
      <c r="JFP29" s="138"/>
      <c r="JFQ29" s="138"/>
      <c r="JFR29" s="138"/>
      <c r="JFS29" s="138"/>
      <c r="JFT29" s="138"/>
      <c r="JFU29" s="138"/>
      <c r="JFV29" s="138"/>
      <c r="JFW29" s="138"/>
      <c r="JFX29" s="138"/>
      <c r="JFY29" s="138"/>
      <c r="JFZ29" s="138"/>
      <c r="JGA29" s="138"/>
      <c r="JGB29" s="138"/>
      <c r="JGC29" s="138"/>
      <c r="JGD29" s="138"/>
      <c r="JGE29" s="138"/>
      <c r="JGF29" s="138"/>
      <c r="JGG29" s="138"/>
      <c r="JGH29" s="138"/>
      <c r="JGI29" s="138"/>
      <c r="JGJ29" s="138"/>
      <c r="JGK29" s="138"/>
      <c r="JGL29" s="138"/>
      <c r="JGM29" s="138"/>
      <c r="JGN29" s="138"/>
      <c r="JGO29" s="138"/>
      <c r="JGP29" s="138"/>
      <c r="JGQ29" s="138"/>
      <c r="JGR29" s="138"/>
      <c r="JGS29" s="138"/>
      <c r="JGT29" s="138"/>
      <c r="JGU29" s="138"/>
      <c r="JGV29" s="138"/>
      <c r="JGW29" s="138"/>
      <c r="JGX29" s="138"/>
      <c r="JGY29" s="138"/>
      <c r="JGZ29" s="138"/>
      <c r="JHA29" s="138"/>
      <c r="JHB29" s="138"/>
      <c r="JHC29" s="138"/>
      <c r="JHD29" s="138"/>
      <c r="JHE29" s="138"/>
      <c r="JHF29" s="138"/>
      <c r="JHG29" s="138"/>
      <c r="JHH29" s="138"/>
      <c r="JHI29" s="138"/>
      <c r="JHJ29" s="138"/>
      <c r="JHK29" s="138"/>
      <c r="JHL29" s="138"/>
      <c r="JHM29" s="138"/>
      <c r="JHN29" s="138"/>
      <c r="JHO29" s="138"/>
      <c r="JHP29" s="138"/>
      <c r="JHQ29" s="138"/>
      <c r="JHR29" s="138"/>
      <c r="JHS29" s="138"/>
      <c r="JHT29" s="138"/>
      <c r="JHU29" s="138"/>
      <c r="JHV29" s="138"/>
      <c r="JHW29" s="138"/>
      <c r="JHX29" s="138"/>
      <c r="JHY29" s="138"/>
      <c r="JHZ29" s="138"/>
      <c r="JIA29" s="138"/>
      <c r="JIB29" s="138"/>
      <c r="JIC29" s="138"/>
      <c r="JID29" s="138"/>
      <c r="JIE29" s="138"/>
      <c r="JIF29" s="138"/>
      <c r="JIG29" s="138"/>
      <c r="JIH29" s="138"/>
      <c r="JII29" s="138"/>
      <c r="JIJ29" s="138"/>
      <c r="JIK29" s="138"/>
      <c r="JIL29" s="138"/>
      <c r="JIM29" s="138"/>
      <c r="JIN29" s="138"/>
      <c r="JIO29" s="138"/>
      <c r="JIP29" s="138"/>
      <c r="JIQ29" s="138"/>
      <c r="JIR29" s="138"/>
      <c r="JIS29" s="138"/>
      <c r="JIT29" s="138"/>
      <c r="JIU29" s="138"/>
      <c r="JIV29" s="138"/>
      <c r="JIW29" s="138"/>
      <c r="JIX29" s="138"/>
      <c r="JIY29" s="138"/>
      <c r="JIZ29" s="138"/>
      <c r="JJA29" s="138"/>
      <c r="JJB29" s="138"/>
      <c r="JJC29" s="138"/>
      <c r="JJD29" s="138"/>
      <c r="JJE29" s="138"/>
      <c r="JJF29" s="138"/>
      <c r="JJG29" s="138"/>
      <c r="JJH29" s="138"/>
      <c r="JJI29" s="138"/>
      <c r="JJJ29" s="138"/>
      <c r="JJK29" s="138"/>
      <c r="JJL29" s="138"/>
      <c r="JJM29" s="138"/>
      <c r="JJN29" s="138"/>
      <c r="JJO29" s="138"/>
      <c r="JJP29" s="138"/>
      <c r="JJQ29" s="138"/>
      <c r="JJR29" s="138"/>
      <c r="JJS29" s="138"/>
      <c r="JJT29" s="138"/>
      <c r="JJU29" s="138"/>
      <c r="JJV29" s="138"/>
      <c r="JJW29" s="138"/>
      <c r="JJX29" s="138"/>
      <c r="JJY29" s="138"/>
      <c r="JJZ29" s="138"/>
      <c r="JKA29" s="138"/>
      <c r="JKB29" s="138"/>
      <c r="JKC29" s="138"/>
      <c r="JKD29" s="138"/>
      <c r="JKE29" s="138"/>
      <c r="JKF29" s="138"/>
      <c r="JKG29" s="138"/>
      <c r="JKH29" s="138"/>
      <c r="JKI29" s="138"/>
      <c r="JKJ29" s="138"/>
      <c r="JKK29" s="138"/>
      <c r="JKL29" s="138"/>
      <c r="JKM29" s="138"/>
      <c r="JKN29" s="138"/>
      <c r="JKO29" s="138"/>
      <c r="JKP29" s="138"/>
      <c r="JKQ29" s="138"/>
      <c r="JKR29" s="138"/>
      <c r="JKS29" s="138"/>
      <c r="JKT29" s="138"/>
      <c r="JKU29" s="138"/>
      <c r="JKV29" s="138"/>
      <c r="JKW29" s="138"/>
      <c r="JKX29" s="138"/>
      <c r="JKY29" s="138"/>
      <c r="JKZ29" s="138"/>
      <c r="JLA29" s="138"/>
      <c r="JLB29" s="138"/>
      <c r="JLC29" s="138"/>
      <c r="JLD29" s="138"/>
      <c r="JLE29" s="138"/>
      <c r="JLF29" s="138"/>
      <c r="JLG29" s="138"/>
      <c r="JLH29" s="138"/>
      <c r="JLI29" s="138"/>
      <c r="JLJ29" s="138"/>
      <c r="JLK29" s="138"/>
      <c r="JLL29" s="138"/>
      <c r="JLM29" s="138"/>
      <c r="JLN29" s="138"/>
      <c r="JLO29" s="138"/>
      <c r="JLP29" s="138"/>
      <c r="JLQ29" s="138"/>
      <c r="JLR29" s="138"/>
      <c r="JLS29" s="138"/>
      <c r="JLT29" s="138"/>
      <c r="JLU29" s="138"/>
      <c r="JLV29" s="138"/>
      <c r="JLW29" s="138"/>
      <c r="JLX29" s="138"/>
      <c r="JLY29" s="138"/>
      <c r="JLZ29" s="138"/>
      <c r="JMA29" s="138"/>
      <c r="JMB29" s="138"/>
      <c r="JMC29" s="138"/>
      <c r="JMD29" s="138"/>
      <c r="JME29" s="138"/>
      <c r="JMF29" s="138"/>
      <c r="JMG29" s="138"/>
      <c r="JMH29" s="138"/>
      <c r="JMI29" s="138"/>
      <c r="JMJ29" s="138"/>
      <c r="JMK29" s="138"/>
      <c r="JML29" s="138"/>
      <c r="JMM29" s="138"/>
      <c r="JMN29" s="138"/>
      <c r="JMO29" s="138"/>
      <c r="JMP29" s="138"/>
      <c r="JMQ29" s="138"/>
      <c r="JMR29" s="138"/>
      <c r="JMS29" s="138"/>
      <c r="JMT29" s="138"/>
      <c r="JMU29" s="138"/>
      <c r="JMV29" s="138"/>
      <c r="JMW29" s="138"/>
      <c r="JMX29" s="138"/>
      <c r="JMY29" s="138"/>
      <c r="JMZ29" s="138"/>
      <c r="JNA29" s="138"/>
      <c r="JNB29" s="138"/>
      <c r="JNC29" s="138"/>
      <c r="JND29" s="138"/>
      <c r="JNE29" s="138"/>
      <c r="JNF29" s="138"/>
      <c r="JNG29" s="138"/>
      <c r="JNH29" s="138"/>
      <c r="JNI29" s="138"/>
      <c r="JNJ29" s="138"/>
      <c r="JNK29" s="138"/>
      <c r="JNL29" s="138"/>
      <c r="JNM29" s="138"/>
      <c r="JNN29" s="138"/>
      <c r="JNO29" s="138"/>
      <c r="JNP29" s="138"/>
      <c r="JNQ29" s="138"/>
      <c r="JNR29" s="138"/>
      <c r="JNS29" s="138"/>
      <c r="JNT29" s="138"/>
      <c r="JNU29" s="138"/>
      <c r="JNV29" s="138"/>
      <c r="JNW29" s="138"/>
      <c r="JNX29" s="138"/>
      <c r="JNY29" s="138"/>
      <c r="JNZ29" s="138"/>
      <c r="JOA29" s="138"/>
      <c r="JOB29" s="138"/>
      <c r="JOC29" s="138"/>
      <c r="JOD29" s="138"/>
      <c r="JOE29" s="138"/>
      <c r="JOF29" s="138"/>
      <c r="JOG29" s="138"/>
      <c r="JOH29" s="138"/>
      <c r="JOI29" s="138"/>
      <c r="JOJ29" s="138"/>
      <c r="JOK29" s="138"/>
      <c r="JOL29" s="138"/>
      <c r="JOM29" s="138"/>
      <c r="JON29" s="138"/>
      <c r="JOO29" s="138"/>
      <c r="JOP29" s="138"/>
      <c r="JOQ29" s="138"/>
      <c r="JOR29" s="138"/>
      <c r="JOS29" s="138"/>
      <c r="JOT29" s="138"/>
      <c r="JOU29" s="138"/>
      <c r="JOV29" s="138"/>
      <c r="JOW29" s="138"/>
      <c r="JOX29" s="138"/>
      <c r="JOY29" s="138"/>
      <c r="JOZ29" s="138"/>
      <c r="JPA29" s="138"/>
      <c r="JPB29" s="138"/>
      <c r="JPC29" s="138"/>
      <c r="JPD29" s="138"/>
      <c r="JPE29" s="138"/>
      <c r="JPF29" s="138"/>
      <c r="JPG29" s="138"/>
      <c r="JPH29" s="138"/>
      <c r="JPI29" s="138"/>
      <c r="JPJ29" s="138"/>
      <c r="JPK29" s="138"/>
      <c r="JPL29" s="138"/>
      <c r="JPM29" s="138"/>
      <c r="JPN29" s="138"/>
      <c r="JPO29" s="138"/>
      <c r="JPP29" s="138"/>
      <c r="JPQ29" s="138"/>
      <c r="JPR29" s="138"/>
      <c r="JPS29" s="138"/>
      <c r="JPT29" s="138"/>
      <c r="JPU29" s="138"/>
      <c r="JPV29" s="138"/>
      <c r="JPW29" s="138"/>
      <c r="JPX29" s="138"/>
      <c r="JPY29" s="138"/>
      <c r="JPZ29" s="138"/>
      <c r="JQA29" s="138"/>
      <c r="JQB29" s="138"/>
      <c r="JQC29" s="138"/>
      <c r="JQD29" s="138"/>
      <c r="JQE29" s="138"/>
      <c r="JQF29" s="138"/>
      <c r="JQG29" s="138"/>
      <c r="JQH29" s="138"/>
      <c r="JQI29" s="138"/>
      <c r="JQJ29" s="138"/>
      <c r="JQK29" s="138"/>
      <c r="JQL29" s="138"/>
      <c r="JQM29" s="138"/>
      <c r="JQN29" s="138"/>
      <c r="JQO29" s="138"/>
      <c r="JQP29" s="138"/>
      <c r="JQQ29" s="138"/>
      <c r="JQR29" s="138"/>
      <c r="JQS29" s="138"/>
      <c r="JQT29" s="138"/>
      <c r="JQU29" s="138"/>
      <c r="JQV29" s="138"/>
      <c r="JQW29" s="138"/>
      <c r="JQX29" s="138"/>
      <c r="JQY29" s="138"/>
      <c r="JQZ29" s="138"/>
      <c r="JRA29" s="138"/>
      <c r="JRB29" s="138"/>
      <c r="JRC29" s="138"/>
      <c r="JRD29" s="138"/>
      <c r="JRE29" s="138"/>
      <c r="JRF29" s="138"/>
      <c r="JRG29" s="138"/>
      <c r="JRH29" s="138"/>
      <c r="JRI29" s="138"/>
      <c r="JRJ29" s="138"/>
      <c r="JRK29" s="138"/>
      <c r="JRL29" s="138"/>
      <c r="JRM29" s="138"/>
      <c r="JRN29" s="138"/>
      <c r="JRO29" s="138"/>
      <c r="JRP29" s="138"/>
      <c r="JRQ29" s="138"/>
      <c r="JRR29" s="138"/>
      <c r="JRS29" s="138"/>
      <c r="JRT29" s="138"/>
      <c r="JRU29" s="138"/>
      <c r="JRV29" s="138"/>
      <c r="JRW29" s="138"/>
      <c r="JRX29" s="138"/>
      <c r="JRY29" s="138"/>
      <c r="JRZ29" s="138"/>
      <c r="JSA29" s="138"/>
      <c r="JSB29" s="138"/>
      <c r="JSC29" s="138"/>
      <c r="JSD29" s="138"/>
      <c r="JSE29" s="138"/>
      <c r="JSF29" s="138"/>
      <c r="JSG29" s="138"/>
      <c r="JSH29" s="138"/>
      <c r="JSI29" s="138"/>
      <c r="JSJ29" s="138"/>
      <c r="JSK29" s="138"/>
      <c r="JSL29" s="138"/>
      <c r="JSM29" s="138"/>
      <c r="JSN29" s="138"/>
      <c r="JSO29" s="138"/>
      <c r="JSP29" s="138"/>
      <c r="JSQ29" s="138"/>
      <c r="JSR29" s="138"/>
      <c r="JSS29" s="138"/>
      <c r="JST29" s="138"/>
      <c r="JSU29" s="138"/>
      <c r="JSV29" s="138"/>
      <c r="JSW29" s="138"/>
      <c r="JSX29" s="138"/>
      <c r="JSY29" s="138"/>
      <c r="JSZ29" s="138"/>
      <c r="JTA29" s="138"/>
      <c r="JTB29" s="138"/>
      <c r="JTC29" s="138"/>
      <c r="JTD29" s="138"/>
      <c r="JTE29" s="138"/>
      <c r="JTF29" s="138"/>
      <c r="JTG29" s="138"/>
      <c r="JTH29" s="138"/>
      <c r="JTI29" s="138"/>
      <c r="JTJ29" s="138"/>
      <c r="JTK29" s="138"/>
      <c r="JTL29" s="138"/>
      <c r="JTM29" s="138"/>
      <c r="JTN29" s="138"/>
      <c r="JTO29" s="138"/>
      <c r="JTP29" s="138"/>
      <c r="JTQ29" s="138"/>
      <c r="JTR29" s="138"/>
      <c r="JTS29" s="138"/>
      <c r="JTT29" s="138"/>
      <c r="JTU29" s="138"/>
      <c r="JTV29" s="138"/>
      <c r="JTW29" s="138"/>
      <c r="JTX29" s="138"/>
      <c r="JTY29" s="138"/>
      <c r="JTZ29" s="138"/>
      <c r="JUA29" s="138"/>
      <c r="JUB29" s="138"/>
      <c r="JUC29" s="138"/>
      <c r="JUD29" s="138"/>
      <c r="JUE29" s="138"/>
      <c r="JUF29" s="138"/>
      <c r="JUG29" s="138"/>
      <c r="JUH29" s="138"/>
      <c r="JUI29" s="138"/>
      <c r="JUJ29" s="138"/>
      <c r="JUK29" s="138"/>
      <c r="JUL29" s="138"/>
      <c r="JUM29" s="138"/>
      <c r="JUN29" s="138"/>
      <c r="JUO29" s="138"/>
      <c r="JUP29" s="138"/>
      <c r="JUQ29" s="138"/>
      <c r="JUR29" s="138"/>
      <c r="JUS29" s="138"/>
      <c r="JUT29" s="138"/>
      <c r="JUU29" s="138"/>
      <c r="JUV29" s="138"/>
      <c r="JUW29" s="138"/>
      <c r="JUX29" s="138"/>
      <c r="JUY29" s="138"/>
      <c r="JUZ29" s="138"/>
      <c r="JVA29" s="138"/>
      <c r="JVB29" s="138"/>
      <c r="JVC29" s="138"/>
      <c r="JVD29" s="138"/>
      <c r="JVE29" s="138"/>
      <c r="JVF29" s="138"/>
      <c r="JVG29" s="138"/>
      <c r="JVH29" s="138"/>
      <c r="JVI29" s="138"/>
      <c r="JVJ29" s="138"/>
      <c r="JVK29" s="138"/>
      <c r="JVL29" s="138"/>
      <c r="JVM29" s="138"/>
      <c r="JVN29" s="138"/>
      <c r="JVO29" s="138"/>
      <c r="JVP29" s="138"/>
      <c r="JVQ29" s="138"/>
      <c r="JVR29" s="138"/>
      <c r="JVS29" s="138"/>
      <c r="JVT29" s="138"/>
      <c r="JVU29" s="138"/>
      <c r="JVV29" s="138"/>
      <c r="JVW29" s="138"/>
      <c r="JVX29" s="138"/>
      <c r="JVY29" s="138"/>
      <c r="JVZ29" s="138"/>
      <c r="JWA29" s="138"/>
      <c r="JWB29" s="138"/>
      <c r="JWC29" s="138"/>
      <c r="JWD29" s="138"/>
      <c r="JWE29" s="138"/>
      <c r="JWF29" s="138"/>
      <c r="JWG29" s="138"/>
      <c r="JWH29" s="138"/>
      <c r="JWI29" s="138"/>
      <c r="JWJ29" s="138"/>
      <c r="JWK29" s="138"/>
      <c r="JWL29" s="138"/>
      <c r="JWM29" s="138"/>
      <c r="JWN29" s="138"/>
      <c r="JWO29" s="138"/>
      <c r="JWP29" s="138"/>
      <c r="JWQ29" s="138"/>
      <c r="JWR29" s="138"/>
      <c r="JWS29" s="138"/>
      <c r="JWT29" s="138"/>
      <c r="JWU29" s="138"/>
      <c r="JWV29" s="138"/>
      <c r="JWW29" s="138"/>
      <c r="JWX29" s="138"/>
      <c r="JWY29" s="138"/>
      <c r="JWZ29" s="138"/>
      <c r="JXA29" s="138"/>
      <c r="JXB29" s="138"/>
      <c r="JXC29" s="138"/>
      <c r="JXD29" s="138"/>
      <c r="JXE29" s="138"/>
      <c r="JXF29" s="138"/>
      <c r="JXG29" s="138"/>
      <c r="JXH29" s="138"/>
      <c r="JXI29" s="138"/>
      <c r="JXJ29" s="138"/>
      <c r="JXK29" s="138"/>
      <c r="JXL29" s="138"/>
      <c r="JXM29" s="138"/>
      <c r="JXN29" s="138"/>
      <c r="JXO29" s="138"/>
      <c r="JXP29" s="138"/>
      <c r="JXQ29" s="138"/>
      <c r="JXR29" s="138"/>
      <c r="JXS29" s="138"/>
      <c r="JXT29" s="138"/>
      <c r="JXU29" s="138"/>
      <c r="JXV29" s="138"/>
      <c r="JXW29" s="138"/>
      <c r="JXX29" s="138"/>
      <c r="JXY29" s="138"/>
      <c r="JXZ29" s="138"/>
      <c r="JYA29" s="138"/>
      <c r="JYB29" s="138"/>
      <c r="JYC29" s="138"/>
      <c r="JYD29" s="138"/>
      <c r="JYE29" s="138"/>
      <c r="JYF29" s="138"/>
      <c r="JYG29" s="138"/>
      <c r="JYH29" s="138"/>
      <c r="JYI29" s="138"/>
      <c r="JYJ29" s="138"/>
      <c r="JYK29" s="138"/>
      <c r="JYL29" s="138"/>
      <c r="JYM29" s="138"/>
      <c r="JYN29" s="138"/>
      <c r="JYO29" s="138"/>
      <c r="JYP29" s="138"/>
      <c r="JYQ29" s="138"/>
      <c r="JYR29" s="138"/>
      <c r="JYS29" s="138"/>
      <c r="JYT29" s="138"/>
      <c r="JYU29" s="138"/>
      <c r="JYV29" s="138"/>
      <c r="JYW29" s="138"/>
      <c r="JYX29" s="138"/>
      <c r="JYY29" s="138"/>
      <c r="JYZ29" s="138"/>
      <c r="JZA29" s="138"/>
      <c r="JZB29" s="138"/>
      <c r="JZC29" s="138"/>
      <c r="JZD29" s="138"/>
      <c r="JZE29" s="138"/>
      <c r="JZF29" s="138"/>
      <c r="JZG29" s="138"/>
      <c r="JZH29" s="138"/>
      <c r="JZI29" s="138"/>
      <c r="JZJ29" s="138"/>
      <c r="JZK29" s="138"/>
      <c r="JZL29" s="138"/>
      <c r="JZM29" s="138"/>
      <c r="JZN29" s="138"/>
      <c r="JZO29" s="138"/>
      <c r="JZP29" s="138"/>
      <c r="JZQ29" s="138"/>
      <c r="JZR29" s="138"/>
      <c r="JZS29" s="138"/>
      <c r="JZT29" s="138"/>
      <c r="JZU29" s="138"/>
      <c r="JZV29" s="138"/>
      <c r="JZW29" s="138"/>
      <c r="JZX29" s="138"/>
      <c r="JZY29" s="138"/>
      <c r="JZZ29" s="138"/>
      <c r="KAA29" s="138"/>
      <c r="KAB29" s="138"/>
      <c r="KAC29" s="138"/>
      <c r="KAD29" s="138"/>
      <c r="KAE29" s="138"/>
      <c r="KAF29" s="138"/>
      <c r="KAG29" s="138"/>
      <c r="KAH29" s="138"/>
      <c r="KAI29" s="138"/>
      <c r="KAJ29" s="138"/>
      <c r="KAK29" s="138"/>
      <c r="KAL29" s="138"/>
      <c r="KAM29" s="138"/>
      <c r="KAN29" s="138"/>
      <c r="KAO29" s="138"/>
      <c r="KAP29" s="138"/>
      <c r="KAQ29" s="138"/>
      <c r="KAR29" s="138"/>
      <c r="KAS29" s="138"/>
      <c r="KAT29" s="138"/>
      <c r="KAU29" s="138"/>
      <c r="KAV29" s="138"/>
      <c r="KAW29" s="138"/>
      <c r="KAX29" s="138"/>
      <c r="KAY29" s="138"/>
      <c r="KAZ29" s="138"/>
      <c r="KBA29" s="138"/>
      <c r="KBB29" s="138"/>
      <c r="KBC29" s="138"/>
      <c r="KBD29" s="138"/>
      <c r="KBE29" s="138"/>
      <c r="KBF29" s="138"/>
      <c r="KBG29" s="138"/>
      <c r="KBH29" s="138"/>
      <c r="KBI29" s="138"/>
      <c r="KBJ29" s="138"/>
      <c r="KBK29" s="138"/>
      <c r="KBL29" s="138"/>
      <c r="KBM29" s="138"/>
      <c r="KBN29" s="138"/>
      <c r="KBO29" s="138"/>
      <c r="KBP29" s="138"/>
      <c r="KBQ29" s="138"/>
      <c r="KBR29" s="138"/>
      <c r="KBS29" s="138"/>
      <c r="KBT29" s="138"/>
      <c r="KBU29" s="138"/>
      <c r="KBV29" s="138"/>
      <c r="KBW29" s="138"/>
      <c r="KBX29" s="138"/>
      <c r="KBY29" s="138"/>
      <c r="KBZ29" s="138"/>
      <c r="KCA29" s="138"/>
      <c r="KCB29" s="138"/>
      <c r="KCC29" s="138"/>
      <c r="KCD29" s="138"/>
      <c r="KCE29" s="138"/>
      <c r="KCF29" s="138"/>
      <c r="KCG29" s="138"/>
      <c r="KCH29" s="138"/>
      <c r="KCI29" s="138"/>
      <c r="KCJ29" s="138"/>
      <c r="KCK29" s="138"/>
      <c r="KCL29" s="138"/>
      <c r="KCM29" s="138"/>
      <c r="KCN29" s="138"/>
      <c r="KCO29" s="138"/>
      <c r="KCP29" s="138"/>
      <c r="KCQ29" s="138"/>
      <c r="KCR29" s="138"/>
      <c r="KCS29" s="138"/>
      <c r="KCT29" s="138"/>
      <c r="KCU29" s="138"/>
      <c r="KCV29" s="138"/>
      <c r="KCW29" s="138"/>
      <c r="KCX29" s="138"/>
      <c r="KCY29" s="138"/>
      <c r="KCZ29" s="138"/>
      <c r="KDA29" s="138"/>
      <c r="KDB29" s="138"/>
      <c r="KDC29" s="138"/>
      <c r="KDD29" s="138"/>
      <c r="KDE29" s="138"/>
      <c r="KDF29" s="138"/>
      <c r="KDG29" s="138"/>
      <c r="KDH29" s="138"/>
      <c r="KDI29" s="138"/>
      <c r="KDJ29" s="138"/>
      <c r="KDK29" s="138"/>
      <c r="KDL29" s="138"/>
      <c r="KDM29" s="138"/>
      <c r="KDN29" s="138"/>
      <c r="KDO29" s="138"/>
      <c r="KDP29" s="138"/>
      <c r="KDQ29" s="138"/>
      <c r="KDR29" s="138"/>
      <c r="KDS29" s="138"/>
      <c r="KDT29" s="138"/>
      <c r="KDU29" s="138"/>
      <c r="KDV29" s="138"/>
      <c r="KDW29" s="138"/>
      <c r="KDX29" s="138"/>
      <c r="KDY29" s="138"/>
      <c r="KDZ29" s="138"/>
      <c r="KEA29" s="138"/>
      <c r="KEB29" s="138"/>
      <c r="KEC29" s="138"/>
      <c r="KED29" s="138"/>
      <c r="KEE29" s="138"/>
      <c r="KEF29" s="138"/>
      <c r="KEG29" s="138"/>
      <c r="KEH29" s="138"/>
      <c r="KEI29" s="138"/>
      <c r="KEJ29" s="138"/>
      <c r="KEK29" s="138"/>
      <c r="KEL29" s="138"/>
      <c r="KEM29" s="138"/>
      <c r="KEN29" s="138"/>
      <c r="KEO29" s="138"/>
      <c r="KEP29" s="138"/>
      <c r="KEQ29" s="138"/>
      <c r="KER29" s="138"/>
      <c r="KES29" s="138"/>
      <c r="KET29" s="138"/>
      <c r="KEU29" s="138"/>
      <c r="KEV29" s="138"/>
      <c r="KEW29" s="138"/>
      <c r="KEX29" s="138"/>
      <c r="KEY29" s="138"/>
      <c r="KEZ29" s="138"/>
      <c r="KFA29" s="138"/>
      <c r="KFB29" s="138"/>
      <c r="KFC29" s="138"/>
      <c r="KFD29" s="138"/>
      <c r="KFE29" s="138"/>
      <c r="KFF29" s="138"/>
      <c r="KFG29" s="138"/>
      <c r="KFH29" s="138"/>
      <c r="KFI29" s="138"/>
      <c r="KFJ29" s="138"/>
      <c r="KFK29" s="138"/>
      <c r="KFL29" s="138"/>
      <c r="KFM29" s="138"/>
      <c r="KFN29" s="138"/>
      <c r="KFO29" s="138"/>
      <c r="KFP29" s="138"/>
      <c r="KFQ29" s="138"/>
      <c r="KFR29" s="138"/>
      <c r="KFS29" s="138"/>
      <c r="KFT29" s="138"/>
      <c r="KFU29" s="138"/>
      <c r="KFV29" s="138"/>
      <c r="KFW29" s="138"/>
      <c r="KFX29" s="138"/>
      <c r="KFY29" s="138"/>
      <c r="KFZ29" s="138"/>
      <c r="KGA29" s="138"/>
      <c r="KGB29" s="138"/>
      <c r="KGC29" s="138"/>
      <c r="KGD29" s="138"/>
      <c r="KGE29" s="138"/>
      <c r="KGF29" s="138"/>
      <c r="KGG29" s="138"/>
      <c r="KGH29" s="138"/>
      <c r="KGI29" s="138"/>
      <c r="KGJ29" s="138"/>
      <c r="KGK29" s="138"/>
      <c r="KGL29" s="138"/>
      <c r="KGM29" s="138"/>
      <c r="KGN29" s="138"/>
      <c r="KGO29" s="138"/>
      <c r="KGP29" s="138"/>
      <c r="KGQ29" s="138"/>
      <c r="KGR29" s="138"/>
      <c r="KGS29" s="138"/>
      <c r="KGT29" s="138"/>
      <c r="KGU29" s="138"/>
      <c r="KGV29" s="138"/>
      <c r="KGW29" s="138"/>
      <c r="KGX29" s="138"/>
      <c r="KGY29" s="138"/>
      <c r="KGZ29" s="138"/>
      <c r="KHA29" s="138"/>
      <c r="KHB29" s="138"/>
      <c r="KHC29" s="138"/>
      <c r="KHD29" s="138"/>
      <c r="KHE29" s="138"/>
      <c r="KHF29" s="138"/>
      <c r="KHG29" s="138"/>
      <c r="KHH29" s="138"/>
      <c r="KHI29" s="138"/>
      <c r="KHJ29" s="138"/>
      <c r="KHK29" s="138"/>
      <c r="KHL29" s="138"/>
      <c r="KHM29" s="138"/>
      <c r="KHN29" s="138"/>
      <c r="KHO29" s="138"/>
      <c r="KHP29" s="138"/>
      <c r="KHQ29" s="138"/>
      <c r="KHR29" s="138"/>
      <c r="KHS29" s="138"/>
      <c r="KHT29" s="138"/>
      <c r="KHU29" s="138"/>
      <c r="KHV29" s="138"/>
      <c r="KHW29" s="138"/>
      <c r="KHX29" s="138"/>
      <c r="KHY29" s="138"/>
      <c r="KHZ29" s="138"/>
      <c r="KIA29" s="138"/>
      <c r="KIB29" s="138"/>
      <c r="KIC29" s="138"/>
      <c r="KID29" s="138"/>
      <c r="KIE29" s="138"/>
      <c r="KIF29" s="138"/>
      <c r="KIG29" s="138"/>
      <c r="KIH29" s="138"/>
      <c r="KII29" s="138"/>
      <c r="KIJ29" s="138"/>
      <c r="KIK29" s="138"/>
      <c r="KIL29" s="138"/>
      <c r="KIM29" s="138"/>
      <c r="KIN29" s="138"/>
      <c r="KIO29" s="138"/>
      <c r="KIP29" s="138"/>
      <c r="KIQ29" s="138"/>
      <c r="KIR29" s="138"/>
      <c r="KIS29" s="138"/>
      <c r="KIT29" s="138"/>
      <c r="KIU29" s="138"/>
      <c r="KIV29" s="138"/>
      <c r="KIW29" s="138"/>
      <c r="KIX29" s="138"/>
      <c r="KIY29" s="138"/>
      <c r="KIZ29" s="138"/>
      <c r="KJA29" s="138"/>
      <c r="KJB29" s="138"/>
      <c r="KJC29" s="138"/>
      <c r="KJD29" s="138"/>
      <c r="KJE29" s="138"/>
      <c r="KJF29" s="138"/>
      <c r="KJG29" s="138"/>
      <c r="KJH29" s="138"/>
      <c r="KJI29" s="138"/>
      <c r="KJJ29" s="138"/>
      <c r="KJK29" s="138"/>
      <c r="KJL29" s="138"/>
      <c r="KJM29" s="138"/>
      <c r="KJN29" s="138"/>
      <c r="KJO29" s="138"/>
      <c r="KJP29" s="138"/>
      <c r="KJQ29" s="138"/>
      <c r="KJR29" s="138"/>
      <c r="KJS29" s="138"/>
      <c r="KJT29" s="138"/>
      <c r="KJU29" s="138"/>
      <c r="KJV29" s="138"/>
      <c r="KJW29" s="138"/>
      <c r="KJX29" s="138"/>
      <c r="KJY29" s="138"/>
      <c r="KJZ29" s="138"/>
      <c r="KKA29" s="138"/>
      <c r="KKB29" s="138"/>
      <c r="KKC29" s="138"/>
      <c r="KKD29" s="138"/>
      <c r="KKE29" s="138"/>
      <c r="KKF29" s="138"/>
      <c r="KKG29" s="138"/>
      <c r="KKH29" s="138"/>
      <c r="KKI29" s="138"/>
      <c r="KKJ29" s="138"/>
      <c r="KKK29" s="138"/>
      <c r="KKL29" s="138"/>
      <c r="KKM29" s="138"/>
      <c r="KKN29" s="138"/>
      <c r="KKO29" s="138"/>
      <c r="KKP29" s="138"/>
      <c r="KKQ29" s="138"/>
      <c r="KKR29" s="138"/>
      <c r="KKS29" s="138"/>
      <c r="KKT29" s="138"/>
      <c r="KKU29" s="138"/>
      <c r="KKV29" s="138"/>
      <c r="KKW29" s="138"/>
      <c r="KKX29" s="138"/>
      <c r="KKY29" s="138"/>
      <c r="KKZ29" s="138"/>
      <c r="KLA29" s="138"/>
      <c r="KLB29" s="138"/>
      <c r="KLC29" s="138"/>
      <c r="KLD29" s="138"/>
      <c r="KLE29" s="138"/>
      <c r="KLF29" s="138"/>
      <c r="KLG29" s="138"/>
      <c r="KLH29" s="138"/>
      <c r="KLI29" s="138"/>
      <c r="KLJ29" s="138"/>
      <c r="KLK29" s="138"/>
      <c r="KLL29" s="138"/>
      <c r="KLM29" s="138"/>
      <c r="KLN29" s="138"/>
      <c r="KLO29" s="138"/>
      <c r="KLP29" s="138"/>
      <c r="KLQ29" s="138"/>
      <c r="KLR29" s="138"/>
      <c r="KLS29" s="138"/>
      <c r="KLT29" s="138"/>
      <c r="KLU29" s="138"/>
      <c r="KLV29" s="138"/>
      <c r="KLW29" s="138"/>
      <c r="KLX29" s="138"/>
      <c r="KLY29" s="138"/>
      <c r="KLZ29" s="138"/>
      <c r="KMA29" s="138"/>
      <c r="KMB29" s="138"/>
      <c r="KMC29" s="138"/>
      <c r="KMD29" s="138"/>
      <c r="KME29" s="138"/>
      <c r="KMF29" s="138"/>
      <c r="KMG29" s="138"/>
      <c r="KMH29" s="138"/>
      <c r="KMI29" s="138"/>
      <c r="KMJ29" s="138"/>
      <c r="KMK29" s="138"/>
      <c r="KML29" s="138"/>
      <c r="KMM29" s="138"/>
      <c r="KMN29" s="138"/>
      <c r="KMO29" s="138"/>
      <c r="KMP29" s="138"/>
      <c r="KMQ29" s="138"/>
      <c r="KMR29" s="138"/>
      <c r="KMS29" s="138"/>
      <c r="KMT29" s="138"/>
      <c r="KMU29" s="138"/>
      <c r="KMV29" s="138"/>
      <c r="KMW29" s="138"/>
      <c r="KMX29" s="138"/>
      <c r="KMY29" s="138"/>
      <c r="KMZ29" s="138"/>
      <c r="KNA29" s="138"/>
      <c r="KNB29" s="138"/>
      <c r="KNC29" s="138"/>
      <c r="KND29" s="138"/>
      <c r="KNE29" s="138"/>
      <c r="KNF29" s="138"/>
      <c r="KNG29" s="138"/>
      <c r="KNH29" s="138"/>
      <c r="KNI29" s="138"/>
      <c r="KNJ29" s="138"/>
      <c r="KNK29" s="138"/>
      <c r="KNL29" s="138"/>
      <c r="KNM29" s="138"/>
      <c r="KNN29" s="138"/>
      <c r="KNO29" s="138"/>
      <c r="KNP29" s="138"/>
      <c r="KNQ29" s="138"/>
      <c r="KNR29" s="138"/>
      <c r="KNS29" s="138"/>
      <c r="KNT29" s="138"/>
      <c r="KNU29" s="138"/>
      <c r="KNV29" s="138"/>
      <c r="KNW29" s="138"/>
      <c r="KNX29" s="138"/>
      <c r="KNY29" s="138"/>
      <c r="KNZ29" s="138"/>
      <c r="KOA29" s="138"/>
      <c r="KOB29" s="138"/>
      <c r="KOC29" s="138"/>
      <c r="KOD29" s="138"/>
      <c r="KOE29" s="138"/>
      <c r="KOF29" s="138"/>
      <c r="KOG29" s="138"/>
      <c r="KOH29" s="138"/>
      <c r="KOI29" s="138"/>
      <c r="KOJ29" s="138"/>
      <c r="KOK29" s="138"/>
      <c r="KOL29" s="138"/>
      <c r="KOM29" s="138"/>
      <c r="KON29" s="138"/>
      <c r="KOO29" s="138"/>
      <c r="KOP29" s="138"/>
      <c r="KOQ29" s="138"/>
      <c r="KOR29" s="138"/>
      <c r="KOS29" s="138"/>
      <c r="KOT29" s="138"/>
      <c r="KOU29" s="138"/>
      <c r="KOV29" s="138"/>
      <c r="KOW29" s="138"/>
      <c r="KOX29" s="138"/>
      <c r="KOY29" s="138"/>
      <c r="KOZ29" s="138"/>
      <c r="KPA29" s="138"/>
      <c r="KPB29" s="138"/>
      <c r="KPC29" s="138"/>
      <c r="KPD29" s="138"/>
      <c r="KPE29" s="138"/>
      <c r="KPF29" s="138"/>
      <c r="KPG29" s="138"/>
      <c r="KPH29" s="138"/>
      <c r="KPI29" s="138"/>
      <c r="KPJ29" s="138"/>
      <c r="KPK29" s="138"/>
      <c r="KPL29" s="138"/>
      <c r="KPM29" s="138"/>
      <c r="KPN29" s="138"/>
      <c r="KPO29" s="138"/>
      <c r="KPP29" s="138"/>
      <c r="KPQ29" s="138"/>
      <c r="KPR29" s="138"/>
      <c r="KPS29" s="138"/>
      <c r="KPT29" s="138"/>
      <c r="KPU29" s="138"/>
      <c r="KPV29" s="138"/>
      <c r="KPW29" s="138"/>
      <c r="KPX29" s="138"/>
      <c r="KPY29" s="138"/>
      <c r="KPZ29" s="138"/>
      <c r="KQA29" s="138"/>
      <c r="KQB29" s="138"/>
      <c r="KQC29" s="138"/>
      <c r="KQD29" s="138"/>
      <c r="KQE29" s="138"/>
      <c r="KQF29" s="138"/>
      <c r="KQG29" s="138"/>
      <c r="KQH29" s="138"/>
      <c r="KQI29" s="138"/>
      <c r="KQJ29" s="138"/>
      <c r="KQK29" s="138"/>
      <c r="KQL29" s="138"/>
      <c r="KQM29" s="138"/>
      <c r="KQN29" s="138"/>
      <c r="KQO29" s="138"/>
      <c r="KQP29" s="138"/>
      <c r="KQQ29" s="138"/>
      <c r="KQR29" s="138"/>
      <c r="KQS29" s="138"/>
      <c r="KQT29" s="138"/>
      <c r="KQU29" s="138"/>
      <c r="KQV29" s="138"/>
      <c r="KQW29" s="138"/>
      <c r="KQX29" s="138"/>
      <c r="KQY29" s="138"/>
      <c r="KQZ29" s="138"/>
      <c r="KRA29" s="138"/>
      <c r="KRB29" s="138"/>
      <c r="KRC29" s="138"/>
      <c r="KRD29" s="138"/>
      <c r="KRE29" s="138"/>
      <c r="KRF29" s="138"/>
      <c r="KRG29" s="138"/>
      <c r="KRH29" s="138"/>
      <c r="KRI29" s="138"/>
      <c r="KRJ29" s="138"/>
      <c r="KRK29" s="138"/>
      <c r="KRL29" s="138"/>
      <c r="KRM29" s="138"/>
      <c r="KRN29" s="138"/>
      <c r="KRO29" s="138"/>
      <c r="KRP29" s="138"/>
      <c r="KRQ29" s="138"/>
      <c r="KRR29" s="138"/>
      <c r="KRS29" s="138"/>
      <c r="KRT29" s="138"/>
      <c r="KRU29" s="138"/>
      <c r="KRV29" s="138"/>
      <c r="KRW29" s="138"/>
      <c r="KRX29" s="138"/>
      <c r="KRY29" s="138"/>
      <c r="KRZ29" s="138"/>
      <c r="KSA29" s="138"/>
      <c r="KSB29" s="138"/>
      <c r="KSC29" s="138"/>
      <c r="KSD29" s="138"/>
      <c r="KSE29" s="138"/>
      <c r="KSF29" s="138"/>
      <c r="KSG29" s="138"/>
      <c r="KSH29" s="138"/>
      <c r="KSI29" s="138"/>
      <c r="KSJ29" s="138"/>
      <c r="KSK29" s="138"/>
      <c r="KSL29" s="138"/>
      <c r="KSM29" s="138"/>
      <c r="KSN29" s="138"/>
      <c r="KSO29" s="138"/>
      <c r="KSP29" s="138"/>
      <c r="KSQ29" s="138"/>
      <c r="KSR29" s="138"/>
      <c r="KSS29" s="138"/>
      <c r="KST29" s="138"/>
      <c r="KSU29" s="138"/>
      <c r="KSV29" s="138"/>
      <c r="KSW29" s="138"/>
      <c r="KSX29" s="138"/>
      <c r="KSY29" s="138"/>
      <c r="KSZ29" s="138"/>
      <c r="KTA29" s="138"/>
      <c r="KTB29" s="138"/>
      <c r="KTC29" s="138"/>
      <c r="KTD29" s="138"/>
      <c r="KTE29" s="138"/>
      <c r="KTF29" s="138"/>
      <c r="KTG29" s="138"/>
      <c r="KTH29" s="138"/>
      <c r="KTI29" s="138"/>
      <c r="KTJ29" s="138"/>
      <c r="KTK29" s="138"/>
      <c r="KTL29" s="138"/>
      <c r="KTM29" s="138"/>
      <c r="KTN29" s="138"/>
      <c r="KTO29" s="138"/>
      <c r="KTP29" s="138"/>
      <c r="KTQ29" s="138"/>
      <c r="KTR29" s="138"/>
      <c r="KTS29" s="138"/>
      <c r="KTT29" s="138"/>
      <c r="KTU29" s="138"/>
      <c r="KTV29" s="138"/>
      <c r="KTW29" s="138"/>
      <c r="KTX29" s="138"/>
      <c r="KTY29" s="138"/>
      <c r="KTZ29" s="138"/>
      <c r="KUA29" s="138"/>
      <c r="KUB29" s="138"/>
      <c r="KUC29" s="138"/>
      <c r="KUD29" s="138"/>
      <c r="KUE29" s="138"/>
      <c r="KUF29" s="138"/>
      <c r="KUG29" s="138"/>
      <c r="KUH29" s="138"/>
      <c r="KUI29" s="138"/>
      <c r="KUJ29" s="138"/>
      <c r="KUK29" s="138"/>
      <c r="KUL29" s="138"/>
      <c r="KUM29" s="138"/>
      <c r="KUN29" s="138"/>
      <c r="KUO29" s="138"/>
      <c r="KUP29" s="138"/>
      <c r="KUQ29" s="138"/>
      <c r="KUR29" s="138"/>
      <c r="KUS29" s="138"/>
      <c r="KUT29" s="138"/>
      <c r="KUU29" s="138"/>
      <c r="KUV29" s="138"/>
      <c r="KUW29" s="138"/>
      <c r="KUX29" s="138"/>
      <c r="KUY29" s="138"/>
      <c r="KUZ29" s="138"/>
      <c r="KVA29" s="138"/>
      <c r="KVB29" s="138"/>
      <c r="KVC29" s="138"/>
      <c r="KVD29" s="138"/>
      <c r="KVE29" s="138"/>
      <c r="KVF29" s="138"/>
      <c r="KVG29" s="138"/>
      <c r="KVH29" s="138"/>
      <c r="KVI29" s="138"/>
      <c r="KVJ29" s="138"/>
      <c r="KVK29" s="138"/>
      <c r="KVL29" s="138"/>
      <c r="KVM29" s="138"/>
      <c r="KVN29" s="138"/>
      <c r="KVO29" s="138"/>
      <c r="KVP29" s="138"/>
      <c r="KVQ29" s="138"/>
      <c r="KVR29" s="138"/>
      <c r="KVS29" s="138"/>
      <c r="KVT29" s="138"/>
      <c r="KVU29" s="138"/>
      <c r="KVV29" s="138"/>
      <c r="KVW29" s="138"/>
      <c r="KVX29" s="138"/>
      <c r="KVY29" s="138"/>
      <c r="KVZ29" s="138"/>
      <c r="KWA29" s="138"/>
      <c r="KWB29" s="138"/>
      <c r="KWC29" s="138"/>
      <c r="KWD29" s="138"/>
      <c r="KWE29" s="138"/>
      <c r="KWF29" s="138"/>
      <c r="KWG29" s="138"/>
      <c r="KWH29" s="138"/>
      <c r="KWI29" s="138"/>
      <c r="KWJ29" s="138"/>
      <c r="KWK29" s="138"/>
      <c r="KWL29" s="138"/>
      <c r="KWM29" s="138"/>
      <c r="KWN29" s="138"/>
      <c r="KWO29" s="138"/>
      <c r="KWP29" s="138"/>
      <c r="KWQ29" s="138"/>
      <c r="KWR29" s="138"/>
      <c r="KWS29" s="138"/>
      <c r="KWT29" s="138"/>
      <c r="KWU29" s="138"/>
      <c r="KWV29" s="138"/>
      <c r="KWW29" s="138"/>
      <c r="KWX29" s="138"/>
      <c r="KWY29" s="138"/>
      <c r="KWZ29" s="138"/>
      <c r="KXA29" s="138"/>
      <c r="KXB29" s="138"/>
      <c r="KXC29" s="138"/>
      <c r="KXD29" s="138"/>
      <c r="KXE29" s="138"/>
      <c r="KXF29" s="138"/>
      <c r="KXG29" s="138"/>
      <c r="KXH29" s="138"/>
      <c r="KXI29" s="138"/>
      <c r="KXJ29" s="138"/>
      <c r="KXK29" s="138"/>
      <c r="KXL29" s="138"/>
      <c r="KXM29" s="138"/>
      <c r="KXN29" s="138"/>
      <c r="KXO29" s="138"/>
      <c r="KXP29" s="138"/>
      <c r="KXQ29" s="138"/>
      <c r="KXR29" s="138"/>
      <c r="KXS29" s="138"/>
      <c r="KXT29" s="138"/>
      <c r="KXU29" s="138"/>
      <c r="KXV29" s="138"/>
      <c r="KXW29" s="138"/>
      <c r="KXX29" s="138"/>
      <c r="KXY29" s="138"/>
      <c r="KXZ29" s="138"/>
      <c r="KYA29" s="138"/>
      <c r="KYB29" s="138"/>
      <c r="KYC29" s="138"/>
      <c r="KYD29" s="138"/>
      <c r="KYE29" s="138"/>
      <c r="KYF29" s="138"/>
      <c r="KYG29" s="138"/>
      <c r="KYH29" s="138"/>
      <c r="KYI29" s="138"/>
      <c r="KYJ29" s="138"/>
      <c r="KYK29" s="138"/>
      <c r="KYL29" s="138"/>
      <c r="KYM29" s="138"/>
      <c r="KYN29" s="138"/>
      <c r="KYO29" s="138"/>
      <c r="KYP29" s="138"/>
      <c r="KYQ29" s="138"/>
      <c r="KYR29" s="138"/>
      <c r="KYS29" s="138"/>
      <c r="KYT29" s="138"/>
      <c r="KYU29" s="138"/>
      <c r="KYV29" s="138"/>
      <c r="KYW29" s="138"/>
      <c r="KYX29" s="138"/>
      <c r="KYY29" s="138"/>
      <c r="KYZ29" s="138"/>
      <c r="KZA29" s="138"/>
      <c r="KZB29" s="138"/>
      <c r="KZC29" s="138"/>
      <c r="KZD29" s="138"/>
      <c r="KZE29" s="138"/>
      <c r="KZF29" s="138"/>
      <c r="KZG29" s="138"/>
      <c r="KZH29" s="138"/>
      <c r="KZI29" s="138"/>
      <c r="KZJ29" s="138"/>
      <c r="KZK29" s="138"/>
      <c r="KZL29" s="138"/>
      <c r="KZM29" s="138"/>
      <c r="KZN29" s="138"/>
      <c r="KZO29" s="138"/>
      <c r="KZP29" s="138"/>
      <c r="KZQ29" s="138"/>
      <c r="KZR29" s="138"/>
      <c r="KZS29" s="138"/>
      <c r="KZT29" s="138"/>
      <c r="KZU29" s="138"/>
      <c r="KZV29" s="138"/>
      <c r="KZW29" s="138"/>
      <c r="KZX29" s="138"/>
      <c r="KZY29" s="138"/>
      <c r="KZZ29" s="138"/>
      <c r="LAA29" s="138"/>
      <c r="LAB29" s="138"/>
      <c r="LAC29" s="138"/>
      <c r="LAD29" s="138"/>
      <c r="LAE29" s="138"/>
      <c r="LAF29" s="138"/>
      <c r="LAG29" s="138"/>
      <c r="LAH29" s="138"/>
      <c r="LAI29" s="138"/>
      <c r="LAJ29" s="138"/>
      <c r="LAK29" s="138"/>
      <c r="LAL29" s="138"/>
      <c r="LAM29" s="138"/>
      <c r="LAN29" s="138"/>
      <c r="LAO29" s="138"/>
      <c r="LAP29" s="138"/>
      <c r="LAQ29" s="138"/>
      <c r="LAR29" s="138"/>
      <c r="LAS29" s="138"/>
      <c r="LAT29" s="138"/>
      <c r="LAU29" s="138"/>
      <c r="LAV29" s="138"/>
      <c r="LAW29" s="138"/>
      <c r="LAX29" s="138"/>
      <c r="LAY29" s="138"/>
      <c r="LAZ29" s="138"/>
      <c r="LBA29" s="138"/>
      <c r="LBB29" s="138"/>
      <c r="LBC29" s="138"/>
      <c r="LBD29" s="138"/>
      <c r="LBE29" s="138"/>
      <c r="LBF29" s="138"/>
      <c r="LBG29" s="138"/>
      <c r="LBH29" s="138"/>
      <c r="LBI29" s="138"/>
      <c r="LBJ29" s="138"/>
      <c r="LBK29" s="138"/>
      <c r="LBL29" s="138"/>
      <c r="LBM29" s="138"/>
      <c r="LBN29" s="138"/>
      <c r="LBO29" s="138"/>
      <c r="LBP29" s="138"/>
      <c r="LBQ29" s="138"/>
      <c r="LBR29" s="138"/>
      <c r="LBS29" s="138"/>
      <c r="LBT29" s="138"/>
      <c r="LBU29" s="138"/>
      <c r="LBV29" s="138"/>
      <c r="LBW29" s="138"/>
      <c r="LBX29" s="138"/>
      <c r="LBY29" s="138"/>
      <c r="LBZ29" s="138"/>
      <c r="LCA29" s="138"/>
      <c r="LCB29" s="138"/>
      <c r="LCC29" s="138"/>
      <c r="LCD29" s="138"/>
      <c r="LCE29" s="138"/>
      <c r="LCF29" s="138"/>
      <c r="LCG29" s="138"/>
      <c r="LCH29" s="138"/>
      <c r="LCI29" s="138"/>
      <c r="LCJ29" s="138"/>
      <c r="LCK29" s="138"/>
      <c r="LCL29" s="138"/>
      <c r="LCM29" s="138"/>
      <c r="LCN29" s="138"/>
      <c r="LCO29" s="138"/>
      <c r="LCP29" s="138"/>
      <c r="LCQ29" s="138"/>
      <c r="LCR29" s="138"/>
      <c r="LCS29" s="138"/>
      <c r="LCT29" s="138"/>
      <c r="LCU29" s="138"/>
      <c r="LCV29" s="138"/>
      <c r="LCW29" s="138"/>
      <c r="LCX29" s="138"/>
      <c r="LCY29" s="138"/>
      <c r="LCZ29" s="138"/>
      <c r="LDA29" s="138"/>
      <c r="LDB29" s="138"/>
      <c r="LDC29" s="138"/>
      <c r="LDD29" s="138"/>
      <c r="LDE29" s="138"/>
      <c r="LDF29" s="138"/>
      <c r="LDG29" s="138"/>
      <c r="LDH29" s="138"/>
      <c r="LDI29" s="138"/>
      <c r="LDJ29" s="138"/>
      <c r="LDK29" s="138"/>
      <c r="LDL29" s="138"/>
      <c r="LDM29" s="138"/>
      <c r="LDN29" s="138"/>
      <c r="LDO29" s="138"/>
      <c r="LDP29" s="138"/>
      <c r="LDQ29" s="138"/>
      <c r="LDR29" s="138"/>
      <c r="LDS29" s="138"/>
      <c r="LDT29" s="138"/>
      <c r="LDU29" s="138"/>
      <c r="LDV29" s="138"/>
      <c r="LDW29" s="138"/>
      <c r="LDX29" s="138"/>
      <c r="LDY29" s="138"/>
      <c r="LDZ29" s="138"/>
      <c r="LEA29" s="138"/>
      <c r="LEB29" s="138"/>
      <c r="LEC29" s="138"/>
      <c r="LED29" s="138"/>
      <c r="LEE29" s="138"/>
      <c r="LEF29" s="138"/>
      <c r="LEG29" s="138"/>
      <c r="LEH29" s="138"/>
      <c r="LEI29" s="138"/>
      <c r="LEJ29" s="138"/>
      <c r="LEK29" s="138"/>
      <c r="LEL29" s="138"/>
      <c r="LEM29" s="138"/>
      <c r="LEN29" s="138"/>
      <c r="LEO29" s="138"/>
      <c r="LEP29" s="138"/>
      <c r="LEQ29" s="138"/>
      <c r="LER29" s="138"/>
      <c r="LES29" s="138"/>
      <c r="LET29" s="138"/>
      <c r="LEU29" s="138"/>
      <c r="LEV29" s="138"/>
      <c r="LEW29" s="138"/>
      <c r="LEX29" s="138"/>
      <c r="LEY29" s="138"/>
      <c r="LEZ29" s="138"/>
      <c r="LFA29" s="138"/>
      <c r="LFB29" s="138"/>
      <c r="LFC29" s="138"/>
      <c r="LFD29" s="138"/>
      <c r="LFE29" s="138"/>
      <c r="LFF29" s="138"/>
      <c r="LFG29" s="138"/>
      <c r="LFH29" s="138"/>
      <c r="LFI29" s="138"/>
      <c r="LFJ29" s="138"/>
      <c r="LFK29" s="138"/>
      <c r="LFL29" s="138"/>
      <c r="LFM29" s="138"/>
      <c r="LFN29" s="138"/>
      <c r="LFO29" s="138"/>
      <c r="LFP29" s="138"/>
      <c r="LFQ29" s="138"/>
      <c r="LFR29" s="138"/>
      <c r="LFS29" s="138"/>
      <c r="LFT29" s="138"/>
      <c r="LFU29" s="138"/>
      <c r="LFV29" s="138"/>
      <c r="LFW29" s="138"/>
      <c r="LFX29" s="138"/>
      <c r="LFY29" s="138"/>
      <c r="LFZ29" s="138"/>
      <c r="LGA29" s="138"/>
      <c r="LGB29" s="138"/>
      <c r="LGC29" s="138"/>
      <c r="LGD29" s="138"/>
      <c r="LGE29" s="138"/>
      <c r="LGF29" s="138"/>
      <c r="LGG29" s="138"/>
      <c r="LGH29" s="138"/>
      <c r="LGI29" s="138"/>
      <c r="LGJ29" s="138"/>
      <c r="LGK29" s="138"/>
      <c r="LGL29" s="138"/>
      <c r="LGM29" s="138"/>
      <c r="LGN29" s="138"/>
      <c r="LGO29" s="138"/>
      <c r="LGP29" s="138"/>
      <c r="LGQ29" s="138"/>
      <c r="LGR29" s="138"/>
      <c r="LGS29" s="138"/>
      <c r="LGT29" s="138"/>
      <c r="LGU29" s="138"/>
      <c r="LGV29" s="138"/>
      <c r="LGW29" s="138"/>
      <c r="LGX29" s="138"/>
      <c r="LGY29" s="138"/>
      <c r="LGZ29" s="138"/>
      <c r="LHA29" s="138"/>
      <c r="LHB29" s="138"/>
      <c r="LHC29" s="138"/>
      <c r="LHD29" s="138"/>
      <c r="LHE29" s="138"/>
      <c r="LHF29" s="138"/>
      <c r="LHG29" s="138"/>
      <c r="LHH29" s="138"/>
      <c r="LHI29" s="138"/>
      <c r="LHJ29" s="138"/>
      <c r="LHK29" s="138"/>
      <c r="LHL29" s="138"/>
      <c r="LHM29" s="138"/>
      <c r="LHN29" s="138"/>
      <c r="LHO29" s="138"/>
      <c r="LHP29" s="138"/>
      <c r="LHQ29" s="138"/>
      <c r="LHR29" s="138"/>
      <c r="LHS29" s="138"/>
      <c r="LHT29" s="138"/>
      <c r="LHU29" s="138"/>
      <c r="LHV29" s="138"/>
      <c r="LHW29" s="138"/>
      <c r="LHX29" s="138"/>
      <c r="LHY29" s="138"/>
      <c r="LHZ29" s="138"/>
      <c r="LIA29" s="138"/>
      <c r="LIB29" s="138"/>
      <c r="LIC29" s="138"/>
      <c r="LID29" s="138"/>
      <c r="LIE29" s="138"/>
      <c r="LIF29" s="138"/>
      <c r="LIG29" s="138"/>
      <c r="LIH29" s="138"/>
      <c r="LII29" s="138"/>
      <c r="LIJ29" s="138"/>
      <c r="LIK29" s="138"/>
      <c r="LIL29" s="138"/>
      <c r="LIM29" s="138"/>
      <c r="LIN29" s="138"/>
      <c r="LIO29" s="138"/>
      <c r="LIP29" s="138"/>
      <c r="LIQ29" s="138"/>
      <c r="LIR29" s="138"/>
      <c r="LIS29" s="138"/>
      <c r="LIT29" s="138"/>
      <c r="LIU29" s="138"/>
      <c r="LIV29" s="138"/>
      <c r="LIW29" s="138"/>
      <c r="LIX29" s="138"/>
      <c r="LIY29" s="138"/>
      <c r="LIZ29" s="138"/>
      <c r="LJA29" s="138"/>
      <c r="LJB29" s="138"/>
      <c r="LJC29" s="138"/>
      <c r="LJD29" s="138"/>
      <c r="LJE29" s="138"/>
      <c r="LJF29" s="138"/>
      <c r="LJG29" s="138"/>
      <c r="LJH29" s="138"/>
      <c r="LJI29" s="138"/>
      <c r="LJJ29" s="138"/>
      <c r="LJK29" s="138"/>
      <c r="LJL29" s="138"/>
      <c r="LJM29" s="138"/>
      <c r="LJN29" s="138"/>
      <c r="LJO29" s="138"/>
      <c r="LJP29" s="138"/>
      <c r="LJQ29" s="138"/>
      <c r="LJR29" s="138"/>
      <c r="LJS29" s="138"/>
      <c r="LJT29" s="138"/>
      <c r="LJU29" s="138"/>
      <c r="LJV29" s="138"/>
      <c r="LJW29" s="138"/>
      <c r="LJX29" s="138"/>
      <c r="LJY29" s="138"/>
      <c r="LJZ29" s="138"/>
      <c r="LKA29" s="138"/>
      <c r="LKB29" s="138"/>
      <c r="LKC29" s="138"/>
      <c r="LKD29" s="138"/>
      <c r="LKE29" s="138"/>
      <c r="LKF29" s="138"/>
      <c r="LKG29" s="138"/>
      <c r="LKH29" s="138"/>
      <c r="LKI29" s="138"/>
      <c r="LKJ29" s="138"/>
      <c r="LKK29" s="138"/>
      <c r="LKL29" s="138"/>
      <c r="LKM29" s="138"/>
      <c r="LKN29" s="138"/>
      <c r="LKO29" s="138"/>
      <c r="LKP29" s="138"/>
      <c r="LKQ29" s="138"/>
      <c r="LKR29" s="138"/>
      <c r="LKS29" s="138"/>
      <c r="LKT29" s="138"/>
      <c r="LKU29" s="138"/>
      <c r="LKV29" s="138"/>
      <c r="LKW29" s="138"/>
      <c r="LKX29" s="138"/>
      <c r="LKY29" s="138"/>
      <c r="LKZ29" s="138"/>
      <c r="LLA29" s="138"/>
      <c r="LLB29" s="138"/>
      <c r="LLC29" s="138"/>
      <c r="LLD29" s="138"/>
      <c r="LLE29" s="138"/>
      <c r="LLF29" s="138"/>
      <c r="LLG29" s="138"/>
      <c r="LLH29" s="138"/>
      <c r="LLI29" s="138"/>
      <c r="LLJ29" s="138"/>
      <c r="LLK29" s="138"/>
      <c r="LLL29" s="138"/>
      <c r="LLM29" s="138"/>
      <c r="LLN29" s="138"/>
      <c r="LLO29" s="138"/>
      <c r="LLP29" s="138"/>
      <c r="LLQ29" s="138"/>
      <c r="LLR29" s="138"/>
      <c r="LLS29" s="138"/>
      <c r="LLT29" s="138"/>
      <c r="LLU29" s="138"/>
      <c r="LLV29" s="138"/>
      <c r="LLW29" s="138"/>
      <c r="LLX29" s="138"/>
      <c r="LLY29" s="138"/>
      <c r="LLZ29" s="138"/>
      <c r="LMA29" s="138"/>
      <c r="LMB29" s="138"/>
      <c r="LMC29" s="138"/>
      <c r="LMD29" s="138"/>
      <c r="LME29" s="138"/>
      <c r="LMF29" s="138"/>
      <c r="LMG29" s="138"/>
      <c r="LMH29" s="138"/>
      <c r="LMI29" s="138"/>
      <c r="LMJ29" s="138"/>
      <c r="LMK29" s="138"/>
      <c r="LML29" s="138"/>
      <c r="LMM29" s="138"/>
      <c r="LMN29" s="138"/>
      <c r="LMO29" s="138"/>
      <c r="LMP29" s="138"/>
      <c r="LMQ29" s="138"/>
      <c r="LMR29" s="138"/>
      <c r="LMS29" s="138"/>
      <c r="LMT29" s="138"/>
      <c r="LMU29" s="138"/>
      <c r="LMV29" s="138"/>
      <c r="LMW29" s="138"/>
      <c r="LMX29" s="138"/>
      <c r="LMY29" s="138"/>
      <c r="LMZ29" s="138"/>
      <c r="LNA29" s="138"/>
      <c r="LNB29" s="138"/>
      <c r="LNC29" s="138"/>
      <c r="LND29" s="138"/>
      <c r="LNE29" s="138"/>
      <c r="LNF29" s="138"/>
      <c r="LNG29" s="138"/>
      <c r="LNH29" s="138"/>
      <c r="LNI29" s="138"/>
      <c r="LNJ29" s="138"/>
      <c r="LNK29" s="138"/>
      <c r="LNL29" s="138"/>
      <c r="LNM29" s="138"/>
      <c r="LNN29" s="138"/>
      <c r="LNO29" s="138"/>
      <c r="LNP29" s="138"/>
      <c r="LNQ29" s="138"/>
      <c r="LNR29" s="138"/>
      <c r="LNS29" s="138"/>
      <c r="LNT29" s="138"/>
      <c r="LNU29" s="138"/>
      <c r="LNV29" s="138"/>
      <c r="LNW29" s="138"/>
      <c r="LNX29" s="138"/>
      <c r="LNY29" s="138"/>
      <c r="LNZ29" s="138"/>
      <c r="LOA29" s="138"/>
      <c r="LOB29" s="138"/>
      <c r="LOC29" s="138"/>
      <c r="LOD29" s="138"/>
      <c r="LOE29" s="138"/>
      <c r="LOF29" s="138"/>
      <c r="LOG29" s="138"/>
      <c r="LOH29" s="138"/>
      <c r="LOI29" s="138"/>
      <c r="LOJ29" s="138"/>
      <c r="LOK29" s="138"/>
      <c r="LOL29" s="138"/>
      <c r="LOM29" s="138"/>
      <c r="LON29" s="138"/>
      <c r="LOO29" s="138"/>
      <c r="LOP29" s="138"/>
      <c r="LOQ29" s="138"/>
      <c r="LOR29" s="138"/>
      <c r="LOS29" s="138"/>
      <c r="LOT29" s="138"/>
      <c r="LOU29" s="138"/>
      <c r="LOV29" s="138"/>
      <c r="LOW29" s="138"/>
      <c r="LOX29" s="138"/>
      <c r="LOY29" s="138"/>
      <c r="LOZ29" s="138"/>
      <c r="LPA29" s="138"/>
      <c r="LPB29" s="138"/>
      <c r="LPC29" s="138"/>
      <c r="LPD29" s="138"/>
      <c r="LPE29" s="138"/>
      <c r="LPF29" s="138"/>
      <c r="LPG29" s="138"/>
      <c r="LPH29" s="138"/>
      <c r="LPI29" s="138"/>
      <c r="LPJ29" s="138"/>
      <c r="LPK29" s="138"/>
      <c r="LPL29" s="138"/>
      <c r="LPM29" s="138"/>
      <c r="LPN29" s="138"/>
      <c r="LPO29" s="138"/>
      <c r="LPP29" s="138"/>
      <c r="LPQ29" s="138"/>
      <c r="LPR29" s="138"/>
      <c r="LPS29" s="138"/>
      <c r="LPT29" s="138"/>
      <c r="LPU29" s="138"/>
      <c r="LPV29" s="138"/>
      <c r="LPW29" s="138"/>
      <c r="LPX29" s="138"/>
      <c r="LPY29" s="138"/>
      <c r="LPZ29" s="138"/>
      <c r="LQA29" s="138"/>
      <c r="LQB29" s="138"/>
      <c r="LQC29" s="138"/>
      <c r="LQD29" s="138"/>
      <c r="LQE29" s="138"/>
      <c r="LQF29" s="138"/>
      <c r="LQG29" s="138"/>
      <c r="LQH29" s="138"/>
      <c r="LQI29" s="138"/>
      <c r="LQJ29" s="138"/>
      <c r="LQK29" s="138"/>
      <c r="LQL29" s="138"/>
      <c r="LQM29" s="138"/>
      <c r="LQN29" s="138"/>
      <c r="LQO29" s="138"/>
      <c r="LQP29" s="138"/>
      <c r="LQQ29" s="138"/>
      <c r="LQR29" s="138"/>
      <c r="LQS29" s="138"/>
      <c r="LQT29" s="138"/>
      <c r="LQU29" s="138"/>
      <c r="LQV29" s="138"/>
      <c r="LQW29" s="138"/>
      <c r="LQX29" s="138"/>
      <c r="LQY29" s="138"/>
      <c r="LQZ29" s="138"/>
      <c r="LRA29" s="138"/>
      <c r="LRB29" s="138"/>
      <c r="LRC29" s="138"/>
      <c r="LRD29" s="138"/>
      <c r="LRE29" s="138"/>
      <c r="LRF29" s="138"/>
      <c r="LRG29" s="138"/>
      <c r="LRH29" s="138"/>
      <c r="LRI29" s="138"/>
      <c r="LRJ29" s="138"/>
      <c r="LRK29" s="138"/>
      <c r="LRL29" s="138"/>
      <c r="LRM29" s="138"/>
      <c r="LRN29" s="138"/>
      <c r="LRO29" s="138"/>
      <c r="LRP29" s="138"/>
      <c r="LRQ29" s="138"/>
      <c r="LRR29" s="138"/>
      <c r="LRS29" s="138"/>
      <c r="LRT29" s="138"/>
      <c r="LRU29" s="138"/>
      <c r="LRV29" s="138"/>
      <c r="LRW29" s="138"/>
      <c r="LRX29" s="138"/>
      <c r="LRY29" s="138"/>
      <c r="LRZ29" s="138"/>
      <c r="LSA29" s="138"/>
      <c r="LSB29" s="138"/>
      <c r="LSC29" s="138"/>
      <c r="LSD29" s="138"/>
      <c r="LSE29" s="138"/>
      <c r="LSF29" s="138"/>
      <c r="LSG29" s="138"/>
      <c r="LSH29" s="138"/>
      <c r="LSI29" s="138"/>
      <c r="LSJ29" s="138"/>
      <c r="LSK29" s="138"/>
      <c r="LSL29" s="138"/>
      <c r="LSM29" s="138"/>
      <c r="LSN29" s="138"/>
      <c r="LSO29" s="138"/>
      <c r="LSP29" s="138"/>
      <c r="LSQ29" s="138"/>
      <c r="LSR29" s="138"/>
      <c r="LSS29" s="138"/>
      <c r="LST29" s="138"/>
      <c r="LSU29" s="138"/>
      <c r="LSV29" s="138"/>
      <c r="LSW29" s="138"/>
      <c r="LSX29" s="138"/>
      <c r="LSY29" s="138"/>
      <c r="LSZ29" s="138"/>
      <c r="LTA29" s="138"/>
      <c r="LTB29" s="138"/>
      <c r="LTC29" s="138"/>
      <c r="LTD29" s="138"/>
      <c r="LTE29" s="138"/>
      <c r="LTF29" s="138"/>
      <c r="LTG29" s="138"/>
      <c r="LTH29" s="138"/>
      <c r="LTI29" s="138"/>
      <c r="LTJ29" s="138"/>
      <c r="LTK29" s="138"/>
      <c r="LTL29" s="138"/>
      <c r="LTM29" s="138"/>
      <c r="LTN29" s="138"/>
      <c r="LTO29" s="138"/>
      <c r="LTP29" s="138"/>
      <c r="LTQ29" s="138"/>
      <c r="LTR29" s="138"/>
      <c r="LTS29" s="138"/>
      <c r="LTT29" s="138"/>
      <c r="LTU29" s="138"/>
      <c r="LTV29" s="138"/>
      <c r="LTW29" s="138"/>
      <c r="LTX29" s="138"/>
      <c r="LTY29" s="138"/>
      <c r="LTZ29" s="138"/>
      <c r="LUA29" s="138"/>
      <c r="LUB29" s="138"/>
      <c r="LUC29" s="138"/>
      <c r="LUD29" s="138"/>
      <c r="LUE29" s="138"/>
      <c r="LUF29" s="138"/>
      <c r="LUG29" s="138"/>
      <c r="LUH29" s="138"/>
      <c r="LUI29" s="138"/>
      <c r="LUJ29" s="138"/>
      <c r="LUK29" s="138"/>
      <c r="LUL29" s="138"/>
      <c r="LUM29" s="138"/>
      <c r="LUN29" s="138"/>
      <c r="LUO29" s="138"/>
      <c r="LUP29" s="138"/>
      <c r="LUQ29" s="138"/>
      <c r="LUR29" s="138"/>
      <c r="LUS29" s="138"/>
      <c r="LUT29" s="138"/>
      <c r="LUU29" s="138"/>
      <c r="LUV29" s="138"/>
      <c r="LUW29" s="138"/>
      <c r="LUX29" s="138"/>
      <c r="LUY29" s="138"/>
      <c r="LUZ29" s="138"/>
      <c r="LVA29" s="138"/>
      <c r="LVB29" s="138"/>
      <c r="LVC29" s="138"/>
      <c r="LVD29" s="138"/>
      <c r="LVE29" s="138"/>
      <c r="LVF29" s="138"/>
      <c r="LVG29" s="138"/>
      <c r="LVH29" s="138"/>
      <c r="LVI29" s="138"/>
      <c r="LVJ29" s="138"/>
      <c r="LVK29" s="138"/>
      <c r="LVL29" s="138"/>
      <c r="LVM29" s="138"/>
      <c r="LVN29" s="138"/>
      <c r="LVO29" s="138"/>
      <c r="LVP29" s="138"/>
      <c r="LVQ29" s="138"/>
      <c r="LVR29" s="138"/>
      <c r="LVS29" s="138"/>
      <c r="LVT29" s="138"/>
      <c r="LVU29" s="138"/>
      <c r="LVV29" s="138"/>
      <c r="LVW29" s="138"/>
      <c r="LVX29" s="138"/>
      <c r="LVY29" s="138"/>
      <c r="LVZ29" s="138"/>
      <c r="LWA29" s="138"/>
      <c r="LWB29" s="138"/>
      <c r="LWC29" s="138"/>
      <c r="LWD29" s="138"/>
      <c r="LWE29" s="138"/>
      <c r="LWF29" s="138"/>
      <c r="LWG29" s="138"/>
      <c r="LWH29" s="138"/>
      <c r="LWI29" s="138"/>
      <c r="LWJ29" s="138"/>
      <c r="LWK29" s="138"/>
      <c r="LWL29" s="138"/>
      <c r="LWM29" s="138"/>
      <c r="LWN29" s="138"/>
      <c r="LWO29" s="138"/>
      <c r="LWP29" s="138"/>
      <c r="LWQ29" s="138"/>
      <c r="LWR29" s="138"/>
      <c r="LWS29" s="138"/>
      <c r="LWT29" s="138"/>
      <c r="LWU29" s="138"/>
      <c r="LWV29" s="138"/>
      <c r="LWW29" s="138"/>
      <c r="LWX29" s="138"/>
      <c r="LWY29" s="138"/>
      <c r="LWZ29" s="138"/>
      <c r="LXA29" s="138"/>
      <c r="LXB29" s="138"/>
      <c r="LXC29" s="138"/>
      <c r="LXD29" s="138"/>
      <c r="LXE29" s="138"/>
      <c r="LXF29" s="138"/>
      <c r="LXG29" s="138"/>
      <c r="LXH29" s="138"/>
      <c r="LXI29" s="138"/>
      <c r="LXJ29" s="138"/>
      <c r="LXK29" s="138"/>
      <c r="LXL29" s="138"/>
      <c r="LXM29" s="138"/>
      <c r="LXN29" s="138"/>
      <c r="LXO29" s="138"/>
      <c r="LXP29" s="138"/>
      <c r="LXQ29" s="138"/>
      <c r="LXR29" s="138"/>
      <c r="LXS29" s="138"/>
      <c r="LXT29" s="138"/>
      <c r="LXU29" s="138"/>
      <c r="LXV29" s="138"/>
      <c r="LXW29" s="138"/>
      <c r="LXX29" s="138"/>
      <c r="LXY29" s="138"/>
      <c r="LXZ29" s="138"/>
      <c r="LYA29" s="138"/>
      <c r="LYB29" s="138"/>
      <c r="LYC29" s="138"/>
      <c r="LYD29" s="138"/>
      <c r="LYE29" s="138"/>
      <c r="LYF29" s="138"/>
      <c r="LYG29" s="138"/>
      <c r="LYH29" s="138"/>
      <c r="LYI29" s="138"/>
      <c r="LYJ29" s="138"/>
      <c r="LYK29" s="138"/>
      <c r="LYL29" s="138"/>
      <c r="LYM29" s="138"/>
      <c r="LYN29" s="138"/>
      <c r="LYO29" s="138"/>
      <c r="LYP29" s="138"/>
      <c r="LYQ29" s="138"/>
      <c r="LYR29" s="138"/>
      <c r="LYS29" s="138"/>
      <c r="LYT29" s="138"/>
      <c r="LYU29" s="138"/>
      <c r="LYV29" s="138"/>
      <c r="LYW29" s="138"/>
      <c r="LYX29" s="138"/>
      <c r="LYY29" s="138"/>
      <c r="LYZ29" s="138"/>
      <c r="LZA29" s="138"/>
      <c r="LZB29" s="138"/>
      <c r="LZC29" s="138"/>
      <c r="LZD29" s="138"/>
      <c r="LZE29" s="138"/>
      <c r="LZF29" s="138"/>
      <c r="LZG29" s="138"/>
      <c r="LZH29" s="138"/>
      <c r="LZI29" s="138"/>
      <c r="LZJ29" s="138"/>
      <c r="LZK29" s="138"/>
      <c r="LZL29" s="138"/>
      <c r="LZM29" s="138"/>
      <c r="LZN29" s="138"/>
      <c r="LZO29" s="138"/>
      <c r="LZP29" s="138"/>
      <c r="LZQ29" s="138"/>
      <c r="LZR29" s="138"/>
      <c r="LZS29" s="138"/>
      <c r="LZT29" s="138"/>
      <c r="LZU29" s="138"/>
      <c r="LZV29" s="138"/>
      <c r="LZW29" s="138"/>
      <c r="LZX29" s="138"/>
      <c r="LZY29" s="138"/>
      <c r="LZZ29" s="138"/>
      <c r="MAA29" s="138"/>
      <c r="MAB29" s="138"/>
      <c r="MAC29" s="138"/>
      <c r="MAD29" s="138"/>
      <c r="MAE29" s="138"/>
      <c r="MAF29" s="138"/>
      <c r="MAG29" s="138"/>
      <c r="MAH29" s="138"/>
      <c r="MAI29" s="138"/>
      <c r="MAJ29" s="138"/>
      <c r="MAK29" s="138"/>
      <c r="MAL29" s="138"/>
      <c r="MAM29" s="138"/>
      <c r="MAN29" s="138"/>
      <c r="MAO29" s="138"/>
      <c r="MAP29" s="138"/>
      <c r="MAQ29" s="138"/>
      <c r="MAR29" s="138"/>
      <c r="MAS29" s="138"/>
      <c r="MAT29" s="138"/>
      <c r="MAU29" s="138"/>
      <c r="MAV29" s="138"/>
      <c r="MAW29" s="138"/>
      <c r="MAX29" s="138"/>
      <c r="MAY29" s="138"/>
      <c r="MAZ29" s="138"/>
      <c r="MBA29" s="138"/>
      <c r="MBB29" s="138"/>
      <c r="MBC29" s="138"/>
      <c r="MBD29" s="138"/>
      <c r="MBE29" s="138"/>
      <c r="MBF29" s="138"/>
      <c r="MBG29" s="138"/>
      <c r="MBH29" s="138"/>
      <c r="MBI29" s="138"/>
      <c r="MBJ29" s="138"/>
      <c r="MBK29" s="138"/>
      <c r="MBL29" s="138"/>
      <c r="MBM29" s="138"/>
      <c r="MBN29" s="138"/>
      <c r="MBO29" s="138"/>
      <c r="MBP29" s="138"/>
      <c r="MBQ29" s="138"/>
      <c r="MBR29" s="138"/>
      <c r="MBS29" s="138"/>
      <c r="MBT29" s="138"/>
      <c r="MBU29" s="138"/>
      <c r="MBV29" s="138"/>
      <c r="MBW29" s="138"/>
      <c r="MBX29" s="138"/>
      <c r="MBY29" s="138"/>
      <c r="MBZ29" s="138"/>
      <c r="MCA29" s="138"/>
      <c r="MCB29" s="138"/>
      <c r="MCC29" s="138"/>
      <c r="MCD29" s="138"/>
      <c r="MCE29" s="138"/>
      <c r="MCF29" s="138"/>
      <c r="MCG29" s="138"/>
      <c r="MCH29" s="138"/>
      <c r="MCI29" s="138"/>
      <c r="MCJ29" s="138"/>
      <c r="MCK29" s="138"/>
      <c r="MCL29" s="138"/>
      <c r="MCM29" s="138"/>
      <c r="MCN29" s="138"/>
      <c r="MCO29" s="138"/>
      <c r="MCP29" s="138"/>
      <c r="MCQ29" s="138"/>
      <c r="MCR29" s="138"/>
      <c r="MCS29" s="138"/>
      <c r="MCT29" s="138"/>
      <c r="MCU29" s="138"/>
      <c r="MCV29" s="138"/>
      <c r="MCW29" s="138"/>
      <c r="MCX29" s="138"/>
      <c r="MCY29" s="138"/>
      <c r="MCZ29" s="138"/>
      <c r="MDA29" s="138"/>
      <c r="MDB29" s="138"/>
      <c r="MDC29" s="138"/>
      <c r="MDD29" s="138"/>
      <c r="MDE29" s="138"/>
      <c r="MDF29" s="138"/>
      <c r="MDG29" s="138"/>
      <c r="MDH29" s="138"/>
      <c r="MDI29" s="138"/>
      <c r="MDJ29" s="138"/>
      <c r="MDK29" s="138"/>
      <c r="MDL29" s="138"/>
      <c r="MDM29" s="138"/>
      <c r="MDN29" s="138"/>
      <c r="MDO29" s="138"/>
      <c r="MDP29" s="138"/>
      <c r="MDQ29" s="138"/>
      <c r="MDR29" s="138"/>
      <c r="MDS29" s="138"/>
      <c r="MDT29" s="138"/>
      <c r="MDU29" s="138"/>
      <c r="MDV29" s="138"/>
      <c r="MDW29" s="138"/>
      <c r="MDX29" s="138"/>
      <c r="MDY29" s="138"/>
      <c r="MDZ29" s="138"/>
      <c r="MEA29" s="138"/>
      <c r="MEB29" s="138"/>
      <c r="MEC29" s="138"/>
      <c r="MED29" s="138"/>
      <c r="MEE29" s="138"/>
      <c r="MEF29" s="138"/>
      <c r="MEG29" s="138"/>
      <c r="MEH29" s="138"/>
      <c r="MEI29" s="138"/>
      <c r="MEJ29" s="138"/>
      <c r="MEK29" s="138"/>
      <c r="MEL29" s="138"/>
      <c r="MEM29" s="138"/>
      <c r="MEN29" s="138"/>
      <c r="MEO29" s="138"/>
      <c r="MEP29" s="138"/>
      <c r="MEQ29" s="138"/>
      <c r="MER29" s="138"/>
      <c r="MES29" s="138"/>
      <c r="MET29" s="138"/>
      <c r="MEU29" s="138"/>
      <c r="MEV29" s="138"/>
      <c r="MEW29" s="138"/>
      <c r="MEX29" s="138"/>
      <c r="MEY29" s="138"/>
      <c r="MEZ29" s="138"/>
      <c r="MFA29" s="138"/>
      <c r="MFB29" s="138"/>
      <c r="MFC29" s="138"/>
      <c r="MFD29" s="138"/>
      <c r="MFE29" s="138"/>
      <c r="MFF29" s="138"/>
      <c r="MFG29" s="138"/>
      <c r="MFH29" s="138"/>
      <c r="MFI29" s="138"/>
      <c r="MFJ29" s="138"/>
      <c r="MFK29" s="138"/>
      <c r="MFL29" s="138"/>
      <c r="MFM29" s="138"/>
      <c r="MFN29" s="138"/>
      <c r="MFO29" s="138"/>
      <c r="MFP29" s="138"/>
      <c r="MFQ29" s="138"/>
      <c r="MFR29" s="138"/>
      <c r="MFS29" s="138"/>
      <c r="MFT29" s="138"/>
      <c r="MFU29" s="138"/>
      <c r="MFV29" s="138"/>
      <c r="MFW29" s="138"/>
      <c r="MFX29" s="138"/>
      <c r="MFY29" s="138"/>
      <c r="MFZ29" s="138"/>
      <c r="MGA29" s="138"/>
      <c r="MGB29" s="138"/>
      <c r="MGC29" s="138"/>
      <c r="MGD29" s="138"/>
      <c r="MGE29" s="138"/>
      <c r="MGF29" s="138"/>
      <c r="MGG29" s="138"/>
      <c r="MGH29" s="138"/>
      <c r="MGI29" s="138"/>
      <c r="MGJ29" s="138"/>
      <c r="MGK29" s="138"/>
      <c r="MGL29" s="138"/>
      <c r="MGM29" s="138"/>
      <c r="MGN29" s="138"/>
      <c r="MGO29" s="138"/>
      <c r="MGP29" s="138"/>
      <c r="MGQ29" s="138"/>
      <c r="MGR29" s="138"/>
      <c r="MGS29" s="138"/>
      <c r="MGT29" s="138"/>
      <c r="MGU29" s="138"/>
      <c r="MGV29" s="138"/>
      <c r="MGW29" s="138"/>
      <c r="MGX29" s="138"/>
      <c r="MGY29" s="138"/>
      <c r="MGZ29" s="138"/>
      <c r="MHA29" s="138"/>
      <c r="MHB29" s="138"/>
      <c r="MHC29" s="138"/>
      <c r="MHD29" s="138"/>
      <c r="MHE29" s="138"/>
      <c r="MHF29" s="138"/>
      <c r="MHG29" s="138"/>
      <c r="MHH29" s="138"/>
      <c r="MHI29" s="138"/>
      <c r="MHJ29" s="138"/>
      <c r="MHK29" s="138"/>
      <c r="MHL29" s="138"/>
      <c r="MHM29" s="138"/>
      <c r="MHN29" s="138"/>
      <c r="MHO29" s="138"/>
      <c r="MHP29" s="138"/>
      <c r="MHQ29" s="138"/>
      <c r="MHR29" s="138"/>
      <c r="MHS29" s="138"/>
      <c r="MHT29" s="138"/>
      <c r="MHU29" s="138"/>
      <c r="MHV29" s="138"/>
      <c r="MHW29" s="138"/>
      <c r="MHX29" s="138"/>
      <c r="MHY29" s="138"/>
      <c r="MHZ29" s="138"/>
      <c r="MIA29" s="138"/>
      <c r="MIB29" s="138"/>
      <c r="MIC29" s="138"/>
      <c r="MID29" s="138"/>
      <c r="MIE29" s="138"/>
      <c r="MIF29" s="138"/>
      <c r="MIG29" s="138"/>
      <c r="MIH29" s="138"/>
      <c r="MII29" s="138"/>
      <c r="MIJ29" s="138"/>
      <c r="MIK29" s="138"/>
      <c r="MIL29" s="138"/>
      <c r="MIM29" s="138"/>
      <c r="MIN29" s="138"/>
      <c r="MIO29" s="138"/>
      <c r="MIP29" s="138"/>
      <c r="MIQ29" s="138"/>
      <c r="MIR29" s="138"/>
      <c r="MIS29" s="138"/>
      <c r="MIT29" s="138"/>
      <c r="MIU29" s="138"/>
      <c r="MIV29" s="138"/>
      <c r="MIW29" s="138"/>
      <c r="MIX29" s="138"/>
      <c r="MIY29" s="138"/>
      <c r="MIZ29" s="138"/>
      <c r="MJA29" s="138"/>
      <c r="MJB29" s="138"/>
      <c r="MJC29" s="138"/>
      <c r="MJD29" s="138"/>
      <c r="MJE29" s="138"/>
      <c r="MJF29" s="138"/>
      <c r="MJG29" s="138"/>
      <c r="MJH29" s="138"/>
      <c r="MJI29" s="138"/>
      <c r="MJJ29" s="138"/>
      <c r="MJK29" s="138"/>
      <c r="MJL29" s="138"/>
      <c r="MJM29" s="138"/>
      <c r="MJN29" s="138"/>
      <c r="MJO29" s="138"/>
      <c r="MJP29" s="138"/>
      <c r="MJQ29" s="138"/>
      <c r="MJR29" s="138"/>
      <c r="MJS29" s="138"/>
      <c r="MJT29" s="138"/>
      <c r="MJU29" s="138"/>
      <c r="MJV29" s="138"/>
      <c r="MJW29" s="138"/>
      <c r="MJX29" s="138"/>
      <c r="MJY29" s="138"/>
      <c r="MJZ29" s="138"/>
      <c r="MKA29" s="138"/>
      <c r="MKB29" s="138"/>
      <c r="MKC29" s="138"/>
      <c r="MKD29" s="138"/>
      <c r="MKE29" s="138"/>
      <c r="MKF29" s="138"/>
      <c r="MKG29" s="138"/>
      <c r="MKH29" s="138"/>
      <c r="MKI29" s="138"/>
      <c r="MKJ29" s="138"/>
      <c r="MKK29" s="138"/>
      <c r="MKL29" s="138"/>
      <c r="MKM29" s="138"/>
      <c r="MKN29" s="138"/>
      <c r="MKO29" s="138"/>
      <c r="MKP29" s="138"/>
      <c r="MKQ29" s="138"/>
      <c r="MKR29" s="138"/>
      <c r="MKS29" s="138"/>
      <c r="MKT29" s="138"/>
      <c r="MKU29" s="138"/>
      <c r="MKV29" s="138"/>
      <c r="MKW29" s="138"/>
      <c r="MKX29" s="138"/>
      <c r="MKY29" s="138"/>
      <c r="MKZ29" s="138"/>
      <c r="MLA29" s="138"/>
      <c r="MLB29" s="138"/>
      <c r="MLC29" s="138"/>
      <c r="MLD29" s="138"/>
      <c r="MLE29" s="138"/>
      <c r="MLF29" s="138"/>
      <c r="MLG29" s="138"/>
      <c r="MLH29" s="138"/>
      <c r="MLI29" s="138"/>
      <c r="MLJ29" s="138"/>
      <c r="MLK29" s="138"/>
      <c r="MLL29" s="138"/>
      <c r="MLM29" s="138"/>
      <c r="MLN29" s="138"/>
      <c r="MLO29" s="138"/>
      <c r="MLP29" s="138"/>
      <c r="MLQ29" s="138"/>
      <c r="MLR29" s="138"/>
      <c r="MLS29" s="138"/>
      <c r="MLT29" s="138"/>
      <c r="MLU29" s="138"/>
      <c r="MLV29" s="138"/>
      <c r="MLW29" s="138"/>
      <c r="MLX29" s="138"/>
      <c r="MLY29" s="138"/>
      <c r="MLZ29" s="138"/>
      <c r="MMA29" s="138"/>
      <c r="MMB29" s="138"/>
      <c r="MMC29" s="138"/>
      <c r="MMD29" s="138"/>
      <c r="MME29" s="138"/>
      <c r="MMF29" s="138"/>
      <c r="MMG29" s="138"/>
      <c r="MMH29" s="138"/>
      <c r="MMI29" s="138"/>
      <c r="MMJ29" s="138"/>
      <c r="MMK29" s="138"/>
      <c r="MML29" s="138"/>
      <c r="MMM29" s="138"/>
      <c r="MMN29" s="138"/>
      <c r="MMO29" s="138"/>
      <c r="MMP29" s="138"/>
      <c r="MMQ29" s="138"/>
      <c r="MMR29" s="138"/>
      <c r="MMS29" s="138"/>
      <c r="MMT29" s="138"/>
      <c r="MMU29" s="138"/>
      <c r="MMV29" s="138"/>
      <c r="MMW29" s="138"/>
      <c r="MMX29" s="138"/>
      <c r="MMY29" s="138"/>
      <c r="MMZ29" s="138"/>
      <c r="MNA29" s="138"/>
      <c r="MNB29" s="138"/>
      <c r="MNC29" s="138"/>
      <c r="MND29" s="138"/>
      <c r="MNE29" s="138"/>
      <c r="MNF29" s="138"/>
      <c r="MNG29" s="138"/>
      <c r="MNH29" s="138"/>
      <c r="MNI29" s="138"/>
      <c r="MNJ29" s="138"/>
      <c r="MNK29" s="138"/>
      <c r="MNL29" s="138"/>
      <c r="MNM29" s="138"/>
      <c r="MNN29" s="138"/>
      <c r="MNO29" s="138"/>
      <c r="MNP29" s="138"/>
      <c r="MNQ29" s="138"/>
      <c r="MNR29" s="138"/>
      <c r="MNS29" s="138"/>
      <c r="MNT29" s="138"/>
      <c r="MNU29" s="138"/>
      <c r="MNV29" s="138"/>
      <c r="MNW29" s="138"/>
      <c r="MNX29" s="138"/>
      <c r="MNY29" s="138"/>
      <c r="MNZ29" s="138"/>
      <c r="MOA29" s="138"/>
      <c r="MOB29" s="138"/>
      <c r="MOC29" s="138"/>
      <c r="MOD29" s="138"/>
      <c r="MOE29" s="138"/>
      <c r="MOF29" s="138"/>
      <c r="MOG29" s="138"/>
      <c r="MOH29" s="138"/>
      <c r="MOI29" s="138"/>
      <c r="MOJ29" s="138"/>
      <c r="MOK29" s="138"/>
      <c r="MOL29" s="138"/>
      <c r="MOM29" s="138"/>
      <c r="MON29" s="138"/>
      <c r="MOO29" s="138"/>
      <c r="MOP29" s="138"/>
      <c r="MOQ29" s="138"/>
      <c r="MOR29" s="138"/>
      <c r="MOS29" s="138"/>
      <c r="MOT29" s="138"/>
      <c r="MOU29" s="138"/>
      <c r="MOV29" s="138"/>
      <c r="MOW29" s="138"/>
      <c r="MOX29" s="138"/>
      <c r="MOY29" s="138"/>
      <c r="MOZ29" s="138"/>
      <c r="MPA29" s="138"/>
      <c r="MPB29" s="138"/>
      <c r="MPC29" s="138"/>
      <c r="MPD29" s="138"/>
      <c r="MPE29" s="138"/>
      <c r="MPF29" s="138"/>
      <c r="MPG29" s="138"/>
      <c r="MPH29" s="138"/>
      <c r="MPI29" s="138"/>
      <c r="MPJ29" s="138"/>
      <c r="MPK29" s="138"/>
      <c r="MPL29" s="138"/>
      <c r="MPM29" s="138"/>
      <c r="MPN29" s="138"/>
      <c r="MPO29" s="138"/>
      <c r="MPP29" s="138"/>
      <c r="MPQ29" s="138"/>
      <c r="MPR29" s="138"/>
      <c r="MPS29" s="138"/>
      <c r="MPT29" s="138"/>
      <c r="MPU29" s="138"/>
      <c r="MPV29" s="138"/>
      <c r="MPW29" s="138"/>
      <c r="MPX29" s="138"/>
      <c r="MPY29" s="138"/>
      <c r="MPZ29" s="138"/>
      <c r="MQA29" s="138"/>
      <c r="MQB29" s="138"/>
      <c r="MQC29" s="138"/>
      <c r="MQD29" s="138"/>
      <c r="MQE29" s="138"/>
      <c r="MQF29" s="138"/>
      <c r="MQG29" s="138"/>
      <c r="MQH29" s="138"/>
      <c r="MQI29" s="138"/>
      <c r="MQJ29" s="138"/>
      <c r="MQK29" s="138"/>
      <c r="MQL29" s="138"/>
      <c r="MQM29" s="138"/>
      <c r="MQN29" s="138"/>
      <c r="MQO29" s="138"/>
      <c r="MQP29" s="138"/>
      <c r="MQQ29" s="138"/>
      <c r="MQR29" s="138"/>
      <c r="MQS29" s="138"/>
      <c r="MQT29" s="138"/>
      <c r="MQU29" s="138"/>
      <c r="MQV29" s="138"/>
      <c r="MQW29" s="138"/>
      <c r="MQX29" s="138"/>
      <c r="MQY29" s="138"/>
      <c r="MQZ29" s="138"/>
      <c r="MRA29" s="138"/>
      <c r="MRB29" s="138"/>
      <c r="MRC29" s="138"/>
      <c r="MRD29" s="138"/>
      <c r="MRE29" s="138"/>
      <c r="MRF29" s="138"/>
      <c r="MRG29" s="138"/>
      <c r="MRH29" s="138"/>
      <c r="MRI29" s="138"/>
      <c r="MRJ29" s="138"/>
      <c r="MRK29" s="138"/>
      <c r="MRL29" s="138"/>
      <c r="MRM29" s="138"/>
      <c r="MRN29" s="138"/>
      <c r="MRO29" s="138"/>
      <c r="MRP29" s="138"/>
      <c r="MRQ29" s="138"/>
      <c r="MRR29" s="138"/>
      <c r="MRS29" s="138"/>
      <c r="MRT29" s="138"/>
      <c r="MRU29" s="138"/>
      <c r="MRV29" s="138"/>
      <c r="MRW29" s="138"/>
      <c r="MRX29" s="138"/>
      <c r="MRY29" s="138"/>
      <c r="MRZ29" s="138"/>
      <c r="MSA29" s="138"/>
      <c r="MSB29" s="138"/>
      <c r="MSC29" s="138"/>
      <c r="MSD29" s="138"/>
      <c r="MSE29" s="138"/>
      <c r="MSF29" s="138"/>
      <c r="MSG29" s="138"/>
      <c r="MSH29" s="138"/>
      <c r="MSI29" s="138"/>
      <c r="MSJ29" s="138"/>
      <c r="MSK29" s="138"/>
      <c r="MSL29" s="138"/>
      <c r="MSM29" s="138"/>
      <c r="MSN29" s="138"/>
      <c r="MSO29" s="138"/>
      <c r="MSP29" s="138"/>
      <c r="MSQ29" s="138"/>
      <c r="MSR29" s="138"/>
      <c r="MSS29" s="138"/>
      <c r="MST29" s="138"/>
      <c r="MSU29" s="138"/>
      <c r="MSV29" s="138"/>
      <c r="MSW29" s="138"/>
      <c r="MSX29" s="138"/>
      <c r="MSY29" s="138"/>
      <c r="MSZ29" s="138"/>
      <c r="MTA29" s="138"/>
      <c r="MTB29" s="138"/>
      <c r="MTC29" s="138"/>
      <c r="MTD29" s="138"/>
      <c r="MTE29" s="138"/>
      <c r="MTF29" s="138"/>
      <c r="MTG29" s="138"/>
      <c r="MTH29" s="138"/>
      <c r="MTI29" s="138"/>
      <c r="MTJ29" s="138"/>
      <c r="MTK29" s="138"/>
      <c r="MTL29" s="138"/>
      <c r="MTM29" s="138"/>
      <c r="MTN29" s="138"/>
      <c r="MTO29" s="138"/>
      <c r="MTP29" s="138"/>
      <c r="MTQ29" s="138"/>
      <c r="MTR29" s="138"/>
      <c r="MTS29" s="138"/>
      <c r="MTT29" s="138"/>
      <c r="MTU29" s="138"/>
      <c r="MTV29" s="138"/>
      <c r="MTW29" s="138"/>
      <c r="MTX29" s="138"/>
      <c r="MTY29" s="138"/>
      <c r="MTZ29" s="138"/>
      <c r="MUA29" s="138"/>
      <c r="MUB29" s="138"/>
      <c r="MUC29" s="138"/>
      <c r="MUD29" s="138"/>
      <c r="MUE29" s="138"/>
      <c r="MUF29" s="138"/>
      <c r="MUG29" s="138"/>
      <c r="MUH29" s="138"/>
      <c r="MUI29" s="138"/>
      <c r="MUJ29" s="138"/>
      <c r="MUK29" s="138"/>
      <c r="MUL29" s="138"/>
      <c r="MUM29" s="138"/>
      <c r="MUN29" s="138"/>
      <c r="MUO29" s="138"/>
      <c r="MUP29" s="138"/>
      <c r="MUQ29" s="138"/>
      <c r="MUR29" s="138"/>
      <c r="MUS29" s="138"/>
      <c r="MUT29" s="138"/>
      <c r="MUU29" s="138"/>
      <c r="MUV29" s="138"/>
      <c r="MUW29" s="138"/>
      <c r="MUX29" s="138"/>
      <c r="MUY29" s="138"/>
      <c r="MUZ29" s="138"/>
      <c r="MVA29" s="138"/>
      <c r="MVB29" s="138"/>
      <c r="MVC29" s="138"/>
      <c r="MVD29" s="138"/>
      <c r="MVE29" s="138"/>
      <c r="MVF29" s="138"/>
      <c r="MVG29" s="138"/>
      <c r="MVH29" s="138"/>
      <c r="MVI29" s="138"/>
      <c r="MVJ29" s="138"/>
      <c r="MVK29" s="138"/>
      <c r="MVL29" s="138"/>
      <c r="MVM29" s="138"/>
      <c r="MVN29" s="138"/>
      <c r="MVO29" s="138"/>
      <c r="MVP29" s="138"/>
      <c r="MVQ29" s="138"/>
      <c r="MVR29" s="138"/>
      <c r="MVS29" s="138"/>
      <c r="MVT29" s="138"/>
      <c r="MVU29" s="138"/>
      <c r="MVV29" s="138"/>
      <c r="MVW29" s="138"/>
      <c r="MVX29" s="138"/>
      <c r="MVY29" s="138"/>
      <c r="MVZ29" s="138"/>
      <c r="MWA29" s="138"/>
      <c r="MWB29" s="138"/>
      <c r="MWC29" s="138"/>
      <c r="MWD29" s="138"/>
      <c r="MWE29" s="138"/>
      <c r="MWF29" s="138"/>
      <c r="MWG29" s="138"/>
      <c r="MWH29" s="138"/>
      <c r="MWI29" s="138"/>
      <c r="MWJ29" s="138"/>
      <c r="MWK29" s="138"/>
      <c r="MWL29" s="138"/>
      <c r="MWM29" s="138"/>
      <c r="MWN29" s="138"/>
      <c r="MWO29" s="138"/>
      <c r="MWP29" s="138"/>
      <c r="MWQ29" s="138"/>
      <c r="MWR29" s="138"/>
      <c r="MWS29" s="138"/>
      <c r="MWT29" s="138"/>
      <c r="MWU29" s="138"/>
      <c r="MWV29" s="138"/>
      <c r="MWW29" s="138"/>
      <c r="MWX29" s="138"/>
      <c r="MWY29" s="138"/>
      <c r="MWZ29" s="138"/>
      <c r="MXA29" s="138"/>
      <c r="MXB29" s="138"/>
      <c r="MXC29" s="138"/>
      <c r="MXD29" s="138"/>
      <c r="MXE29" s="138"/>
      <c r="MXF29" s="138"/>
      <c r="MXG29" s="138"/>
      <c r="MXH29" s="138"/>
      <c r="MXI29" s="138"/>
      <c r="MXJ29" s="138"/>
      <c r="MXK29" s="138"/>
      <c r="MXL29" s="138"/>
      <c r="MXM29" s="138"/>
      <c r="MXN29" s="138"/>
      <c r="MXO29" s="138"/>
      <c r="MXP29" s="138"/>
      <c r="MXQ29" s="138"/>
      <c r="MXR29" s="138"/>
      <c r="MXS29" s="138"/>
      <c r="MXT29" s="138"/>
      <c r="MXU29" s="138"/>
      <c r="MXV29" s="138"/>
      <c r="MXW29" s="138"/>
      <c r="MXX29" s="138"/>
      <c r="MXY29" s="138"/>
      <c r="MXZ29" s="138"/>
      <c r="MYA29" s="138"/>
      <c r="MYB29" s="138"/>
      <c r="MYC29" s="138"/>
      <c r="MYD29" s="138"/>
      <c r="MYE29" s="138"/>
      <c r="MYF29" s="138"/>
      <c r="MYG29" s="138"/>
      <c r="MYH29" s="138"/>
      <c r="MYI29" s="138"/>
      <c r="MYJ29" s="138"/>
      <c r="MYK29" s="138"/>
      <c r="MYL29" s="138"/>
      <c r="MYM29" s="138"/>
      <c r="MYN29" s="138"/>
      <c r="MYO29" s="138"/>
      <c r="MYP29" s="138"/>
      <c r="MYQ29" s="138"/>
      <c r="MYR29" s="138"/>
      <c r="MYS29" s="138"/>
      <c r="MYT29" s="138"/>
      <c r="MYU29" s="138"/>
      <c r="MYV29" s="138"/>
      <c r="MYW29" s="138"/>
      <c r="MYX29" s="138"/>
      <c r="MYY29" s="138"/>
      <c r="MYZ29" s="138"/>
      <c r="MZA29" s="138"/>
      <c r="MZB29" s="138"/>
      <c r="MZC29" s="138"/>
      <c r="MZD29" s="138"/>
      <c r="MZE29" s="138"/>
      <c r="MZF29" s="138"/>
      <c r="MZG29" s="138"/>
      <c r="MZH29" s="138"/>
      <c r="MZI29" s="138"/>
      <c r="MZJ29" s="138"/>
      <c r="MZK29" s="138"/>
      <c r="MZL29" s="138"/>
      <c r="MZM29" s="138"/>
      <c r="MZN29" s="138"/>
      <c r="MZO29" s="138"/>
      <c r="MZP29" s="138"/>
      <c r="MZQ29" s="138"/>
      <c r="MZR29" s="138"/>
      <c r="MZS29" s="138"/>
      <c r="MZT29" s="138"/>
      <c r="MZU29" s="138"/>
      <c r="MZV29" s="138"/>
      <c r="MZW29" s="138"/>
      <c r="MZX29" s="138"/>
      <c r="MZY29" s="138"/>
      <c r="MZZ29" s="138"/>
      <c r="NAA29" s="138"/>
      <c r="NAB29" s="138"/>
      <c r="NAC29" s="138"/>
      <c r="NAD29" s="138"/>
      <c r="NAE29" s="138"/>
      <c r="NAF29" s="138"/>
      <c r="NAG29" s="138"/>
      <c r="NAH29" s="138"/>
      <c r="NAI29" s="138"/>
      <c r="NAJ29" s="138"/>
      <c r="NAK29" s="138"/>
      <c r="NAL29" s="138"/>
      <c r="NAM29" s="138"/>
      <c r="NAN29" s="138"/>
      <c r="NAO29" s="138"/>
      <c r="NAP29" s="138"/>
      <c r="NAQ29" s="138"/>
      <c r="NAR29" s="138"/>
      <c r="NAS29" s="138"/>
      <c r="NAT29" s="138"/>
      <c r="NAU29" s="138"/>
      <c r="NAV29" s="138"/>
      <c r="NAW29" s="138"/>
      <c r="NAX29" s="138"/>
      <c r="NAY29" s="138"/>
      <c r="NAZ29" s="138"/>
      <c r="NBA29" s="138"/>
      <c r="NBB29" s="138"/>
      <c r="NBC29" s="138"/>
      <c r="NBD29" s="138"/>
      <c r="NBE29" s="138"/>
      <c r="NBF29" s="138"/>
      <c r="NBG29" s="138"/>
      <c r="NBH29" s="138"/>
      <c r="NBI29" s="138"/>
      <c r="NBJ29" s="138"/>
      <c r="NBK29" s="138"/>
      <c r="NBL29" s="138"/>
      <c r="NBM29" s="138"/>
      <c r="NBN29" s="138"/>
      <c r="NBO29" s="138"/>
      <c r="NBP29" s="138"/>
      <c r="NBQ29" s="138"/>
      <c r="NBR29" s="138"/>
      <c r="NBS29" s="138"/>
      <c r="NBT29" s="138"/>
      <c r="NBU29" s="138"/>
      <c r="NBV29" s="138"/>
      <c r="NBW29" s="138"/>
      <c r="NBX29" s="138"/>
      <c r="NBY29" s="138"/>
      <c r="NBZ29" s="138"/>
      <c r="NCA29" s="138"/>
      <c r="NCB29" s="138"/>
      <c r="NCC29" s="138"/>
      <c r="NCD29" s="138"/>
      <c r="NCE29" s="138"/>
      <c r="NCF29" s="138"/>
      <c r="NCG29" s="138"/>
      <c r="NCH29" s="138"/>
      <c r="NCI29" s="138"/>
      <c r="NCJ29" s="138"/>
      <c r="NCK29" s="138"/>
      <c r="NCL29" s="138"/>
      <c r="NCM29" s="138"/>
      <c r="NCN29" s="138"/>
      <c r="NCO29" s="138"/>
      <c r="NCP29" s="138"/>
      <c r="NCQ29" s="138"/>
      <c r="NCR29" s="138"/>
      <c r="NCS29" s="138"/>
      <c r="NCT29" s="138"/>
      <c r="NCU29" s="138"/>
      <c r="NCV29" s="138"/>
      <c r="NCW29" s="138"/>
      <c r="NCX29" s="138"/>
      <c r="NCY29" s="138"/>
      <c r="NCZ29" s="138"/>
      <c r="NDA29" s="138"/>
      <c r="NDB29" s="138"/>
      <c r="NDC29" s="138"/>
      <c r="NDD29" s="138"/>
      <c r="NDE29" s="138"/>
      <c r="NDF29" s="138"/>
      <c r="NDG29" s="138"/>
      <c r="NDH29" s="138"/>
      <c r="NDI29" s="138"/>
      <c r="NDJ29" s="138"/>
      <c r="NDK29" s="138"/>
      <c r="NDL29" s="138"/>
      <c r="NDM29" s="138"/>
      <c r="NDN29" s="138"/>
      <c r="NDO29" s="138"/>
      <c r="NDP29" s="138"/>
      <c r="NDQ29" s="138"/>
      <c r="NDR29" s="138"/>
      <c r="NDS29" s="138"/>
      <c r="NDT29" s="138"/>
      <c r="NDU29" s="138"/>
      <c r="NDV29" s="138"/>
      <c r="NDW29" s="138"/>
      <c r="NDX29" s="138"/>
      <c r="NDY29" s="138"/>
      <c r="NDZ29" s="138"/>
      <c r="NEA29" s="138"/>
      <c r="NEB29" s="138"/>
      <c r="NEC29" s="138"/>
      <c r="NED29" s="138"/>
      <c r="NEE29" s="138"/>
      <c r="NEF29" s="138"/>
      <c r="NEG29" s="138"/>
      <c r="NEH29" s="138"/>
      <c r="NEI29" s="138"/>
      <c r="NEJ29" s="138"/>
      <c r="NEK29" s="138"/>
      <c r="NEL29" s="138"/>
      <c r="NEM29" s="138"/>
      <c r="NEN29" s="138"/>
      <c r="NEO29" s="138"/>
      <c r="NEP29" s="138"/>
      <c r="NEQ29" s="138"/>
      <c r="NER29" s="138"/>
      <c r="NES29" s="138"/>
      <c r="NET29" s="138"/>
      <c r="NEU29" s="138"/>
      <c r="NEV29" s="138"/>
      <c r="NEW29" s="138"/>
      <c r="NEX29" s="138"/>
      <c r="NEY29" s="138"/>
      <c r="NEZ29" s="138"/>
      <c r="NFA29" s="138"/>
      <c r="NFB29" s="138"/>
      <c r="NFC29" s="138"/>
      <c r="NFD29" s="138"/>
      <c r="NFE29" s="138"/>
      <c r="NFF29" s="138"/>
      <c r="NFG29" s="138"/>
      <c r="NFH29" s="138"/>
      <c r="NFI29" s="138"/>
      <c r="NFJ29" s="138"/>
      <c r="NFK29" s="138"/>
      <c r="NFL29" s="138"/>
      <c r="NFM29" s="138"/>
      <c r="NFN29" s="138"/>
      <c r="NFO29" s="138"/>
      <c r="NFP29" s="138"/>
      <c r="NFQ29" s="138"/>
      <c r="NFR29" s="138"/>
      <c r="NFS29" s="138"/>
      <c r="NFT29" s="138"/>
      <c r="NFU29" s="138"/>
      <c r="NFV29" s="138"/>
      <c r="NFW29" s="138"/>
      <c r="NFX29" s="138"/>
      <c r="NFY29" s="138"/>
      <c r="NFZ29" s="138"/>
      <c r="NGA29" s="138"/>
      <c r="NGB29" s="138"/>
      <c r="NGC29" s="138"/>
      <c r="NGD29" s="138"/>
      <c r="NGE29" s="138"/>
      <c r="NGF29" s="138"/>
      <c r="NGG29" s="138"/>
      <c r="NGH29" s="138"/>
      <c r="NGI29" s="138"/>
      <c r="NGJ29" s="138"/>
      <c r="NGK29" s="138"/>
      <c r="NGL29" s="138"/>
      <c r="NGM29" s="138"/>
      <c r="NGN29" s="138"/>
      <c r="NGO29" s="138"/>
      <c r="NGP29" s="138"/>
      <c r="NGQ29" s="138"/>
      <c r="NGR29" s="138"/>
      <c r="NGS29" s="138"/>
      <c r="NGT29" s="138"/>
      <c r="NGU29" s="138"/>
      <c r="NGV29" s="138"/>
      <c r="NGW29" s="138"/>
      <c r="NGX29" s="138"/>
      <c r="NGY29" s="138"/>
      <c r="NGZ29" s="138"/>
      <c r="NHA29" s="138"/>
      <c r="NHB29" s="138"/>
      <c r="NHC29" s="138"/>
      <c r="NHD29" s="138"/>
      <c r="NHE29" s="138"/>
      <c r="NHF29" s="138"/>
      <c r="NHG29" s="138"/>
      <c r="NHH29" s="138"/>
      <c r="NHI29" s="138"/>
      <c r="NHJ29" s="138"/>
      <c r="NHK29" s="138"/>
      <c r="NHL29" s="138"/>
      <c r="NHM29" s="138"/>
      <c r="NHN29" s="138"/>
      <c r="NHO29" s="138"/>
      <c r="NHP29" s="138"/>
      <c r="NHQ29" s="138"/>
      <c r="NHR29" s="138"/>
      <c r="NHS29" s="138"/>
      <c r="NHT29" s="138"/>
      <c r="NHU29" s="138"/>
      <c r="NHV29" s="138"/>
      <c r="NHW29" s="138"/>
      <c r="NHX29" s="138"/>
      <c r="NHY29" s="138"/>
      <c r="NHZ29" s="138"/>
      <c r="NIA29" s="138"/>
      <c r="NIB29" s="138"/>
      <c r="NIC29" s="138"/>
      <c r="NID29" s="138"/>
      <c r="NIE29" s="138"/>
      <c r="NIF29" s="138"/>
      <c r="NIG29" s="138"/>
      <c r="NIH29" s="138"/>
      <c r="NII29" s="138"/>
      <c r="NIJ29" s="138"/>
      <c r="NIK29" s="138"/>
      <c r="NIL29" s="138"/>
      <c r="NIM29" s="138"/>
      <c r="NIN29" s="138"/>
      <c r="NIO29" s="138"/>
      <c r="NIP29" s="138"/>
      <c r="NIQ29" s="138"/>
      <c r="NIR29" s="138"/>
      <c r="NIS29" s="138"/>
      <c r="NIT29" s="138"/>
      <c r="NIU29" s="138"/>
      <c r="NIV29" s="138"/>
      <c r="NIW29" s="138"/>
      <c r="NIX29" s="138"/>
      <c r="NIY29" s="138"/>
      <c r="NIZ29" s="138"/>
      <c r="NJA29" s="138"/>
      <c r="NJB29" s="138"/>
      <c r="NJC29" s="138"/>
      <c r="NJD29" s="138"/>
      <c r="NJE29" s="138"/>
      <c r="NJF29" s="138"/>
      <c r="NJG29" s="138"/>
      <c r="NJH29" s="138"/>
      <c r="NJI29" s="138"/>
      <c r="NJJ29" s="138"/>
      <c r="NJK29" s="138"/>
      <c r="NJL29" s="138"/>
      <c r="NJM29" s="138"/>
      <c r="NJN29" s="138"/>
      <c r="NJO29" s="138"/>
      <c r="NJP29" s="138"/>
      <c r="NJQ29" s="138"/>
      <c r="NJR29" s="138"/>
      <c r="NJS29" s="138"/>
      <c r="NJT29" s="138"/>
      <c r="NJU29" s="138"/>
      <c r="NJV29" s="138"/>
      <c r="NJW29" s="138"/>
      <c r="NJX29" s="138"/>
      <c r="NJY29" s="138"/>
      <c r="NJZ29" s="138"/>
      <c r="NKA29" s="138"/>
      <c r="NKB29" s="138"/>
      <c r="NKC29" s="138"/>
      <c r="NKD29" s="138"/>
      <c r="NKE29" s="138"/>
      <c r="NKF29" s="138"/>
      <c r="NKG29" s="138"/>
      <c r="NKH29" s="138"/>
      <c r="NKI29" s="138"/>
      <c r="NKJ29" s="138"/>
      <c r="NKK29" s="138"/>
      <c r="NKL29" s="138"/>
      <c r="NKM29" s="138"/>
      <c r="NKN29" s="138"/>
      <c r="NKO29" s="138"/>
      <c r="NKP29" s="138"/>
      <c r="NKQ29" s="138"/>
      <c r="NKR29" s="138"/>
      <c r="NKS29" s="138"/>
      <c r="NKT29" s="138"/>
      <c r="NKU29" s="138"/>
      <c r="NKV29" s="138"/>
      <c r="NKW29" s="138"/>
      <c r="NKX29" s="138"/>
      <c r="NKY29" s="138"/>
      <c r="NKZ29" s="138"/>
      <c r="NLA29" s="138"/>
      <c r="NLB29" s="138"/>
      <c r="NLC29" s="138"/>
      <c r="NLD29" s="138"/>
      <c r="NLE29" s="138"/>
      <c r="NLF29" s="138"/>
      <c r="NLG29" s="138"/>
      <c r="NLH29" s="138"/>
      <c r="NLI29" s="138"/>
      <c r="NLJ29" s="138"/>
      <c r="NLK29" s="138"/>
      <c r="NLL29" s="138"/>
      <c r="NLM29" s="138"/>
      <c r="NLN29" s="138"/>
      <c r="NLO29" s="138"/>
      <c r="NLP29" s="138"/>
      <c r="NLQ29" s="138"/>
      <c r="NLR29" s="138"/>
      <c r="NLS29" s="138"/>
      <c r="NLT29" s="138"/>
      <c r="NLU29" s="138"/>
      <c r="NLV29" s="138"/>
      <c r="NLW29" s="138"/>
      <c r="NLX29" s="138"/>
      <c r="NLY29" s="138"/>
      <c r="NLZ29" s="138"/>
      <c r="NMA29" s="138"/>
      <c r="NMB29" s="138"/>
      <c r="NMC29" s="138"/>
      <c r="NMD29" s="138"/>
      <c r="NME29" s="138"/>
      <c r="NMF29" s="138"/>
      <c r="NMG29" s="138"/>
      <c r="NMH29" s="138"/>
      <c r="NMI29" s="138"/>
      <c r="NMJ29" s="138"/>
      <c r="NMK29" s="138"/>
      <c r="NML29" s="138"/>
      <c r="NMM29" s="138"/>
      <c r="NMN29" s="138"/>
      <c r="NMO29" s="138"/>
      <c r="NMP29" s="138"/>
      <c r="NMQ29" s="138"/>
      <c r="NMR29" s="138"/>
      <c r="NMS29" s="138"/>
      <c r="NMT29" s="138"/>
      <c r="NMU29" s="138"/>
      <c r="NMV29" s="138"/>
      <c r="NMW29" s="138"/>
      <c r="NMX29" s="138"/>
      <c r="NMY29" s="138"/>
      <c r="NMZ29" s="138"/>
      <c r="NNA29" s="138"/>
      <c r="NNB29" s="138"/>
      <c r="NNC29" s="138"/>
      <c r="NND29" s="138"/>
      <c r="NNE29" s="138"/>
      <c r="NNF29" s="138"/>
      <c r="NNG29" s="138"/>
      <c r="NNH29" s="138"/>
      <c r="NNI29" s="138"/>
      <c r="NNJ29" s="138"/>
      <c r="NNK29" s="138"/>
      <c r="NNL29" s="138"/>
      <c r="NNM29" s="138"/>
      <c r="NNN29" s="138"/>
      <c r="NNO29" s="138"/>
      <c r="NNP29" s="138"/>
      <c r="NNQ29" s="138"/>
      <c r="NNR29" s="138"/>
      <c r="NNS29" s="138"/>
      <c r="NNT29" s="138"/>
      <c r="NNU29" s="138"/>
      <c r="NNV29" s="138"/>
      <c r="NNW29" s="138"/>
      <c r="NNX29" s="138"/>
      <c r="NNY29" s="138"/>
      <c r="NNZ29" s="138"/>
      <c r="NOA29" s="138"/>
      <c r="NOB29" s="138"/>
      <c r="NOC29" s="138"/>
      <c r="NOD29" s="138"/>
      <c r="NOE29" s="138"/>
      <c r="NOF29" s="138"/>
      <c r="NOG29" s="138"/>
      <c r="NOH29" s="138"/>
      <c r="NOI29" s="138"/>
      <c r="NOJ29" s="138"/>
      <c r="NOK29" s="138"/>
      <c r="NOL29" s="138"/>
      <c r="NOM29" s="138"/>
      <c r="NON29" s="138"/>
      <c r="NOO29" s="138"/>
      <c r="NOP29" s="138"/>
      <c r="NOQ29" s="138"/>
      <c r="NOR29" s="138"/>
      <c r="NOS29" s="138"/>
      <c r="NOT29" s="138"/>
      <c r="NOU29" s="138"/>
      <c r="NOV29" s="138"/>
      <c r="NOW29" s="138"/>
      <c r="NOX29" s="138"/>
      <c r="NOY29" s="138"/>
      <c r="NOZ29" s="138"/>
      <c r="NPA29" s="138"/>
      <c r="NPB29" s="138"/>
      <c r="NPC29" s="138"/>
      <c r="NPD29" s="138"/>
      <c r="NPE29" s="138"/>
      <c r="NPF29" s="138"/>
      <c r="NPG29" s="138"/>
      <c r="NPH29" s="138"/>
      <c r="NPI29" s="138"/>
      <c r="NPJ29" s="138"/>
      <c r="NPK29" s="138"/>
      <c r="NPL29" s="138"/>
      <c r="NPM29" s="138"/>
      <c r="NPN29" s="138"/>
      <c r="NPO29" s="138"/>
      <c r="NPP29" s="138"/>
      <c r="NPQ29" s="138"/>
      <c r="NPR29" s="138"/>
      <c r="NPS29" s="138"/>
      <c r="NPT29" s="138"/>
      <c r="NPU29" s="138"/>
      <c r="NPV29" s="138"/>
      <c r="NPW29" s="138"/>
      <c r="NPX29" s="138"/>
      <c r="NPY29" s="138"/>
      <c r="NPZ29" s="138"/>
      <c r="NQA29" s="138"/>
      <c r="NQB29" s="138"/>
      <c r="NQC29" s="138"/>
      <c r="NQD29" s="138"/>
      <c r="NQE29" s="138"/>
      <c r="NQF29" s="138"/>
      <c r="NQG29" s="138"/>
      <c r="NQH29" s="138"/>
      <c r="NQI29" s="138"/>
      <c r="NQJ29" s="138"/>
      <c r="NQK29" s="138"/>
      <c r="NQL29" s="138"/>
      <c r="NQM29" s="138"/>
      <c r="NQN29" s="138"/>
      <c r="NQO29" s="138"/>
      <c r="NQP29" s="138"/>
      <c r="NQQ29" s="138"/>
      <c r="NQR29" s="138"/>
      <c r="NQS29" s="138"/>
      <c r="NQT29" s="138"/>
      <c r="NQU29" s="138"/>
      <c r="NQV29" s="138"/>
      <c r="NQW29" s="138"/>
      <c r="NQX29" s="138"/>
      <c r="NQY29" s="138"/>
      <c r="NQZ29" s="138"/>
      <c r="NRA29" s="138"/>
      <c r="NRB29" s="138"/>
      <c r="NRC29" s="138"/>
      <c r="NRD29" s="138"/>
      <c r="NRE29" s="138"/>
      <c r="NRF29" s="138"/>
      <c r="NRG29" s="138"/>
      <c r="NRH29" s="138"/>
      <c r="NRI29" s="138"/>
      <c r="NRJ29" s="138"/>
      <c r="NRK29" s="138"/>
      <c r="NRL29" s="138"/>
      <c r="NRM29" s="138"/>
      <c r="NRN29" s="138"/>
      <c r="NRO29" s="138"/>
      <c r="NRP29" s="138"/>
      <c r="NRQ29" s="138"/>
      <c r="NRR29" s="138"/>
      <c r="NRS29" s="138"/>
      <c r="NRT29" s="138"/>
      <c r="NRU29" s="138"/>
      <c r="NRV29" s="138"/>
      <c r="NRW29" s="138"/>
      <c r="NRX29" s="138"/>
      <c r="NRY29" s="138"/>
      <c r="NRZ29" s="138"/>
      <c r="NSA29" s="138"/>
      <c r="NSB29" s="138"/>
      <c r="NSC29" s="138"/>
      <c r="NSD29" s="138"/>
      <c r="NSE29" s="138"/>
      <c r="NSF29" s="138"/>
      <c r="NSG29" s="138"/>
      <c r="NSH29" s="138"/>
      <c r="NSI29" s="138"/>
      <c r="NSJ29" s="138"/>
      <c r="NSK29" s="138"/>
      <c r="NSL29" s="138"/>
      <c r="NSM29" s="138"/>
      <c r="NSN29" s="138"/>
      <c r="NSO29" s="138"/>
      <c r="NSP29" s="138"/>
      <c r="NSQ29" s="138"/>
      <c r="NSR29" s="138"/>
      <c r="NSS29" s="138"/>
      <c r="NST29" s="138"/>
      <c r="NSU29" s="138"/>
      <c r="NSV29" s="138"/>
      <c r="NSW29" s="138"/>
      <c r="NSX29" s="138"/>
      <c r="NSY29" s="138"/>
      <c r="NSZ29" s="138"/>
      <c r="NTA29" s="138"/>
      <c r="NTB29" s="138"/>
      <c r="NTC29" s="138"/>
      <c r="NTD29" s="138"/>
      <c r="NTE29" s="138"/>
      <c r="NTF29" s="138"/>
      <c r="NTG29" s="138"/>
      <c r="NTH29" s="138"/>
      <c r="NTI29" s="138"/>
      <c r="NTJ29" s="138"/>
      <c r="NTK29" s="138"/>
      <c r="NTL29" s="138"/>
      <c r="NTM29" s="138"/>
      <c r="NTN29" s="138"/>
      <c r="NTO29" s="138"/>
      <c r="NTP29" s="138"/>
      <c r="NTQ29" s="138"/>
      <c r="NTR29" s="138"/>
      <c r="NTS29" s="138"/>
      <c r="NTT29" s="138"/>
      <c r="NTU29" s="138"/>
      <c r="NTV29" s="138"/>
      <c r="NTW29" s="138"/>
      <c r="NTX29" s="138"/>
      <c r="NTY29" s="138"/>
      <c r="NTZ29" s="138"/>
      <c r="NUA29" s="138"/>
      <c r="NUB29" s="138"/>
      <c r="NUC29" s="138"/>
      <c r="NUD29" s="138"/>
      <c r="NUE29" s="138"/>
      <c r="NUF29" s="138"/>
      <c r="NUG29" s="138"/>
      <c r="NUH29" s="138"/>
      <c r="NUI29" s="138"/>
      <c r="NUJ29" s="138"/>
      <c r="NUK29" s="138"/>
      <c r="NUL29" s="138"/>
      <c r="NUM29" s="138"/>
      <c r="NUN29" s="138"/>
      <c r="NUO29" s="138"/>
      <c r="NUP29" s="138"/>
      <c r="NUQ29" s="138"/>
      <c r="NUR29" s="138"/>
      <c r="NUS29" s="138"/>
      <c r="NUT29" s="138"/>
      <c r="NUU29" s="138"/>
      <c r="NUV29" s="138"/>
      <c r="NUW29" s="138"/>
      <c r="NUX29" s="138"/>
      <c r="NUY29" s="138"/>
      <c r="NUZ29" s="138"/>
      <c r="NVA29" s="138"/>
      <c r="NVB29" s="138"/>
      <c r="NVC29" s="138"/>
      <c r="NVD29" s="138"/>
      <c r="NVE29" s="138"/>
      <c r="NVF29" s="138"/>
      <c r="NVG29" s="138"/>
      <c r="NVH29" s="138"/>
      <c r="NVI29" s="138"/>
      <c r="NVJ29" s="138"/>
      <c r="NVK29" s="138"/>
      <c r="NVL29" s="138"/>
      <c r="NVM29" s="138"/>
      <c r="NVN29" s="138"/>
      <c r="NVO29" s="138"/>
      <c r="NVP29" s="138"/>
      <c r="NVQ29" s="138"/>
      <c r="NVR29" s="138"/>
      <c r="NVS29" s="138"/>
      <c r="NVT29" s="138"/>
      <c r="NVU29" s="138"/>
      <c r="NVV29" s="138"/>
      <c r="NVW29" s="138"/>
      <c r="NVX29" s="138"/>
      <c r="NVY29" s="138"/>
      <c r="NVZ29" s="138"/>
      <c r="NWA29" s="138"/>
      <c r="NWB29" s="138"/>
      <c r="NWC29" s="138"/>
      <c r="NWD29" s="138"/>
      <c r="NWE29" s="138"/>
      <c r="NWF29" s="138"/>
      <c r="NWG29" s="138"/>
      <c r="NWH29" s="138"/>
      <c r="NWI29" s="138"/>
      <c r="NWJ29" s="138"/>
      <c r="NWK29" s="138"/>
      <c r="NWL29" s="138"/>
      <c r="NWM29" s="138"/>
      <c r="NWN29" s="138"/>
      <c r="NWO29" s="138"/>
      <c r="NWP29" s="138"/>
      <c r="NWQ29" s="138"/>
      <c r="NWR29" s="138"/>
      <c r="NWS29" s="138"/>
      <c r="NWT29" s="138"/>
      <c r="NWU29" s="138"/>
      <c r="NWV29" s="138"/>
      <c r="NWW29" s="138"/>
      <c r="NWX29" s="138"/>
      <c r="NWY29" s="138"/>
      <c r="NWZ29" s="138"/>
      <c r="NXA29" s="138"/>
      <c r="NXB29" s="138"/>
      <c r="NXC29" s="138"/>
      <c r="NXD29" s="138"/>
      <c r="NXE29" s="138"/>
      <c r="NXF29" s="138"/>
      <c r="NXG29" s="138"/>
      <c r="NXH29" s="138"/>
      <c r="NXI29" s="138"/>
      <c r="NXJ29" s="138"/>
      <c r="NXK29" s="138"/>
      <c r="NXL29" s="138"/>
      <c r="NXM29" s="138"/>
      <c r="NXN29" s="138"/>
      <c r="NXO29" s="138"/>
      <c r="NXP29" s="138"/>
      <c r="NXQ29" s="138"/>
      <c r="NXR29" s="138"/>
      <c r="NXS29" s="138"/>
      <c r="NXT29" s="138"/>
      <c r="NXU29" s="138"/>
      <c r="NXV29" s="138"/>
      <c r="NXW29" s="138"/>
      <c r="NXX29" s="138"/>
      <c r="NXY29" s="138"/>
      <c r="NXZ29" s="138"/>
      <c r="NYA29" s="138"/>
      <c r="NYB29" s="138"/>
      <c r="NYC29" s="138"/>
      <c r="NYD29" s="138"/>
      <c r="NYE29" s="138"/>
      <c r="NYF29" s="138"/>
      <c r="NYG29" s="138"/>
      <c r="NYH29" s="138"/>
      <c r="NYI29" s="138"/>
      <c r="NYJ29" s="138"/>
      <c r="NYK29" s="138"/>
      <c r="NYL29" s="138"/>
      <c r="NYM29" s="138"/>
      <c r="NYN29" s="138"/>
      <c r="NYO29" s="138"/>
      <c r="NYP29" s="138"/>
      <c r="NYQ29" s="138"/>
      <c r="NYR29" s="138"/>
      <c r="NYS29" s="138"/>
      <c r="NYT29" s="138"/>
      <c r="NYU29" s="138"/>
      <c r="NYV29" s="138"/>
      <c r="NYW29" s="138"/>
      <c r="NYX29" s="138"/>
      <c r="NYY29" s="138"/>
      <c r="NYZ29" s="138"/>
      <c r="NZA29" s="138"/>
      <c r="NZB29" s="138"/>
      <c r="NZC29" s="138"/>
      <c r="NZD29" s="138"/>
      <c r="NZE29" s="138"/>
      <c r="NZF29" s="138"/>
      <c r="NZG29" s="138"/>
      <c r="NZH29" s="138"/>
      <c r="NZI29" s="138"/>
      <c r="NZJ29" s="138"/>
      <c r="NZK29" s="138"/>
      <c r="NZL29" s="138"/>
      <c r="NZM29" s="138"/>
      <c r="NZN29" s="138"/>
      <c r="NZO29" s="138"/>
      <c r="NZP29" s="138"/>
      <c r="NZQ29" s="138"/>
      <c r="NZR29" s="138"/>
      <c r="NZS29" s="138"/>
      <c r="NZT29" s="138"/>
      <c r="NZU29" s="138"/>
      <c r="NZV29" s="138"/>
      <c r="NZW29" s="138"/>
      <c r="NZX29" s="138"/>
      <c r="NZY29" s="138"/>
      <c r="NZZ29" s="138"/>
      <c r="OAA29" s="138"/>
      <c r="OAB29" s="138"/>
      <c r="OAC29" s="138"/>
      <c r="OAD29" s="138"/>
      <c r="OAE29" s="138"/>
      <c r="OAF29" s="138"/>
      <c r="OAG29" s="138"/>
      <c r="OAH29" s="138"/>
      <c r="OAI29" s="138"/>
      <c r="OAJ29" s="138"/>
      <c r="OAK29" s="138"/>
      <c r="OAL29" s="138"/>
      <c r="OAM29" s="138"/>
      <c r="OAN29" s="138"/>
      <c r="OAO29" s="138"/>
      <c r="OAP29" s="138"/>
      <c r="OAQ29" s="138"/>
      <c r="OAR29" s="138"/>
      <c r="OAS29" s="138"/>
      <c r="OAT29" s="138"/>
      <c r="OAU29" s="138"/>
      <c r="OAV29" s="138"/>
      <c r="OAW29" s="138"/>
      <c r="OAX29" s="138"/>
      <c r="OAY29" s="138"/>
      <c r="OAZ29" s="138"/>
      <c r="OBA29" s="138"/>
      <c r="OBB29" s="138"/>
      <c r="OBC29" s="138"/>
      <c r="OBD29" s="138"/>
      <c r="OBE29" s="138"/>
      <c r="OBF29" s="138"/>
      <c r="OBG29" s="138"/>
      <c r="OBH29" s="138"/>
      <c r="OBI29" s="138"/>
      <c r="OBJ29" s="138"/>
      <c r="OBK29" s="138"/>
      <c r="OBL29" s="138"/>
      <c r="OBM29" s="138"/>
      <c r="OBN29" s="138"/>
      <c r="OBO29" s="138"/>
      <c r="OBP29" s="138"/>
      <c r="OBQ29" s="138"/>
      <c r="OBR29" s="138"/>
      <c r="OBS29" s="138"/>
      <c r="OBT29" s="138"/>
      <c r="OBU29" s="138"/>
      <c r="OBV29" s="138"/>
      <c r="OBW29" s="138"/>
      <c r="OBX29" s="138"/>
      <c r="OBY29" s="138"/>
      <c r="OBZ29" s="138"/>
      <c r="OCA29" s="138"/>
      <c r="OCB29" s="138"/>
      <c r="OCC29" s="138"/>
      <c r="OCD29" s="138"/>
      <c r="OCE29" s="138"/>
      <c r="OCF29" s="138"/>
      <c r="OCG29" s="138"/>
      <c r="OCH29" s="138"/>
      <c r="OCI29" s="138"/>
      <c r="OCJ29" s="138"/>
      <c r="OCK29" s="138"/>
      <c r="OCL29" s="138"/>
      <c r="OCM29" s="138"/>
      <c r="OCN29" s="138"/>
      <c r="OCO29" s="138"/>
      <c r="OCP29" s="138"/>
      <c r="OCQ29" s="138"/>
      <c r="OCR29" s="138"/>
      <c r="OCS29" s="138"/>
      <c r="OCT29" s="138"/>
      <c r="OCU29" s="138"/>
      <c r="OCV29" s="138"/>
      <c r="OCW29" s="138"/>
      <c r="OCX29" s="138"/>
      <c r="OCY29" s="138"/>
      <c r="OCZ29" s="138"/>
      <c r="ODA29" s="138"/>
      <c r="ODB29" s="138"/>
      <c r="ODC29" s="138"/>
      <c r="ODD29" s="138"/>
      <c r="ODE29" s="138"/>
      <c r="ODF29" s="138"/>
      <c r="ODG29" s="138"/>
      <c r="ODH29" s="138"/>
      <c r="ODI29" s="138"/>
      <c r="ODJ29" s="138"/>
      <c r="ODK29" s="138"/>
      <c r="ODL29" s="138"/>
      <c r="ODM29" s="138"/>
      <c r="ODN29" s="138"/>
      <c r="ODO29" s="138"/>
      <c r="ODP29" s="138"/>
      <c r="ODQ29" s="138"/>
      <c r="ODR29" s="138"/>
      <c r="ODS29" s="138"/>
      <c r="ODT29" s="138"/>
      <c r="ODU29" s="138"/>
      <c r="ODV29" s="138"/>
      <c r="ODW29" s="138"/>
      <c r="ODX29" s="138"/>
      <c r="ODY29" s="138"/>
      <c r="ODZ29" s="138"/>
      <c r="OEA29" s="138"/>
      <c r="OEB29" s="138"/>
      <c r="OEC29" s="138"/>
      <c r="OED29" s="138"/>
      <c r="OEE29" s="138"/>
      <c r="OEF29" s="138"/>
      <c r="OEG29" s="138"/>
      <c r="OEH29" s="138"/>
      <c r="OEI29" s="138"/>
      <c r="OEJ29" s="138"/>
      <c r="OEK29" s="138"/>
      <c r="OEL29" s="138"/>
      <c r="OEM29" s="138"/>
      <c r="OEN29" s="138"/>
      <c r="OEO29" s="138"/>
      <c r="OEP29" s="138"/>
      <c r="OEQ29" s="138"/>
      <c r="OER29" s="138"/>
      <c r="OES29" s="138"/>
      <c r="OET29" s="138"/>
      <c r="OEU29" s="138"/>
      <c r="OEV29" s="138"/>
      <c r="OEW29" s="138"/>
      <c r="OEX29" s="138"/>
      <c r="OEY29" s="138"/>
      <c r="OEZ29" s="138"/>
      <c r="OFA29" s="138"/>
      <c r="OFB29" s="138"/>
      <c r="OFC29" s="138"/>
      <c r="OFD29" s="138"/>
      <c r="OFE29" s="138"/>
      <c r="OFF29" s="138"/>
      <c r="OFG29" s="138"/>
      <c r="OFH29" s="138"/>
      <c r="OFI29" s="138"/>
      <c r="OFJ29" s="138"/>
      <c r="OFK29" s="138"/>
      <c r="OFL29" s="138"/>
      <c r="OFM29" s="138"/>
      <c r="OFN29" s="138"/>
      <c r="OFO29" s="138"/>
      <c r="OFP29" s="138"/>
      <c r="OFQ29" s="138"/>
      <c r="OFR29" s="138"/>
      <c r="OFS29" s="138"/>
      <c r="OFT29" s="138"/>
      <c r="OFU29" s="138"/>
      <c r="OFV29" s="138"/>
      <c r="OFW29" s="138"/>
      <c r="OFX29" s="138"/>
      <c r="OFY29" s="138"/>
      <c r="OFZ29" s="138"/>
      <c r="OGA29" s="138"/>
      <c r="OGB29" s="138"/>
      <c r="OGC29" s="138"/>
      <c r="OGD29" s="138"/>
      <c r="OGE29" s="138"/>
      <c r="OGF29" s="138"/>
      <c r="OGG29" s="138"/>
      <c r="OGH29" s="138"/>
      <c r="OGI29" s="138"/>
      <c r="OGJ29" s="138"/>
      <c r="OGK29" s="138"/>
      <c r="OGL29" s="138"/>
      <c r="OGM29" s="138"/>
      <c r="OGN29" s="138"/>
      <c r="OGO29" s="138"/>
      <c r="OGP29" s="138"/>
      <c r="OGQ29" s="138"/>
      <c r="OGR29" s="138"/>
      <c r="OGS29" s="138"/>
      <c r="OGT29" s="138"/>
      <c r="OGU29" s="138"/>
      <c r="OGV29" s="138"/>
      <c r="OGW29" s="138"/>
      <c r="OGX29" s="138"/>
      <c r="OGY29" s="138"/>
      <c r="OGZ29" s="138"/>
      <c r="OHA29" s="138"/>
      <c r="OHB29" s="138"/>
      <c r="OHC29" s="138"/>
      <c r="OHD29" s="138"/>
      <c r="OHE29" s="138"/>
      <c r="OHF29" s="138"/>
      <c r="OHG29" s="138"/>
      <c r="OHH29" s="138"/>
      <c r="OHI29" s="138"/>
      <c r="OHJ29" s="138"/>
      <c r="OHK29" s="138"/>
      <c r="OHL29" s="138"/>
      <c r="OHM29" s="138"/>
      <c r="OHN29" s="138"/>
      <c r="OHO29" s="138"/>
      <c r="OHP29" s="138"/>
      <c r="OHQ29" s="138"/>
      <c r="OHR29" s="138"/>
      <c r="OHS29" s="138"/>
      <c r="OHT29" s="138"/>
      <c r="OHU29" s="138"/>
      <c r="OHV29" s="138"/>
      <c r="OHW29" s="138"/>
      <c r="OHX29" s="138"/>
      <c r="OHY29" s="138"/>
      <c r="OHZ29" s="138"/>
      <c r="OIA29" s="138"/>
      <c r="OIB29" s="138"/>
      <c r="OIC29" s="138"/>
      <c r="OID29" s="138"/>
      <c r="OIE29" s="138"/>
      <c r="OIF29" s="138"/>
      <c r="OIG29" s="138"/>
      <c r="OIH29" s="138"/>
      <c r="OII29" s="138"/>
      <c r="OIJ29" s="138"/>
      <c r="OIK29" s="138"/>
      <c r="OIL29" s="138"/>
      <c r="OIM29" s="138"/>
      <c r="OIN29" s="138"/>
      <c r="OIO29" s="138"/>
      <c r="OIP29" s="138"/>
      <c r="OIQ29" s="138"/>
      <c r="OIR29" s="138"/>
      <c r="OIS29" s="138"/>
      <c r="OIT29" s="138"/>
      <c r="OIU29" s="138"/>
      <c r="OIV29" s="138"/>
      <c r="OIW29" s="138"/>
      <c r="OIX29" s="138"/>
      <c r="OIY29" s="138"/>
      <c r="OIZ29" s="138"/>
      <c r="OJA29" s="138"/>
      <c r="OJB29" s="138"/>
      <c r="OJC29" s="138"/>
      <c r="OJD29" s="138"/>
      <c r="OJE29" s="138"/>
      <c r="OJF29" s="138"/>
      <c r="OJG29" s="138"/>
      <c r="OJH29" s="138"/>
      <c r="OJI29" s="138"/>
      <c r="OJJ29" s="138"/>
      <c r="OJK29" s="138"/>
      <c r="OJL29" s="138"/>
      <c r="OJM29" s="138"/>
      <c r="OJN29" s="138"/>
      <c r="OJO29" s="138"/>
      <c r="OJP29" s="138"/>
      <c r="OJQ29" s="138"/>
      <c r="OJR29" s="138"/>
      <c r="OJS29" s="138"/>
      <c r="OJT29" s="138"/>
      <c r="OJU29" s="138"/>
      <c r="OJV29" s="138"/>
      <c r="OJW29" s="138"/>
      <c r="OJX29" s="138"/>
      <c r="OJY29" s="138"/>
      <c r="OJZ29" s="138"/>
      <c r="OKA29" s="138"/>
      <c r="OKB29" s="138"/>
      <c r="OKC29" s="138"/>
      <c r="OKD29" s="138"/>
      <c r="OKE29" s="138"/>
      <c r="OKF29" s="138"/>
      <c r="OKG29" s="138"/>
      <c r="OKH29" s="138"/>
      <c r="OKI29" s="138"/>
      <c r="OKJ29" s="138"/>
      <c r="OKK29" s="138"/>
      <c r="OKL29" s="138"/>
      <c r="OKM29" s="138"/>
      <c r="OKN29" s="138"/>
      <c r="OKO29" s="138"/>
      <c r="OKP29" s="138"/>
      <c r="OKQ29" s="138"/>
      <c r="OKR29" s="138"/>
      <c r="OKS29" s="138"/>
      <c r="OKT29" s="138"/>
      <c r="OKU29" s="138"/>
      <c r="OKV29" s="138"/>
      <c r="OKW29" s="138"/>
      <c r="OKX29" s="138"/>
      <c r="OKY29" s="138"/>
      <c r="OKZ29" s="138"/>
      <c r="OLA29" s="138"/>
      <c r="OLB29" s="138"/>
      <c r="OLC29" s="138"/>
      <c r="OLD29" s="138"/>
      <c r="OLE29" s="138"/>
      <c r="OLF29" s="138"/>
      <c r="OLG29" s="138"/>
      <c r="OLH29" s="138"/>
      <c r="OLI29" s="138"/>
      <c r="OLJ29" s="138"/>
      <c r="OLK29" s="138"/>
      <c r="OLL29" s="138"/>
      <c r="OLM29" s="138"/>
      <c r="OLN29" s="138"/>
      <c r="OLO29" s="138"/>
      <c r="OLP29" s="138"/>
      <c r="OLQ29" s="138"/>
      <c r="OLR29" s="138"/>
      <c r="OLS29" s="138"/>
      <c r="OLT29" s="138"/>
      <c r="OLU29" s="138"/>
      <c r="OLV29" s="138"/>
      <c r="OLW29" s="138"/>
      <c r="OLX29" s="138"/>
      <c r="OLY29" s="138"/>
      <c r="OLZ29" s="138"/>
      <c r="OMA29" s="138"/>
      <c r="OMB29" s="138"/>
      <c r="OMC29" s="138"/>
      <c r="OMD29" s="138"/>
      <c r="OME29" s="138"/>
      <c r="OMF29" s="138"/>
      <c r="OMG29" s="138"/>
      <c r="OMH29" s="138"/>
      <c r="OMI29" s="138"/>
      <c r="OMJ29" s="138"/>
      <c r="OMK29" s="138"/>
      <c r="OML29" s="138"/>
      <c r="OMM29" s="138"/>
      <c r="OMN29" s="138"/>
      <c r="OMO29" s="138"/>
      <c r="OMP29" s="138"/>
      <c r="OMQ29" s="138"/>
      <c r="OMR29" s="138"/>
      <c r="OMS29" s="138"/>
      <c r="OMT29" s="138"/>
      <c r="OMU29" s="138"/>
      <c r="OMV29" s="138"/>
      <c r="OMW29" s="138"/>
      <c r="OMX29" s="138"/>
      <c r="OMY29" s="138"/>
      <c r="OMZ29" s="138"/>
      <c r="ONA29" s="138"/>
      <c r="ONB29" s="138"/>
      <c r="ONC29" s="138"/>
      <c r="OND29" s="138"/>
      <c r="ONE29" s="138"/>
      <c r="ONF29" s="138"/>
      <c r="ONG29" s="138"/>
      <c r="ONH29" s="138"/>
      <c r="ONI29" s="138"/>
      <c r="ONJ29" s="138"/>
      <c r="ONK29" s="138"/>
      <c r="ONL29" s="138"/>
      <c r="ONM29" s="138"/>
      <c r="ONN29" s="138"/>
      <c r="ONO29" s="138"/>
      <c r="ONP29" s="138"/>
      <c r="ONQ29" s="138"/>
      <c r="ONR29" s="138"/>
      <c r="ONS29" s="138"/>
      <c r="ONT29" s="138"/>
      <c r="ONU29" s="138"/>
      <c r="ONV29" s="138"/>
      <c r="ONW29" s="138"/>
      <c r="ONX29" s="138"/>
      <c r="ONY29" s="138"/>
      <c r="ONZ29" s="138"/>
      <c r="OOA29" s="138"/>
      <c r="OOB29" s="138"/>
      <c r="OOC29" s="138"/>
      <c r="OOD29" s="138"/>
      <c r="OOE29" s="138"/>
      <c r="OOF29" s="138"/>
      <c r="OOG29" s="138"/>
      <c r="OOH29" s="138"/>
      <c r="OOI29" s="138"/>
      <c r="OOJ29" s="138"/>
      <c r="OOK29" s="138"/>
      <c r="OOL29" s="138"/>
      <c r="OOM29" s="138"/>
      <c r="OON29" s="138"/>
      <c r="OOO29" s="138"/>
      <c r="OOP29" s="138"/>
      <c r="OOQ29" s="138"/>
      <c r="OOR29" s="138"/>
      <c r="OOS29" s="138"/>
      <c r="OOT29" s="138"/>
      <c r="OOU29" s="138"/>
      <c r="OOV29" s="138"/>
      <c r="OOW29" s="138"/>
      <c r="OOX29" s="138"/>
      <c r="OOY29" s="138"/>
      <c r="OOZ29" s="138"/>
      <c r="OPA29" s="138"/>
      <c r="OPB29" s="138"/>
      <c r="OPC29" s="138"/>
      <c r="OPD29" s="138"/>
      <c r="OPE29" s="138"/>
      <c r="OPF29" s="138"/>
      <c r="OPG29" s="138"/>
      <c r="OPH29" s="138"/>
      <c r="OPI29" s="138"/>
      <c r="OPJ29" s="138"/>
      <c r="OPK29" s="138"/>
      <c r="OPL29" s="138"/>
      <c r="OPM29" s="138"/>
      <c r="OPN29" s="138"/>
      <c r="OPO29" s="138"/>
      <c r="OPP29" s="138"/>
      <c r="OPQ29" s="138"/>
      <c r="OPR29" s="138"/>
      <c r="OPS29" s="138"/>
      <c r="OPT29" s="138"/>
      <c r="OPU29" s="138"/>
      <c r="OPV29" s="138"/>
      <c r="OPW29" s="138"/>
      <c r="OPX29" s="138"/>
      <c r="OPY29" s="138"/>
      <c r="OPZ29" s="138"/>
      <c r="OQA29" s="138"/>
      <c r="OQB29" s="138"/>
      <c r="OQC29" s="138"/>
      <c r="OQD29" s="138"/>
      <c r="OQE29" s="138"/>
      <c r="OQF29" s="138"/>
      <c r="OQG29" s="138"/>
      <c r="OQH29" s="138"/>
      <c r="OQI29" s="138"/>
      <c r="OQJ29" s="138"/>
      <c r="OQK29" s="138"/>
      <c r="OQL29" s="138"/>
      <c r="OQM29" s="138"/>
      <c r="OQN29" s="138"/>
      <c r="OQO29" s="138"/>
      <c r="OQP29" s="138"/>
      <c r="OQQ29" s="138"/>
      <c r="OQR29" s="138"/>
      <c r="OQS29" s="138"/>
      <c r="OQT29" s="138"/>
      <c r="OQU29" s="138"/>
      <c r="OQV29" s="138"/>
      <c r="OQW29" s="138"/>
      <c r="OQX29" s="138"/>
      <c r="OQY29" s="138"/>
      <c r="OQZ29" s="138"/>
      <c r="ORA29" s="138"/>
      <c r="ORB29" s="138"/>
      <c r="ORC29" s="138"/>
      <c r="ORD29" s="138"/>
      <c r="ORE29" s="138"/>
      <c r="ORF29" s="138"/>
      <c r="ORG29" s="138"/>
      <c r="ORH29" s="138"/>
      <c r="ORI29" s="138"/>
      <c r="ORJ29" s="138"/>
      <c r="ORK29" s="138"/>
      <c r="ORL29" s="138"/>
      <c r="ORM29" s="138"/>
      <c r="ORN29" s="138"/>
      <c r="ORO29" s="138"/>
      <c r="ORP29" s="138"/>
      <c r="ORQ29" s="138"/>
      <c r="ORR29" s="138"/>
      <c r="ORS29" s="138"/>
      <c r="ORT29" s="138"/>
      <c r="ORU29" s="138"/>
      <c r="ORV29" s="138"/>
      <c r="ORW29" s="138"/>
      <c r="ORX29" s="138"/>
      <c r="ORY29" s="138"/>
      <c r="ORZ29" s="138"/>
      <c r="OSA29" s="138"/>
      <c r="OSB29" s="138"/>
      <c r="OSC29" s="138"/>
      <c r="OSD29" s="138"/>
      <c r="OSE29" s="138"/>
      <c r="OSF29" s="138"/>
      <c r="OSG29" s="138"/>
      <c r="OSH29" s="138"/>
      <c r="OSI29" s="138"/>
      <c r="OSJ29" s="138"/>
      <c r="OSK29" s="138"/>
      <c r="OSL29" s="138"/>
      <c r="OSM29" s="138"/>
      <c r="OSN29" s="138"/>
      <c r="OSO29" s="138"/>
      <c r="OSP29" s="138"/>
      <c r="OSQ29" s="138"/>
      <c r="OSR29" s="138"/>
      <c r="OSS29" s="138"/>
      <c r="OST29" s="138"/>
      <c r="OSU29" s="138"/>
      <c r="OSV29" s="138"/>
      <c r="OSW29" s="138"/>
      <c r="OSX29" s="138"/>
      <c r="OSY29" s="138"/>
      <c r="OSZ29" s="138"/>
      <c r="OTA29" s="138"/>
      <c r="OTB29" s="138"/>
      <c r="OTC29" s="138"/>
      <c r="OTD29" s="138"/>
      <c r="OTE29" s="138"/>
      <c r="OTF29" s="138"/>
      <c r="OTG29" s="138"/>
      <c r="OTH29" s="138"/>
      <c r="OTI29" s="138"/>
      <c r="OTJ29" s="138"/>
      <c r="OTK29" s="138"/>
      <c r="OTL29" s="138"/>
      <c r="OTM29" s="138"/>
      <c r="OTN29" s="138"/>
      <c r="OTO29" s="138"/>
      <c r="OTP29" s="138"/>
      <c r="OTQ29" s="138"/>
      <c r="OTR29" s="138"/>
      <c r="OTS29" s="138"/>
      <c r="OTT29" s="138"/>
      <c r="OTU29" s="138"/>
      <c r="OTV29" s="138"/>
      <c r="OTW29" s="138"/>
      <c r="OTX29" s="138"/>
      <c r="OTY29" s="138"/>
      <c r="OTZ29" s="138"/>
      <c r="OUA29" s="138"/>
      <c r="OUB29" s="138"/>
      <c r="OUC29" s="138"/>
      <c r="OUD29" s="138"/>
      <c r="OUE29" s="138"/>
      <c r="OUF29" s="138"/>
      <c r="OUG29" s="138"/>
      <c r="OUH29" s="138"/>
      <c r="OUI29" s="138"/>
      <c r="OUJ29" s="138"/>
      <c r="OUK29" s="138"/>
      <c r="OUL29" s="138"/>
      <c r="OUM29" s="138"/>
      <c r="OUN29" s="138"/>
      <c r="OUO29" s="138"/>
      <c r="OUP29" s="138"/>
      <c r="OUQ29" s="138"/>
      <c r="OUR29" s="138"/>
      <c r="OUS29" s="138"/>
      <c r="OUT29" s="138"/>
      <c r="OUU29" s="138"/>
      <c r="OUV29" s="138"/>
      <c r="OUW29" s="138"/>
      <c r="OUX29" s="138"/>
      <c r="OUY29" s="138"/>
      <c r="OUZ29" s="138"/>
      <c r="OVA29" s="138"/>
      <c r="OVB29" s="138"/>
      <c r="OVC29" s="138"/>
      <c r="OVD29" s="138"/>
      <c r="OVE29" s="138"/>
      <c r="OVF29" s="138"/>
      <c r="OVG29" s="138"/>
      <c r="OVH29" s="138"/>
      <c r="OVI29" s="138"/>
      <c r="OVJ29" s="138"/>
      <c r="OVK29" s="138"/>
      <c r="OVL29" s="138"/>
      <c r="OVM29" s="138"/>
      <c r="OVN29" s="138"/>
      <c r="OVO29" s="138"/>
      <c r="OVP29" s="138"/>
      <c r="OVQ29" s="138"/>
      <c r="OVR29" s="138"/>
      <c r="OVS29" s="138"/>
      <c r="OVT29" s="138"/>
      <c r="OVU29" s="138"/>
      <c r="OVV29" s="138"/>
      <c r="OVW29" s="138"/>
      <c r="OVX29" s="138"/>
      <c r="OVY29" s="138"/>
      <c r="OVZ29" s="138"/>
      <c r="OWA29" s="138"/>
      <c r="OWB29" s="138"/>
      <c r="OWC29" s="138"/>
      <c r="OWD29" s="138"/>
      <c r="OWE29" s="138"/>
      <c r="OWF29" s="138"/>
      <c r="OWG29" s="138"/>
      <c r="OWH29" s="138"/>
      <c r="OWI29" s="138"/>
      <c r="OWJ29" s="138"/>
      <c r="OWK29" s="138"/>
      <c r="OWL29" s="138"/>
      <c r="OWM29" s="138"/>
      <c r="OWN29" s="138"/>
      <c r="OWO29" s="138"/>
      <c r="OWP29" s="138"/>
      <c r="OWQ29" s="138"/>
      <c r="OWR29" s="138"/>
      <c r="OWS29" s="138"/>
      <c r="OWT29" s="138"/>
      <c r="OWU29" s="138"/>
      <c r="OWV29" s="138"/>
      <c r="OWW29" s="138"/>
      <c r="OWX29" s="138"/>
      <c r="OWY29" s="138"/>
      <c r="OWZ29" s="138"/>
      <c r="OXA29" s="138"/>
      <c r="OXB29" s="138"/>
      <c r="OXC29" s="138"/>
      <c r="OXD29" s="138"/>
      <c r="OXE29" s="138"/>
      <c r="OXF29" s="138"/>
      <c r="OXG29" s="138"/>
      <c r="OXH29" s="138"/>
      <c r="OXI29" s="138"/>
      <c r="OXJ29" s="138"/>
      <c r="OXK29" s="138"/>
      <c r="OXL29" s="138"/>
      <c r="OXM29" s="138"/>
      <c r="OXN29" s="138"/>
      <c r="OXO29" s="138"/>
      <c r="OXP29" s="138"/>
      <c r="OXQ29" s="138"/>
      <c r="OXR29" s="138"/>
      <c r="OXS29" s="138"/>
      <c r="OXT29" s="138"/>
      <c r="OXU29" s="138"/>
      <c r="OXV29" s="138"/>
      <c r="OXW29" s="138"/>
      <c r="OXX29" s="138"/>
      <c r="OXY29" s="138"/>
      <c r="OXZ29" s="138"/>
      <c r="OYA29" s="138"/>
      <c r="OYB29" s="138"/>
      <c r="OYC29" s="138"/>
      <c r="OYD29" s="138"/>
      <c r="OYE29" s="138"/>
      <c r="OYF29" s="138"/>
      <c r="OYG29" s="138"/>
      <c r="OYH29" s="138"/>
      <c r="OYI29" s="138"/>
      <c r="OYJ29" s="138"/>
      <c r="OYK29" s="138"/>
      <c r="OYL29" s="138"/>
      <c r="OYM29" s="138"/>
      <c r="OYN29" s="138"/>
      <c r="OYO29" s="138"/>
      <c r="OYP29" s="138"/>
      <c r="OYQ29" s="138"/>
      <c r="OYR29" s="138"/>
      <c r="OYS29" s="138"/>
      <c r="OYT29" s="138"/>
      <c r="OYU29" s="138"/>
      <c r="OYV29" s="138"/>
      <c r="OYW29" s="138"/>
      <c r="OYX29" s="138"/>
      <c r="OYY29" s="138"/>
      <c r="OYZ29" s="138"/>
      <c r="OZA29" s="138"/>
      <c r="OZB29" s="138"/>
      <c r="OZC29" s="138"/>
      <c r="OZD29" s="138"/>
      <c r="OZE29" s="138"/>
      <c r="OZF29" s="138"/>
      <c r="OZG29" s="138"/>
      <c r="OZH29" s="138"/>
      <c r="OZI29" s="138"/>
      <c r="OZJ29" s="138"/>
      <c r="OZK29" s="138"/>
      <c r="OZL29" s="138"/>
      <c r="OZM29" s="138"/>
      <c r="OZN29" s="138"/>
      <c r="OZO29" s="138"/>
      <c r="OZP29" s="138"/>
      <c r="OZQ29" s="138"/>
      <c r="OZR29" s="138"/>
      <c r="OZS29" s="138"/>
      <c r="OZT29" s="138"/>
      <c r="OZU29" s="138"/>
      <c r="OZV29" s="138"/>
      <c r="OZW29" s="138"/>
      <c r="OZX29" s="138"/>
      <c r="OZY29" s="138"/>
      <c r="OZZ29" s="138"/>
      <c r="PAA29" s="138"/>
      <c r="PAB29" s="138"/>
      <c r="PAC29" s="138"/>
      <c r="PAD29" s="138"/>
      <c r="PAE29" s="138"/>
      <c r="PAF29" s="138"/>
      <c r="PAG29" s="138"/>
      <c r="PAH29" s="138"/>
      <c r="PAI29" s="138"/>
      <c r="PAJ29" s="138"/>
      <c r="PAK29" s="138"/>
      <c r="PAL29" s="138"/>
      <c r="PAM29" s="138"/>
      <c r="PAN29" s="138"/>
      <c r="PAO29" s="138"/>
      <c r="PAP29" s="138"/>
      <c r="PAQ29" s="138"/>
      <c r="PAR29" s="138"/>
      <c r="PAS29" s="138"/>
      <c r="PAT29" s="138"/>
      <c r="PAU29" s="138"/>
      <c r="PAV29" s="138"/>
      <c r="PAW29" s="138"/>
      <c r="PAX29" s="138"/>
      <c r="PAY29" s="138"/>
      <c r="PAZ29" s="138"/>
      <c r="PBA29" s="138"/>
      <c r="PBB29" s="138"/>
      <c r="PBC29" s="138"/>
      <c r="PBD29" s="138"/>
      <c r="PBE29" s="138"/>
      <c r="PBF29" s="138"/>
      <c r="PBG29" s="138"/>
      <c r="PBH29" s="138"/>
      <c r="PBI29" s="138"/>
      <c r="PBJ29" s="138"/>
      <c r="PBK29" s="138"/>
      <c r="PBL29" s="138"/>
      <c r="PBM29" s="138"/>
      <c r="PBN29" s="138"/>
      <c r="PBO29" s="138"/>
      <c r="PBP29" s="138"/>
      <c r="PBQ29" s="138"/>
      <c r="PBR29" s="138"/>
      <c r="PBS29" s="138"/>
      <c r="PBT29" s="138"/>
      <c r="PBU29" s="138"/>
      <c r="PBV29" s="138"/>
      <c r="PBW29" s="138"/>
      <c r="PBX29" s="138"/>
      <c r="PBY29" s="138"/>
      <c r="PBZ29" s="138"/>
      <c r="PCA29" s="138"/>
      <c r="PCB29" s="138"/>
      <c r="PCC29" s="138"/>
      <c r="PCD29" s="138"/>
      <c r="PCE29" s="138"/>
      <c r="PCF29" s="138"/>
      <c r="PCG29" s="138"/>
      <c r="PCH29" s="138"/>
      <c r="PCI29" s="138"/>
      <c r="PCJ29" s="138"/>
      <c r="PCK29" s="138"/>
      <c r="PCL29" s="138"/>
      <c r="PCM29" s="138"/>
      <c r="PCN29" s="138"/>
      <c r="PCO29" s="138"/>
      <c r="PCP29" s="138"/>
      <c r="PCQ29" s="138"/>
      <c r="PCR29" s="138"/>
      <c r="PCS29" s="138"/>
      <c r="PCT29" s="138"/>
      <c r="PCU29" s="138"/>
      <c r="PCV29" s="138"/>
      <c r="PCW29" s="138"/>
      <c r="PCX29" s="138"/>
      <c r="PCY29" s="138"/>
      <c r="PCZ29" s="138"/>
      <c r="PDA29" s="138"/>
      <c r="PDB29" s="138"/>
      <c r="PDC29" s="138"/>
      <c r="PDD29" s="138"/>
      <c r="PDE29" s="138"/>
      <c r="PDF29" s="138"/>
      <c r="PDG29" s="138"/>
      <c r="PDH29" s="138"/>
      <c r="PDI29" s="138"/>
      <c r="PDJ29" s="138"/>
      <c r="PDK29" s="138"/>
      <c r="PDL29" s="138"/>
      <c r="PDM29" s="138"/>
      <c r="PDN29" s="138"/>
      <c r="PDO29" s="138"/>
      <c r="PDP29" s="138"/>
      <c r="PDQ29" s="138"/>
      <c r="PDR29" s="138"/>
      <c r="PDS29" s="138"/>
      <c r="PDT29" s="138"/>
      <c r="PDU29" s="138"/>
      <c r="PDV29" s="138"/>
      <c r="PDW29" s="138"/>
      <c r="PDX29" s="138"/>
      <c r="PDY29" s="138"/>
      <c r="PDZ29" s="138"/>
      <c r="PEA29" s="138"/>
      <c r="PEB29" s="138"/>
      <c r="PEC29" s="138"/>
      <c r="PED29" s="138"/>
      <c r="PEE29" s="138"/>
      <c r="PEF29" s="138"/>
      <c r="PEG29" s="138"/>
      <c r="PEH29" s="138"/>
      <c r="PEI29" s="138"/>
      <c r="PEJ29" s="138"/>
      <c r="PEK29" s="138"/>
      <c r="PEL29" s="138"/>
      <c r="PEM29" s="138"/>
      <c r="PEN29" s="138"/>
      <c r="PEO29" s="138"/>
      <c r="PEP29" s="138"/>
      <c r="PEQ29" s="138"/>
      <c r="PER29" s="138"/>
      <c r="PES29" s="138"/>
      <c r="PET29" s="138"/>
      <c r="PEU29" s="138"/>
      <c r="PEV29" s="138"/>
      <c r="PEW29" s="138"/>
      <c r="PEX29" s="138"/>
      <c r="PEY29" s="138"/>
      <c r="PEZ29" s="138"/>
      <c r="PFA29" s="138"/>
      <c r="PFB29" s="138"/>
      <c r="PFC29" s="138"/>
      <c r="PFD29" s="138"/>
      <c r="PFE29" s="138"/>
      <c r="PFF29" s="138"/>
      <c r="PFG29" s="138"/>
      <c r="PFH29" s="138"/>
      <c r="PFI29" s="138"/>
      <c r="PFJ29" s="138"/>
      <c r="PFK29" s="138"/>
      <c r="PFL29" s="138"/>
      <c r="PFM29" s="138"/>
      <c r="PFN29" s="138"/>
      <c r="PFO29" s="138"/>
      <c r="PFP29" s="138"/>
      <c r="PFQ29" s="138"/>
      <c r="PFR29" s="138"/>
      <c r="PFS29" s="138"/>
      <c r="PFT29" s="138"/>
      <c r="PFU29" s="138"/>
      <c r="PFV29" s="138"/>
      <c r="PFW29" s="138"/>
      <c r="PFX29" s="138"/>
      <c r="PFY29" s="138"/>
      <c r="PFZ29" s="138"/>
      <c r="PGA29" s="138"/>
      <c r="PGB29" s="138"/>
      <c r="PGC29" s="138"/>
      <c r="PGD29" s="138"/>
      <c r="PGE29" s="138"/>
      <c r="PGF29" s="138"/>
      <c r="PGG29" s="138"/>
      <c r="PGH29" s="138"/>
      <c r="PGI29" s="138"/>
      <c r="PGJ29" s="138"/>
      <c r="PGK29" s="138"/>
      <c r="PGL29" s="138"/>
      <c r="PGM29" s="138"/>
      <c r="PGN29" s="138"/>
      <c r="PGO29" s="138"/>
      <c r="PGP29" s="138"/>
      <c r="PGQ29" s="138"/>
      <c r="PGR29" s="138"/>
      <c r="PGS29" s="138"/>
      <c r="PGT29" s="138"/>
      <c r="PGU29" s="138"/>
      <c r="PGV29" s="138"/>
      <c r="PGW29" s="138"/>
      <c r="PGX29" s="138"/>
      <c r="PGY29" s="138"/>
      <c r="PGZ29" s="138"/>
      <c r="PHA29" s="138"/>
      <c r="PHB29" s="138"/>
      <c r="PHC29" s="138"/>
      <c r="PHD29" s="138"/>
      <c r="PHE29" s="138"/>
      <c r="PHF29" s="138"/>
      <c r="PHG29" s="138"/>
      <c r="PHH29" s="138"/>
      <c r="PHI29" s="138"/>
      <c r="PHJ29" s="138"/>
      <c r="PHK29" s="138"/>
      <c r="PHL29" s="138"/>
      <c r="PHM29" s="138"/>
      <c r="PHN29" s="138"/>
      <c r="PHO29" s="138"/>
      <c r="PHP29" s="138"/>
      <c r="PHQ29" s="138"/>
      <c r="PHR29" s="138"/>
      <c r="PHS29" s="138"/>
      <c r="PHT29" s="138"/>
      <c r="PHU29" s="138"/>
      <c r="PHV29" s="138"/>
      <c r="PHW29" s="138"/>
      <c r="PHX29" s="138"/>
      <c r="PHY29" s="138"/>
      <c r="PHZ29" s="138"/>
      <c r="PIA29" s="138"/>
      <c r="PIB29" s="138"/>
      <c r="PIC29" s="138"/>
      <c r="PID29" s="138"/>
      <c r="PIE29" s="138"/>
      <c r="PIF29" s="138"/>
      <c r="PIG29" s="138"/>
      <c r="PIH29" s="138"/>
      <c r="PII29" s="138"/>
      <c r="PIJ29" s="138"/>
      <c r="PIK29" s="138"/>
      <c r="PIL29" s="138"/>
      <c r="PIM29" s="138"/>
      <c r="PIN29" s="138"/>
      <c r="PIO29" s="138"/>
      <c r="PIP29" s="138"/>
      <c r="PIQ29" s="138"/>
      <c r="PIR29" s="138"/>
      <c r="PIS29" s="138"/>
      <c r="PIT29" s="138"/>
      <c r="PIU29" s="138"/>
      <c r="PIV29" s="138"/>
      <c r="PIW29" s="138"/>
      <c r="PIX29" s="138"/>
      <c r="PIY29" s="138"/>
      <c r="PIZ29" s="138"/>
      <c r="PJA29" s="138"/>
      <c r="PJB29" s="138"/>
      <c r="PJC29" s="138"/>
      <c r="PJD29" s="138"/>
      <c r="PJE29" s="138"/>
      <c r="PJF29" s="138"/>
      <c r="PJG29" s="138"/>
      <c r="PJH29" s="138"/>
      <c r="PJI29" s="138"/>
      <c r="PJJ29" s="138"/>
      <c r="PJK29" s="138"/>
      <c r="PJL29" s="138"/>
      <c r="PJM29" s="138"/>
      <c r="PJN29" s="138"/>
      <c r="PJO29" s="138"/>
      <c r="PJP29" s="138"/>
      <c r="PJQ29" s="138"/>
      <c r="PJR29" s="138"/>
      <c r="PJS29" s="138"/>
      <c r="PJT29" s="138"/>
      <c r="PJU29" s="138"/>
      <c r="PJV29" s="138"/>
      <c r="PJW29" s="138"/>
      <c r="PJX29" s="138"/>
      <c r="PJY29" s="138"/>
      <c r="PJZ29" s="138"/>
      <c r="PKA29" s="138"/>
      <c r="PKB29" s="138"/>
      <c r="PKC29" s="138"/>
      <c r="PKD29" s="138"/>
      <c r="PKE29" s="138"/>
      <c r="PKF29" s="138"/>
      <c r="PKG29" s="138"/>
      <c r="PKH29" s="138"/>
      <c r="PKI29" s="138"/>
      <c r="PKJ29" s="138"/>
      <c r="PKK29" s="138"/>
      <c r="PKL29" s="138"/>
      <c r="PKM29" s="138"/>
      <c r="PKN29" s="138"/>
      <c r="PKO29" s="138"/>
      <c r="PKP29" s="138"/>
      <c r="PKQ29" s="138"/>
      <c r="PKR29" s="138"/>
      <c r="PKS29" s="138"/>
      <c r="PKT29" s="138"/>
      <c r="PKU29" s="138"/>
      <c r="PKV29" s="138"/>
      <c r="PKW29" s="138"/>
      <c r="PKX29" s="138"/>
      <c r="PKY29" s="138"/>
      <c r="PKZ29" s="138"/>
      <c r="PLA29" s="138"/>
      <c r="PLB29" s="138"/>
      <c r="PLC29" s="138"/>
      <c r="PLD29" s="138"/>
      <c r="PLE29" s="138"/>
      <c r="PLF29" s="138"/>
      <c r="PLG29" s="138"/>
      <c r="PLH29" s="138"/>
      <c r="PLI29" s="138"/>
      <c r="PLJ29" s="138"/>
      <c r="PLK29" s="138"/>
      <c r="PLL29" s="138"/>
      <c r="PLM29" s="138"/>
      <c r="PLN29" s="138"/>
      <c r="PLO29" s="138"/>
      <c r="PLP29" s="138"/>
      <c r="PLQ29" s="138"/>
      <c r="PLR29" s="138"/>
      <c r="PLS29" s="138"/>
      <c r="PLT29" s="138"/>
      <c r="PLU29" s="138"/>
      <c r="PLV29" s="138"/>
      <c r="PLW29" s="138"/>
      <c r="PLX29" s="138"/>
      <c r="PLY29" s="138"/>
      <c r="PLZ29" s="138"/>
      <c r="PMA29" s="138"/>
      <c r="PMB29" s="138"/>
      <c r="PMC29" s="138"/>
      <c r="PMD29" s="138"/>
      <c r="PME29" s="138"/>
      <c r="PMF29" s="138"/>
      <c r="PMG29" s="138"/>
      <c r="PMH29" s="138"/>
      <c r="PMI29" s="138"/>
      <c r="PMJ29" s="138"/>
      <c r="PMK29" s="138"/>
      <c r="PML29" s="138"/>
      <c r="PMM29" s="138"/>
      <c r="PMN29" s="138"/>
      <c r="PMO29" s="138"/>
      <c r="PMP29" s="138"/>
      <c r="PMQ29" s="138"/>
      <c r="PMR29" s="138"/>
      <c r="PMS29" s="138"/>
      <c r="PMT29" s="138"/>
      <c r="PMU29" s="138"/>
      <c r="PMV29" s="138"/>
      <c r="PMW29" s="138"/>
      <c r="PMX29" s="138"/>
      <c r="PMY29" s="138"/>
      <c r="PMZ29" s="138"/>
      <c r="PNA29" s="138"/>
      <c r="PNB29" s="138"/>
      <c r="PNC29" s="138"/>
      <c r="PND29" s="138"/>
      <c r="PNE29" s="138"/>
      <c r="PNF29" s="138"/>
      <c r="PNG29" s="138"/>
      <c r="PNH29" s="138"/>
      <c r="PNI29" s="138"/>
      <c r="PNJ29" s="138"/>
      <c r="PNK29" s="138"/>
      <c r="PNL29" s="138"/>
      <c r="PNM29" s="138"/>
      <c r="PNN29" s="138"/>
      <c r="PNO29" s="138"/>
      <c r="PNP29" s="138"/>
      <c r="PNQ29" s="138"/>
      <c r="PNR29" s="138"/>
      <c r="PNS29" s="138"/>
      <c r="PNT29" s="138"/>
      <c r="PNU29" s="138"/>
      <c r="PNV29" s="138"/>
      <c r="PNW29" s="138"/>
      <c r="PNX29" s="138"/>
      <c r="PNY29" s="138"/>
      <c r="PNZ29" s="138"/>
      <c r="POA29" s="138"/>
      <c r="POB29" s="138"/>
      <c r="POC29" s="138"/>
      <c r="POD29" s="138"/>
      <c r="POE29" s="138"/>
      <c r="POF29" s="138"/>
      <c r="POG29" s="138"/>
      <c r="POH29" s="138"/>
      <c r="POI29" s="138"/>
      <c r="POJ29" s="138"/>
      <c r="POK29" s="138"/>
      <c r="POL29" s="138"/>
      <c r="POM29" s="138"/>
      <c r="PON29" s="138"/>
      <c r="POO29" s="138"/>
      <c r="POP29" s="138"/>
      <c r="POQ29" s="138"/>
      <c r="POR29" s="138"/>
      <c r="POS29" s="138"/>
      <c r="POT29" s="138"/>
      <c r="POU29" s="138"/>
      <c r="POV29" s="138"/>
      <c r="POW29" s="138"/>
      <c r="POX29" s="138"/>
      <c r="POY29" s="138"/>
      <c r="POZ29" s="138"/>
      <c r="PPA29" s="138"/>
      <c r="PPB29" s="138"/>
      <c r="PPC29" s="138"/>
      <c r="PPD29" s="138"/>
      <c r="PPE29" s="138"/>
      <c r="PPF29" s="138"/>
      <c r="PPG29" s="138"/>
      <c r="PPH29" s="138"/>
      <c r="PPI29" s="138"/>
      <c r="PPJ29" s="138"/>
      <c r="PPK29" s="138"/>
      <c r="PPL29" s="138"/>
      <c r="PPM29" s="138"/>
      <c r="PPN29" s="138"/>
      <c r="PPO29" s="138"/>
      <c r="PPP29" s="138"/>
      <c r="PPQ29" s="138"/>
      <c r="PPR29" s="138"/>
      <c r="PPS29" s="138"/>
      <c r="PPT29" s="138"/>
      <c r="PPU29" s="138"/>
      <c r="PPV29" s="138"/>
      <c r="PPW29" s="138"/>
      <c r="PPX29" s="138"/>
      <c r="PPY29" s="138"/>
      <c r="PPZ29" s="138"/>
      <c r="PQA29" s="138"/>
      <c r="PQB29" s="138"/>
      <c r="PQC29" s="138"/>
      <c r="PQD29" s="138"/>
      <c r="PQE29" s="138"/>
      <c r="PQF29" s="138"/>
      <c r="PQG29" s="138"/>
      <c r="PQH29" s="138"/>
      <c r="PQI29" s="138"/>
      <c r="PQJ29" s="138"/>
      <c r="PQK29" s="138"/>
      <c r="PQL29" s="138"/>
      <c r="PQM29" s="138"/>
      <c r="PQN29" s="138"/>
      <c r="PQO29" s="138"/>
      <c r="PQP29" s="138"/>
      <c r="PQQ29" s="138"/>
      <c r="PQR29" s="138"/>
      <c r="PQS29" s="138"/>
      <c r="PQT29" s="138"/>
      <c r="PQU29" s="138"/>
      <c r="PQV29" s="138"/>
      <c r="PQW29" s="138"/>
      <c r="PQX29" s="138"/>
      <c r="PQY29" s="138"/>
      <c r="PQZ29" s="138"/>
      <c r="PRA29" s="138"/>
      <c r="PRB29" s="138"/>
      <c r="PRC29" s="138"/>
      <c r="PRD29" s="138"/>
      <c r="PRE29" s="138"/>
      <c r="PRF29" s="138"/>
      <c r="PRG29" s="138"/>
      <c r="PRH29" s="138"/>
      <c r="PRI29" s="138"/>
      <c r="PRJ29" s="138"/>
      <c r="PRK29" s="138"/>
      <c r="PRL29" s="138"/>
      <c r="PRM29" s="138"/>
      <c r="PRN29" s="138"/>
      <c r="PRO29" s="138"/>
      <c r="PRP29" s="138"/>
      <c r="PRQ29" s="138"/>
      <c r="PRR29" s="138"/>
      <c r="PRS29" s="138"/>
      <c r="PRT29" s="138"/>
      <c r="PRU29" s="138"/>
      <c r="PRV29" s="138"/>
      <c r="PRW29" s="138"/>
      <c r="PRX29" s="138"/>
      <c r="PRY29" s="138"/>
      <c r="PRZ29" s="138"/>
      <c r="PSA29" s="138"/>
      <c r="PSB29" s="138"/>
      <c r="PSC29" s="138"/>
      <c r="PSD29" s="138"/>
      <c r="PSE29" s="138"/>
      <c r="PSF29" s="138"/>
      <c r="PSG29" s="138"/>
      <c r="PSH29" s="138"/>
      <c r="PSI29" s="138"/>
      <c r="PSJ29" s="138"/>
      <c r="PSK29" s="138"/>
      <c r="PSL29" s="138"/>
      <c r="PSM29" s="138"/>
      <c r="PSN29" s="138"/>
      <c r="PSO29" s="138"/>
      <c r="PSP29" s="138"/>
      <c r="PSQ29" s="138"/>
      <c r="PSR29" s="138"/>
      <c r="PSS29" s="138"/>
      <c r="PST29" s="138"/>
      <c r="PSU29" s="138"/>
      <c r="PSV29" s="138"/>
      <c r="PSW29" s="138"/>
      <c r="PSX29" s="138"/>
      <c r="PSY29" s="138"/>
      <c r="PSZ29" s="138"/>
      <c r="PTA29" s="138"/>
      <c r="PTB29" s="138"/>
      <c r="PTC29" s="138"/>
      <c r="PTD29" s="138"/>
      <c r="PTE29" s="138"/>
      <c r="PTF29" s="138"/>
      <c r="PTG29" s="138"/>
      <c r="PTH29" s="138"/>
      <c r="PTI29" s="138"/>
      <c r="PTJ29" s="138"/>
      <c r="PTK29" s="138"/>
      <c r="PTL29" s="138"/>
      <c r="PTM29" s="138"/>
      <c r="PTN29" s="138"/>
      <c r="PTO29" s="138"/>
      <c r="PTP29" s="138"/>
      <c r="PTQ29" s="138"/>
      <c r="PTR29" s="138"/>
      <c r="PTS29" s="138"/>
      <c r="PTT29" s="138"/>
      <c r="PTU29" s="138"/>
      <c r="PTV29" s="138"/>
      <c r="PTW29" s="138"/>
      <c r="PTX29" s="138"/>
      <c r="PTY29" s="138"/>
      <c r="PTZ29" s="138"/>
      <c r="PUA29" s="138"/>
      <c r="PUB29" s="138"/>
      <c r="PUC29" s="138"/>
      <c r="PUD29" s="138"/>
      <c r="PUE29" s="138"/>
      <c r="PUF29" s="138"/>
      <c r="PUG29" s="138"/>
      <c r="PUH29" s="138"/>
      <c r="PUI29" s="138"/>
      <c r="PUJ29" s="138"/>
      <c r="PUK29" s="138"/>
      <c r="PUL29" s="138"/>
      <c r="PUM29" s="138"/>
      <c r="PUN29" s="138"/>
      <c r="PUO29" s="138"/>
      <c r="PUP29" s="138"/>
      <c r="PUQ29" s="138"/>
      <c r="PUR29" s="138"/>
      <c r="PUS29" s="138"/>
      <c r="PUT29" s="138"/>
      <c r="PUU29" s="138"/>
      <c r="PUV29" s="138"/>
      <c r="PUW29" s="138"/>
      <c r="PUX29" s="138"/>
      <c r="PUY29" s="138"/>
      <c r="PUZ29" s="138"/>
      <c r="PVA29" s="138"/>
      <c r="PVB29" s="138"/>
      <c r="PVC29" s="138"/>
      <c r="PVD29" s="138"/>
      <c r="PVE29" s="138"/>
      <c r="PVF29" s="138"/>
      <c r="PVG29" s="138"/>
      <c r="PVH29" s="138"/>
      <c r="PVI29" s="138"/>
      <c r="PVJ29" s="138"/>
      <c r="PVK29" s="138"/>
      <c r="PVL29" s="138"/>
      <c r="PVM29" s="138"/>
      <c r="PVN29" s="138"/>
      <c r="PVO29" s="138"/>
      <c r="PVP29" s="138"/>
      <c r="PVQ29" s="138"/>
      <c r="PVR29" s="138"/>
      <c r="PVS29" s="138"/>
      <c r="PVT29" s="138"/>
      <c r="PVU29" s="138"/>
      <c r="PVV29" s="138"/>
      <c r="PVW29" s="138"/>
      <c r="PVX29" s="138"/>
      <c r="PVY29" s="138"/>
      <c r="PVZ29" s="138"/>
      <c r="PWA29" s="138"/>
      <c r="PWB29" s="138"/>
      <c r="PWC29" s="138"/>
      <c r="PWD29" s="138"/>
      <c r="PWE29" s="138"/>
      <c r="PWF29" s="138"/>
      <c r="PWG29" s="138"/>
      <c r="PWH29" s="138"/>
      <c r="PWI29" s="138"/>
      <c r="PWJ29" s="138"/>
      <c r="PWK29" s="138"/>
      <c r="PWL29" s="138"/>
      <c r="PWM29" s="138"/>
      <c r="PWN29" s="138"/>
      <c r="PWO29" s="138"/>
      <c r="PWP29" s="138"/>
      <c r="PWQ29" s="138"/>
      <c r="PWR29" s="138"/>
      <c r="PWS29" s="138"/>
      <c r="PWT29" s="138"/>
      <c r="PWU29" s="138"/>
      <c r="PWV29" s="138"/>
      <c r="PWW29" s="138"/>
      <c r="PWX29" s="138"/>
      <c r="PWY29" s="138"/>
      <c r="PWZ29" s="138"/>
      <c r="PXA29" s="138"/>
      <c r="PXB29" s="138"/>
      <c r="PXC29" s="138"/>
      <c r="PXD29" s="138"/>
      <c r="PXE29" s="138"/>
      <c r="PXF29" s="138"/>
      <c r="PXG29" s="138"/>
      <c r="PXH29" s="138"/>
      <c r="PXI29" s="138"/>
      <c r="PXJ29" s="138"/>
      <c r="PXK29" s="138"/>
      <c r="PXL29" s="138"/>
      <c r="PXM29" s="138"/>
      <c r="PXN29" s="138"/>
      <c r="PXO29" s="138"/>
      <c r="PXP29" s="138"/>
      <c r="PXQ29" s="138"/>
      <c r="PXR29" s="138"/>
      <c r="PXS29" s="138"/>
      <c r="PXT29" s="138"/>
      <c r="PXU29" s="138"/>
      <c r="PXV29" s="138"/>
      <c r="PXW29" s="138"/>
      <c r="PXX29" s="138"/>
      <c r="PXY29" s="138"/>
      <c r="PXZ29" s="138"/>
      <c r="PYA29" s="138"/>
      <c r="PYB29" s="138"/>
      <c r="PYC29" s="138"/>
      <c r="PYD29" s="138"/>
      <c r="PYE29" s="138"/>
      <c r="PYF29" s="138"/>
      <c r="PYG29" s="138"/>
      <c r="PYH29" s="138"/>
      <c r="PYI29" s="138"/>
      <c r="PYJ29" s="138"/>
      <c r="PYK29" s="138"/>
      <c r="PYL29" s="138"/>
      <c r="PYM29" s="138"/>
      <c r="PYN29" s="138"/>
      <c r="PYO29" s="138"/>
      <c r="PYP29" s="138"/>
      <c r="PYQ29" s="138"/>
      <c r="PYR29" s="138"/>
      <c r="PYS29" s="138"/>
      <c r="PYT29" s="138"/>
      <c r="PYU29" s="138"/>
      <c r="PYV29" s="138"/>
      <c r="PYW29" s="138"/>
      <c r="PYX29" s="138"/>
      <c r="PYY29" s="138"/>
      <c r="PYZ29" s="138"/>
      <c r="PZA29" s="138"/>
      <c r="PZB29" s="138"/>
      <c r="PZC29" s="138"/>
      <c r="PZD29" s="138"/>
      <c r="PZE29" s="138"/>
      <c r="PZF29" s="138"/>
      <c r="PZG29" s="138"/>
      <c r="PZH29" s="138"/>
      <c r="PZI29" s="138"/>
      <c r="PZJ29" s="138"/>
      <c r="PZK29" s="138"/>
      <c r="PZL29" s="138"/>
      <c r="PZM29" s="138"/>
      <c r="PZN29" s="138"/>
      <c r="PZO29" s="138"/>
      <c r="PZP29" s="138"/>
      <c r="PZQ29" s="138"/>
      <c r="PZR29" s="138"/>
      <c r="PZS29" s="138"/>
      <c r="PZT29" s="138"/>
      <c r="PZU29" s="138"/>
      <c r="PZV29" s="138"/>
      <c r="PZW29" s="138"/>
      <c r="PZX29" s="138"/>
      <c r="PZY29" s="138"/>
      <c r="PZZ29" s="138"/>
      <c r="QAA29" s="138"/>
      <c r="QAB29" s="138"/>
      <c r="QAC29" s="138"/>
      <c r="QAD29" s="138"/>
      <c r="QAE29" s="138"/>
      <c r="QAF29" s="138"/>
      <c r="QAG29" s="138"/>
      <c r="QAH29" s="138"/>
      <c r="QAI29" s="138"/>
      <c r="QAJ29" s="138"/>
      <c r="QAK29" s="138"/>
      <c r="QAL29" s="138"/>
      <c r="QAM29" s="138"/>
      <c r="QAN29" s="138"/>
      <c r="QAO29" s="138"/>
      <c r="QAP29" s="138"/>
      <c r="QAQ29" s="138"/>
      <c r="QAR29" s="138"/>
      <c r="QAS29" s="138"/>
      <c r="QAT29" s="138"/>
      <c r="QAU29" s="138"/>
      <c r="QAV29" s="138"/>
      <c r="QAW29" s="138"/>
      <c r="QAX29" s="138"/>
      <c r="QAY29" s="138"/>
      <c r="QAZ29" s="138"/>
      <c r="QBA29" s="138"/>
      <c r="QBB29" s="138"/>
      <c r="QBC29" s="138"/>
      <c r="QBD29" s="138"/>
      <c r="QBE29" s="138"/>
      <c r="QBF29" s="138"/>
      <c r="QBG29" s="138"/>
      <c r="QBH29" s="138"/>
      <c r="QBI29" s="138"/>
      <c r="QBJ29" s="138"/>
      <c r="QBK29" s="138"/>
      <c r="QBL29" s="138"/>
      <c r="QBM29" s="138"/>
      <c r="QBN29" s="138"/>
      <c r="QBO29" s="138"/>
      <c r="QBP29" s="138"/>
      <c r="QBQ29" s="138"/>
      <c r="QBR29" s="138"/>
      <c r="QBS29" s="138"/>
      <c r="QBT29" s="138"/>
      <c r="QBU29" s="138"/>
      <c r="QBV29" s="138"/>
      <c r="QBW29" s="138"/>
      <c r="QBX29" s="138"/>
      <c r="QBY29" s="138"/>
      <c r="QBZ29" s="138"/>
      <c r="QCA29" s="138"/>
      <c r="QCB29" s="138"/>
      <c r="QCC29" s="138"/>
      <c r="QCD29" s="138"/>
      <c r="QCE29" s="138"/>
      <c r="QCF29" s="138"/>
      <c r="QCG29" s="138"/>
      <c r="QCH29" s="138"/>
      <c r="QCI29" s="138"/>
      <c r="QCJ29" s="138"/>
      <c r="QCK29" s="138"/>
      <c r="QCL29" s="138"/>
      <c r="QCM29" s="138"/>
      <c r="QCN29" s="138"/>
      <c r="QCO29" s="138"/>
      <c r="QCP29" s="138"/>
      <c r="QCQ29" s="138"/>
      <c r="QCR29" s="138"/>
      <c r="QCS29" s="138"/>
      <c r="QCT29" s="138"/>
      <c r="QCU29" s="138"/>
      <c r="QCV29" s="138"/>
      <c r="QCW29" s="138"/>
      <c r="QCX29" s="138"/>
      <c r="QCY29" s="138"/>
      <c r="QCZ29" s="138"/>
      <c r="QDA29" s="138"/>
      <c r="QDB29" s="138"/>
      <c r="QDC29" s="138"/>
      <c r="QDD29" s="138"/>
      <c r="QDE29" s="138"/>
      <c r="QDF29" s="138"/>
      <c r="QDG29" s="138"/>
      <c r="QDH29" s="138"/>
      <c r="QDI29" s="138"/>
      <c r="QDJ29" s="138"/>
      <c r="QDK29" s="138"/>
      <c r="QDL29" s="138"/>
      <c r="QDM29" s="138"/>
      <c r="QDN29" s="138"/>
      <c r="QDO29" s="138"/>
      <c r="QDP29" s="138"/>
      <c r="QDQ29" s="138"/>
      <c r="QDR29" s="138"/>
      <c r="QDS29" s="138"/>
      <c r="QDT29" s="138"/>
      <c r="QDU29" s="138"/>
      <c r="QDV29" s="138"/>
      <c r="QDW29" s="138"/>
      <c r="QDX29" s="138"/>
      <c r="QDY29" s="138"/>
      <c r="QDZ29" s="138"/>
      <c r="QEA29" s="138"/>
      <c r="QEB29" s="138"/>
      <c r="QEC29" s="138"/>
      <c r="QED29" s="138"/>
      <c r="QEE29" s="138"/>
      <c r="QEF29" s="138"/>
      <c r="QEG29" s="138"/>
      <c r="QEH29" s="138"/>
      <c r="QEI29" s="138"/>
      <c r="QEJ29" s="138"/>
      <c r="QEK29" s="138"/>
      <c r="QEL29" s="138"/>
      <c r="QEM29" s="138"/>
      <c r="QEN29" s="138"/>
      <c r="QEO29" s="138"/>
      <c r="QEP29" s="138"/>
      <c r="QEQ29" s="138"/>
      <c r="QER29" s="138"/>
      <c r="QES29" s="138"/>
      <c r="QET29" s="138"/>
      <c r="QEU29" s="138"/>
      <c r="QEV29" s="138"/>
      <c r="QEW29" s="138"/>
      <c r="QEX29" s="138"/>
      <c r="QEY29" s="138"/>
      <c r="QEZ29" s="138"/>
      <c r="QFA29" s="138"/>
      <c r="QFB29" s="138"/>
      <c r="QFC29" s="138"/>
      <c r="QFD29" s="138"/>
      <c r="QFE29" s="138"/>
      <c r="QFF29" s="138"/>
      <c r="QFG29" s="138"/>
      <c r="QFH29" s="138"/>
      <c r="QFI29" s="138"/>
      <c r="QFJ29" s="138"/>
      <c r="QFK29" s="138"/>
      <c r="QFL29" s="138"/>
      <c r="QFM29" s="138"/>
      <c r="QFN29" s="138"/>
      <c r="QFO29" s="138"/>
      <c r="QFP29" s="138"/>
      <c r="QFQ29" s="138"/>
      <c r="QFR29" s="138"/>
      <c r="QFS29" s="138"/>
      <c r="QFT29" s="138"/>
      <c r="QFU29" s="138"/>
      <c r="QFV29" s="138"/>
      <c r="QFW29" s="138"/>
      <c r="QFX29" s="138"/>
      <c r="QFY29" s="138"/>
      <c r="QFZ29" s="138"/>
      <c r="QGA29" s="138"/>
      <c r="QGB29" s="138"/>
      <c r="QGC29" s="138"/>
      <c r="QGD29" s="138"/>
      <c r="QGE29" s="138"/>
      <c r="QGF29" s="138"/>
      <c r="QGG29" s="138"/>
      <c r="QGH29" s="138"/>
      <c r="QGI29" s="138"/>
      <c r="QGJ29" s="138"/>
      <c r="QGK29" s="138"/>
      <c r="QGL29" s="138"/>
      <c r="QGM29" s="138"/>
      <c r="QGN29" s="138"/>
      <c r="QGO29" s="138"/>
      <c r="QGP29" s="138"/>
      <c r="QGQ29" s="138"/>
      <c r="QGR29" s="138"/>
      <c r="QGS29" s="138"/>
      <c r="QGT29" s="138"/>
      <c r="QGU29" s="138"/>
      <c r="QGV29" s="138"/>
      <c r="QGW29" s="138"/>
      <c r="QGX29" s="138"/>
      <c r="QGY29" s="138"/>
      <c r="QGZ29" s="138"/>
      <c r="QHA29" s="138"/>
      <c r="QHB29" s="138"/>
      <c r="QHC29" s="138"/>
      <c r="QHD29" s="138"/>
      <c r="QHE29" s="138"/>
      <c r="QHF29" s="138"/>
      <c r="QHG29" s="138"/>
      <c r="QHH29" s="138"/>
      <c r="QHI29" s="138"/>
      <c r="QHJ29" s="138"/>
      <c r="QHK29" s="138"/>
      <c r="QHL29" s="138"/>
      <c r="QHM29" s="138"/>
      <c r="QHN29" s="138"/>
      <c r="QHO29" s="138"/>
      <c r="QHP29" s="138"/>
      <c r="QHQ29" s="138"/>
      <c r="QHR29" s="138"/>
      <c r="QHS29" s="138"/>
      <c r="QHT29" s="138"/>
      <c r="QHU29" s="138"/>
      <c r="QHV29" s="138"/>
      <c r="QHW29" s="138"/>
      <c r="QHX29" s="138"/>
      <c r="QHY29" s="138"/>
      <c r="QHZ29" s="138"/>
      <c r="QIA29" s="138"/>
      <c r="QIB29" s="138"/>
      <c r="QIC29" s="138"/>
      <c r="QID29" s="138"/>
      <c r="QIE29" s="138"/>
      <c r="QIF29" s="138"/>
      <c r="QIG29" s="138"/>
      <c r="QIH29" s="138"/>
      <c r="QII29" s="138"/>
      <c r="QIJ29" s="138"/>
      <c r="QIK29" s="138"/>
      <c r="QIL29" s="138"/>
      <c r="QIM29" s="138"/>
      <c r="QIN29" s="138"/>
      <c r="QIO29" s="138"/>
      <c r="QIP29" s="138"/>
      <c r="QIQ29" s="138"/>
      <c r="QIR29" s="138"/>
      <c r="QIS29" s="138"/>
      <c r="QIT29" s="138"/>
      <c r="QIU29" s="138"/>
      <c r="QIV29" s="138"/>
      <c r="QIW29" s="138"/>
      <c r="QIX29" s="138"/>
      <c r="QIY29" s="138"/>
      <c r="QIZ29" s="138"/>
      <c r="QJA29" s="138"/>
      <c r="QJB29" s="138"/>
      <c r="QJC29" s="138"/>
      <c r="QJD29" s="138"/>
      <c r="QJE29" s="138"/>
      <c r="QJF29" s="138"/>
      <c r="QJG29" s="138"/>
      <c r="QJH29" s="138"/>
      <c r="QJI29" s="138"/>
      <c r="QJJ29" s="138"/>
      <c r="QJK29" s="138"/>
      <c r="QJL29" s="138"/>
      <c r="QJM29" s="138"/>
      <c r="QJN29" s="138"/>
      <c r="QJO29" s="138"/>
      <c r="QJP29" s="138"/>
      <c r="QJQ29" s="138"/>
      <c r="QJR29" s="138"/>
      <c r="QJS29" s="138"/>
      <c r="QJT29" s="138"/>
      <c r="QJU29" s="138"/>
      <c r="QJV29" s="138"/>
      <c r="QJW29" s="138"/>
      <c r="QJX29" s="138"/>
      <c r="QJY29" s="138"/>
      <c r="QJZ29" s="138"/>
      <c r="QKA29" s="138"/>
      <c r="QKB29" s="138"/>
      <c r="QKC29" s="138"/>
      <c r="QKD29" s="138"/>
      <c r="QKE29" s="138"/>
      <c r="QKF29" s="138"/>
      <c r="QKG29" s="138"/>
      <c r="QKH29" s="138"/>
      <c r="QKI29" s="138"/>
      <c r="QKJ29" s="138"/>
      <c r="QKK29" s="138"/>
      <c r="QKL29" s="138"/>
      <c r="QKM29" s="138"/>
      <c r="QKN29" s="138"/>
      <c r="QKO29" s="138"/>
      <c r="QKP29" s="138"/>
      <c r="QKQ29" s="138"/>
      <c r="QKR29" s="138"/>
      <c r="QKS29" s="138"/>
      <c r="QKT29" s="138"/>
      <c r="QKU29" s="138"/>
      <c r="QKV29" s="138"/>
      <c r="QKW29" s="138"/>
      <c r="QKX29" s="138"/>
      <c r="QKY29" s="138"/>
      <c r="QKZ29" s="138"/>
      <c r="QLA29" s="138"/>
      <c r="QLB29" s="138"/>
      <c r="QLC29" s="138"/>
      <c r="QLD29" s="138"/>
      <c r="QLE29" s="138"/>
      <c r="QLF29" s="138"/>
      <c r="QLG29" s="138"/>
      <c r="QLH29" s="138"/>
      <c r="QLI29" s="138"/>
      <c r="QLJ29" s="138"/>
      <c r="QLK29" s="138"/>
      <c r="QLL29" s="138"/>
      <c r="QLM29" s="138"/>
      <c r="QLN29" s="138"/>
      <c r="QLO29" s="138"/>
      <c r="QLP29" s="138"/>
      <c r="QLQ29" s="138"/>
      <c r="QLR29" s="138"/>
      <c r="QLS29" s="138"/>
      <c r="QLT29" s="138"/>
      <c r="QLU29" s="138"/>
      <c r="QLV29" s="138"/>
      <c r="QLW29" s="138"/>
      <c r="QLX29" s="138"/>
      <c r="QLY29" s="138"/>
      <c r="QLZ29" s="138"/>
      <c r="QMA29" s="138"/>
      <c r="QMB29" s="138"/>
      <c r="QMC29" s="138"/>
      <c r="QMD29" s="138"/>
      <c r="QME29" s="138"/>
      <c r="QMF29" s="138"/>
      <c r="QMG29" s="138"/>
      <c r="QMH29" s="138"/>
      <c r="QMI29" s="138"/>
      <c r="QMJ29" s="138"/>
      <c r="QMK29" s="138"/>
      <c r="QML29" s="138"/>
      <c r="QMM29" s="138"/>
      <c r="QMN29" s="138"/>
      <c r="QMO29" s="138"/>
      <c r="QMP29" s="138"/>
      <c r="QMQ29" s="138"/>
      <c r="QMR29" s="138"/>
      <c r="QMS29" s="138"/>
      <c r="QMT29" s="138"/>
      <c r="QMU29" s="138"/>
      <c r="QMV29" s="138"/>
      <c r="QMW29" s="138"/>
      <c r="QMX29" s="138"/>
      <c r="QMY29" s="138"/>
      <c r="QMZ29" s="138"/>
      <c r="QNA29" s="138"/>
      <c r="QNB29" s="138"/>
      <c r="QNC29" s="138"/>
      <c r="QND29" s="138"/>
      <c r="QNE29" s="138"/>
      <c r="QNF29" s="138"/>
      <c r="QNG29" s="138"/>
      <c r="QNH29" s="138"/>
      <c r="QNI29" s="138"/>
      <c r="QNJ29" s="138"/>
      <c r="QNK29" s="138"/>
      <c r="QNL29" s="138"/>
      <c r="QNM29" s="138"/>
      <c r="QNN29" s="138"/>
      <c r="QNO29" s="138"/>
      <c r="QNP29" s="138"/>
      <c r="QNQ29" s="138"/>
      <c r="QNR29" s="138"/>
      <c r="QNS29" s="138"/>
      <c r="QNT29" s="138"/>
      <c r="QNU29" s="138"/>
      <c r="QNV29" s="138"/>
      <c r="QNW29" s="138"/>
      <c r="QNX29" s="138"/>
      <c r="QNY29" s="138"/>
      <c r="QNZ29" s="138"/>
      <c r="QOA29" s="138"/>
      <c r="QOB29" s="138"/>
      <c r="QOC29" s="138"/>
      <c r="QOD29" s="138"/>
      <c r="QOE29" s="138"/>
      <c r="QOF29" s="138"/>
      <c r="QOG29" s="138"/>
      <c r="QOH29" s="138"/>
      <c r="QOI29" s="138"/>
      <c r="QOJ29" s="138"/>
      <c r="QOK29" s="138"/>
      <c r="QOL29" s="138"/>
      <c r="QOM29" s="138"/>
      <c r="QON29" s="138"/>
      <c r="QOO29" s="138"/>
      <c r="QOP29" s="138"/>
      <c r="QOQ29" s="138"/>
      <c r="QOR29" s="138"/>
      <c r="QOS29" s="138"/>
      <c r="QOT29" s="138"/>
      <c r="QOU29" s="138"/>
      <c r="QOV29" s="138"/>
      <c r="QOW29" s="138"/>
      <c r="QOX29" s="138"/>
      <c r="QOY29" s="138"/>
      <c r="QOZ29" s="138"/>
      <c r="QPA29" s="138"/>
      <c r="QPB29" s="138"/>
      <c r="QPC29" s="138"/>
      <c r="QPD29" s="138"/>
      <c r="QPE29" s="138"/>
      <c r="QPF29" s="138"/>
      <c r="QPG29" s="138"/>
      <c r="QPH29" s="138"/>
      <c r="QPI29" s="138"/>
      <c r="QPJ29" s="138"/>
      <c r="QPK29" s="138"/>
      <c r="QPL29" s="138"/>
      <c r="QPM29" s="138"/>
      <c r="QPN29" s="138"/>
      <c r="QPO29" s="138"/>
      <c r="QPP29" s="138"/>
      <c r="QPQ29" s="138"/>
      <c r="QPR29" s="138"/>
      <c r="QPS29" s="138"/>
      <c r="QPT29" s="138"/>
      <c r="QPU29" s="138"/>
      <c r="QPV29" s="138"/>
      <c r="QPW29" s="138"/>
      <c r="QPX29" s="138"/>
      <c r="QPY29" s="138"/>
      <c r="QPZ29" s="138"/>
      <c r="QQA29" s="138"/>
      <c r="QQB29" s="138"/>
      <c r="QQC29" s="138"/>
      <c r="QQD29" s="138"/>
      <c r="QQE29" s="138"/>
      <c r="QQF29" s="138"/>
      <c r="QQG29" s="138"/>
      <c r="QQH29" s="138"/>
      <c r="QQI29" s="138"/>
      <c r="QQJ29" s="138"/>
      <c r="QQK29" s="138"/>
      <c r="QQL29" s="138"/>
      <c r="QQM29" s="138"/>
      <c r="QQN29" s="138"/>
      <c r="QQO29" s="138"/>
      <c r="QQP29" s="138"/>
      <c r="QQQ29" s="138"/>
      <c r="QQR29" s="138"/>
      <c r="QQS29" s="138"/>
      <c r="QQT29" s="138"/>
      <c r="QQU29" s="138"/>
      <c r="QQV29" s="138"/>
      <c r="QQW29" s="138"/>
      <c r="QQX29" s="138"/>
      <c r="QQY29" s="138"/>
      <c r="QQZ29" s="138"/>
      <c r="QRA29" s="138"/>
      <c r="QRB29" s="138"/>
      <c r="QRC29" s="138"/>
      <c r="QRD29" s="138"/>
      <c r="QRE29" s="138"/>
      <c r="QRF29" s="138"/>
      <c r="QRG29" s="138"/>
      <c r="QRH29" s="138"/>
      <c r="QRI29" s="138"/>
      <c r="QRJ29" s="138"/>
      <c r="QRK29" s="138"/>
      <c r="QRL29" s="138"/>
      <c r="QRM29" s="138"/>
      <c r="QRN29" s="138"/>
      <c r="QRO29" s="138"/>
      <c r="QRP29" s="138"/>
      <c r="QRQ29" s="138"/>
      <c r="QRR29" s="138"/>
      <c r="QRS29" s="138"/>
      <c r="QRT29" s="138"/>
      <c r="QRU29" s="138"/>
      <c r="QRV29" s="138"/>
      <c r="QRW29" s="138"/>
      <c r="QRX29" s="138"/>
      <c r="QRY29" s="138"/>
      <c r="QRZ29" s="138"/>
      <c r="QSA29" s="138"/>
      <c r="QSB29" s="138"/>
      <c r="QSC29" s="138"/>
      <c r="QSD29" s="138"/>
      <c r="QSE29" s="138"/>
      <c r="QSF29" s="138"/>
      <c r="QSG29" s="138"/>
      <c r="QSH29" s="138"/>
      <c r="QSI29" s="138"/>
      <c r="QSJ29" s="138"/>
      <c r="QSK29" s="138"/>
      <c r="QSL29" s="138"/>
      <c r="QSM29" s="138"/>
      <c r="QSN29" s="138"/>
      <c r="QSO29" s="138"/>
      <c r="QSP29" s="138"/>
      <c r="QSQ29" s="138"/>
      <c r="QSR29" s="138"/>
      <c r="QSS29" s="138"/>
      <c r="QST29" s="138"/>
      <c r="QSU29" s="138"/>
      <c r="QSV29" s="138"/>
      <c r="QSW29" s="138"/>
      <c r="QSX29" s="138"/>
      <c r="QSY29" s="138"/>
      <c r="QSZ29" s="138"/>
      <c r="QTA29" s="138"/>
      <c r="QTB29" s="138"/>
      <c r="QTC29" s="138"/>
      <c r="QTD29" s="138"/>
      <c r="QTE29" s="138"/>
      <c r="QTF29" s="138"/>
      <c r="QTG29" s="138"/>
      <c r="QTH29" s="138"/>
      <c r="QTI29" s="138"/>
      <c r="QTJ29" s="138"/>
      <c r="QTK29" s="138"/>
      <c r="QTL29" s="138"/>
      <c r="QTM29" s="138"/>
      <c r="QTN29" s="138"/>
      <c r="QTO29" s="138"/>
      <c r="QTP29" s="138"/>
      <c r="QTQ29" s="138"/>
      <c r="QTR29" s="138"/>
      <c r="QTS29" s="138"/>
      <c r="QTT29" s="138"/>
      <c r="QTU29" s="138"/>
      <c r="QTV29" s="138"/>
      <c r="QTW29" s="138"/>
      <c r="QTX29" s="138"/>
      <c r="QTY29" s="138"/>
      <c r="QTZ29" s="138"/>
      <c r="QUA29" s="138"/>
      <c r="QUB29" s="138"/>
      <c r="QUC29" s="138"/>
      <c r="QUD29" s="138"/>
      <c r="QUE29" s="138"/>
      <c r="QUF29" s="138"/>
      <c r="QUG29" s="138"/>
      <c r="QUH29" s="138"/>
      <c r="QUI29" s="138"/>
      <c r="QUJ29" s="138"/>
      <c r="QUK29" s="138"/>
      <c r="QUL29" s="138"/>
      <c r="QUM29" s="138"/>
      <c r="QUN29" s="138"/>
      <c r="QUO29" s="138"/>
      <c r="QUP29" s="138"/>
      <c r="QUQ29" s="138"/>
      <c r="QUR29" s="138"/>
      <c r="QUS29" s="138"/>
      <c r="QUT29" s="138"/>
      <c r="QUU29" s="138"/>
      <c r="QUV29" s="138"/>
      <c r="QUW29" s="138"/>
      <c r="QUX29" s="138"/>
      <c r="QUY29" s="138"/>
      <c r="QUZ29" s="138"/>
      <c r="QVA29" s="138"/>
      <c r="QVB29" s="138"/>
      <c r="QVC29" s="138"/>
      <c r="QVD29" s="138"/>
      <c r="QVE29" s="138"/>
      <c r="QVF29" s="138"/>
      <c r="QVG29" s="138"/>
      <c r="QVH29" s="138"/>
      <c r="QVI29" s="138"/>
      <c r="QVJ29" s="138"/>
      <c r="QVK29" s="138"/>
      <c r="QVL29" s="138"/>
      <c r="QVM29" s="138"/>
      <c r="QVN29" s="138"/>
      <c r="QVO29" s="138"/>
      <c r="QVP29" s="138"/>
      <c r="QVQ29" s="138"/>
      <c r="QVR29" s="138"/>
      <c r="QVS29" s="138"/>
      <c r="QVT29" s="138"/>
      <c r="QVU29" s="138"/>
      <c r="QVV29" s="138"/>
      <c r="QVW29" s="138"/>
      <c r="QVX29" s="138"/>
      <c r="QVY29" s="138"/>
      <c r="QVZ29" s="138"/>
      <c r="QWA29" s="138"/>
      <c r="QWB29" s="138"/>
      <c r="QWC29" s="138"/>
      <c r="QWD29" s="138"/>
      <c r="QWE29" s="138"/>
      <c r="QWF29" s="138"/>
      <c r="QWG29" s="138"/>
      <c r="QWH29" s="138"/>
      <c r="QWI29" s="138"/>
      <c r="QWJ29" s="138"/>
      <c r="QWK29" s="138"/>
      <c r="QWL29" s="138"/>
      <c r="QWM29" s="138"/>
      <c r="QWN29" s="138"/>
      <c r="QWO29" s="138"/>
      <c r="QWP29" s="138"/>
      <c r="QWQ29" s="138"/>
      <c r="QWR29" s="138"/>
      <c r="QWS29" s="138"/>
      <c r="QWT29" s="138"/>
      <c r="QWU29" s="138"/>
      <c r="QWV29" s="138"/>
      <c r="QWW29" s="138"/>
      <c r="QWX29" s="138"/>
      <c r="QWY29" s="138"/>
      <c r="QWZ29" s="138"/>
      <c r="QXA29" s="138"/>
      <c r="QXB29" s="138"/>
      <c r="QXC29" s="138"/>
      <c r="QXD29" s="138"/>
      <c r="QXE29" s="138"/>
      <c r="QXF29" s="138"/>
      <c r="QXG29" s="138"/>
      <c r="QXH29" s="138"/>
      <c r="QXI29" s="138"/>
      <c r="QXJ29" s="138"/>
      <c r="QXK29" s="138"/>
      <c r="QXL29" s="138"/>
      <c r="QXM29" s="138"/>
      <c r="QXN29" s="138"/>
      <c r="QXO29" s="138"/>
      <c r="QXP29" s="138"/>
      <c r="QXQ29" s="138"/>
      <c r="QXR29" s="138"/>
      <c r="QXS29" s="138"/>
      <c r="QXT29" s="138"/>
      <c r="QXU29" s="138"/>
      <c r="QXV29" s="138"/>
      <c r="QXW29" s="138"/>
      <c r="QXX29" s="138"/>
      <c r="QXY29" s="138"/>
      <c r="QXZ29" s="138"/>
      <c r="QYA29" s="138"/>
      <c r="QYB29" s="138"/>
      <c r="QYC29" s="138"/>
      <c r="QYD29" s="138"/>
      <c r="QYE29" s="138"/>
      <c r="QYF29" s="138"/>
      <c r="QYG29" s="138"/>
      <c r="QYH29" s="138"/>
      <c r="QYI29" s="138"/>
      <c r="QYJ29" s="138"/>
      <c r="QYK29" s="138"/>
      <c r="QYL29" s="138"/>
      <c r="QYM29" s="138"/>
      <c r="QYN29" s="138"/>
      <c r="QYO29" s="138"/>
      <c r="QYP29" s="138"/>
      <c r="QYQ29" s="138"/>
      <c r="QYR29" s="138"/>
      <c r="QYS29" s="138"/>
      <c r="QYT29" s="138"/>
      <c r="QYU29" s="138"/>
      <c r="QYV29" s="138"/>
      <c r="QYW29" s="138"/>
      <c r="QYX29" s="138"/>
      <c r="QYY29" s="138"/>
      <c r="QYZ29" s="138"/>
      <c r="QZA29" s="138"/>
      <c r="QZB29" s="138"/>
      <c r="QZC29" s="138"/>
      <c r="QZD29" s="138"/>
      <c r="QZE29" s="138"/>
      <c r="QZF29" s="138"/>
      <c r="QZG29" s="138"/>
      <c r="QZH29" s="138"/>
      <c r="QZI29" s="138"/>
      <c r="QZJ29" s="138"/>
      <c r="QZK29" s="138"/>
      <c r="QZL29" s="138"/>
      <c r="QZM29" s="138"/>
      <c r="QZN29" s="138"/>
      <c r="QZO29" s="138"/>
      <c r="QZP29" s="138"/>
      <c r="QZQ29" s="138"/>
      <c r="QZR29" s="138"/>
      <c r="QZS29" s="138"/>
      <c r="QZT29" s="138"/>
      <c r="QZU29" s="138"/>
      <c r="QZV29" s="138"/>
      <c r="QZW29" s="138"/>
      <c r="QZX29" s="138"/>
      <c r="QZY29" s="138"/>
      <c r="QZZ29" s="138"/>
      <c r="RAA29" s="138"/>
      <c r="RAB29" s="138"/>
      <c r="RAC29" s="138"/>
      <c r="RAD29" s="138"/>
      <c r="RAE29" s="138"/>
      <c r="RAF29" s="138"/>
      <c r="RAG29" s="138"/>
      <c r="RAH29" s="138"/>
      <c r="RAI29" s="138"/>
      <c r="RAJ29" s="138"/>
      <c r="RAK29" s="138"/>
      <c r="RAL29" s="138"/>
      <c r="RAM29" s="138"/>
      <c r="RAN29" s="138"/>
      <c r="RAO29" s="138"/>
      <c r="RAP29" s="138"/>
      <c r="RAQ29" s="138"/>
      <c r="RAR29" s="138"/>
      <c r="RAS29" s="138"/>
      <c r="RAT29" s="138"/>
      <c r="RAU29" s="138"/>
      <c r="RAV29" s="138"/>
      <c r="RAW29" s="138"/>
      <c r="RAX29" s="138"/>
      <c r="RAY29" s="138"/>
      <c r="RAZ29" s="138"/>
      <c r="RBA29" s="138"/>
      <c r="RBB29" s="138"/>
      <c r="RBC29" s="138"/>
      <c r="RBD29" s="138"/>
      <c r="RBE29" s="138"/>
      <c r="RBF29" s="138"/>
      <c r="RBG29" s="138"/>
      <c r="RBH29" s="138"/>
      <c r="RBI29" s="138"/>
      <c r="RBJ29" s="138"/>
      <c r="RBK29" s="138"/>
      <c r="RBL29" s="138"/>
      <c r="RBM29" s="138"/>
      <c r="RBN29" s="138"/>
      <c r="RBO29" s="138"/>
      <c r="RBP29" s="138"/>
      <c r="RBQ29" s="138"/>
      <c r="RBR29" s="138"/>
      <c r="RBS29" s="138"/>
      <c r="RBT29" s="138"/>
      <c r="RBU29" s="138"/>
      <c r="RBV29" s="138"/>
      <c r="RBW29" s="138"/>
      <c r="RBX29" s="138"/>
      <c r="RBY29" s="138"/>
      <c r="RBZ29" s="138"/>
      <c r="RCA29" s="138"/>
      <c r="RCB29" s="138"/>
      <c r="RCC29" s="138"/>
      <c r="RCD29" s="138"/>
      <c r="RCE29" s="138"/>
      <c r="RCF29" s="138"/>
      <c r="RCG29" s="138"/>
      <c r="RCH29" s="138"/>
      <c r="RCI29" s="138"/>
      <c r="RCJ29" s="138"/>
      <c r="RCK29" s="138"/>
      <c r="RCL29" s="138"/>
      <c r="RCM29" s="138"/>
      <c r="RCN29" s="138"/>
      <c r="RCO29" s="138"/>
      <c r="RCP29" s="138"/>
      <c r="RCQ29" s="138"/>
      <c r="RCR29" s="138"/>
      <c r="RCS29" s="138"/>
      <c r="RCT29" s="138"/>
      <c r="RCU29" s="138"/>
      <c r="RCV29" s="138"/>
      <c r="RCW29" s="138"/>
      <c r="RCX29" s="138"/>
      <c r="RCY29" s="138"/>
      <c r="RCZ29" s="138"/>
      <c r="RDA29" s="138"/>
      <c r="RDB29" s="138"/>
      <c r="RDC29" s="138"/>
      <c r="RDD29" s="138"/>
      <c r="RDE29" s="138"/>
      <c r="RDF29" s="138"/>
      <c r="RDG29" s="138"/>
      <c r="RDH29" s="138"/>
      <c r="RDI29" s="138"/>
      <c r="RDJ29" s="138"/>
      <c r="RDK29" s="138"/>
      <c r="RDL29" s="138"/>
      <c r="RDM29" s="138"/>
      <c r="RDN29" s="138"/>
      <c r="RDO29" s="138"/>
      <c r="RDP29" s="138"/>
      <c r="RDQ29" s="138"/>
      <c r="RDR29" s="138"/>
      <c r="RDS29" s="138"/>
      <c r="RDT29" s="138"/>
      <c r="RDU29" s="138"/>
      <c r="RDV29" s="138"/>
      <c r="RDW29" s="138"/>
      <c r="RDX29" s="138"/>
      <c r="RDY29" s="138"/>
      <c r="RDZ29" s="138"/>
      <c r="REA29" s="138"/>
      <c r="REB29" s="138"/>
      <c r="REC29" s="138"/>
      <c r="RED29" s="138"/>
      <c r="REE29" s="138"/>
      <c r="REF29" s="138"/>
      <c r="REG29" s="138"/>
      <c r="REH29" s="138"/>
      <c r="REI29" s="138"/>
      <c r="REJ29" s="138"/>
      <c r="REK29" s="138"/>
      <c r="REL29" s="138"/>
      <c r="REM29" s="138"/>
      <c r="REN29" s="138"/>
      <c r="REO29" s="138"/>
      <c r="REP29" s="138"/>
      <c r="REQ29" s="138"/>
      <c r="RER29" s="138"/>
      <c r="RES29" s="138"/>
      <c r="RET29" s="138"/>
      <c r="REU29" s="138"/>
      <c r="REV29" s="138"/>
      <c r="REW29" s="138"/>
      <c r="REX29" s="138"/>
      <c r="REY29" s="138"/>
      <c r="REZ29" s="138"/>
      <c r="RFA29" s="138"/>
      <c r="RFB29" s="138"/>
      <c r="RFC29" s="138"/>
      <c r="RFD29" s="138"/>
      <c r="RFE29" s="138"/>
      <c r="RFF29" s="138"/>
      <c r="RFG29" s="138"/>
      <c r="RFH29" s="138"/>
      <c r="RFI29" s="138"/>
      <c r="RFJ29" s="138"/>
      <c r="RFK29" s="138"/>
      <c r="RFL29" s="138"/>
      <c r="RFM29" s="138"/>
      <c r="RFN29" s="138"/>
      <c r="RFO29" s="138"/>
      <c r="RFP29" s="138"/>
      <c r="RFQ29" s="138"/>
      <c r="RFR29" s="138"/>
      <c r="RFS29" s="138"/>
      <c r="RFT29" s="138"/>
      <c r="RFU29" s="138"/>
      <c r="RFV29" s="138"/>
      <c r="RFW29" s="138"/>
      <c r="RFX29" s="138"/>
      <c r="RFY29" s="138"/>
      <c r="RFZ29" s="138"/>
      <c r="RGA29" s="138"/>
      <c r="RGB29" s="138"/>
      <c r="RGC29" s="138"/>
      <c r="RGD29" s="138"/>
      <c r="RGE29" s="138"/>
      <c r="RGF29" s="138"/>
      <c r="RGG29" s="138"/>
      <c r="RGH29" s="138"/>
      <c r="RGI29" s="138"/>
      <c r="RGJ29" s="138"/>
      <c r="RGK29" s="138"/>
      <c r="RGL29" s="138"/>
      <c r="RGM29" s="138"/>
      <c r="RGN29" s="138"/>
      <c r="RGO29" s="138"/>
      <c r="RGP29" s="138"/>
      <c r="RGQ29" s="138"/>
      <c r="RGR29" s="138"/>
      <c r="RGS29" s="138"/>
      <c r="RGT29" s="138"/>
      <c r="RGU29" s="138"/>
      <c r="RGV29" s="138"/>
      <c r="RGW29" s="138"/>
      <c r="RGX29" s="138"/>
      <c r="RGY29" s="138"/>
      <c r="RGZ29" s="138"/>
      <c r="RHA29" s="138"/>
      <c r="RHB29" s="138"/>
      <c r="RHC29" s="138"/>
      <c r="RHD29" s="138"/>
      <c r="RHE29" s="138"/>
      <c r="RHF29" s="138"/>
      <c r="RHG29" s="138"/>
      <c r="RHH29" s="138"/>
      <c r="RHI29" s="138"/>
      <c r="RHJ29" s="138"/>
      <c r="RHK29" s="138"/>
      <c r="RHL29" s="138"/>
      <c r="RHM29" s="138"/>
      <c r="RHN29" s="138"/>
      <c r="RHO29" s="138"/>
      <c r="RHP29" s="138"/>
      <c r="RHQ29" s="138"/>
      <c r="RHR29" s="138"/>
      <c r="RHS29" s="138"/>
      <c r="RHT29" s="138"/>
      <c r="RHU29" s="138"/>
      <c r="RHV29" s="138"/>
      <c r="RHW29" s="138"/>
      <c r="RHX29" s="138"/>
      <c r="RHY29" s="138"/>
      <c r="RHZ29" s="138"/>
      <c r="RIA29" s="138"/>
      <c r="RIB29" s="138"/>
      <c r="RIC29" s="138"/>
      <c r="RID29" s="138"/>
      <c r="RIE29" s="138"/>
      <c r="RIF29" s="138"/>
      <c r="RIG29" s="138"/>
      <c r="RIH29" s="138"/>
      <c r="RII29" s="138"/>
      <c r="RIJ29" s="138"/>
      <c r="RIK29" s="138"/>
      <c r="RIL29" s="138"/>
      <c r="RIM29" s="138"/>
      <c r="RIN29" s="138"/>
      <c r="RIO29" s="138"/>
      <c r="RIP29" s="138"/>
      <c r="RIQ29" s="138"/>
      <c r="RIR29" s="138"/>
      <c r="RIS29" s="138"/>
      <c r="RIT29" s="138"/>
      <c r="RIU29" s="138"/>
      <c r="RIV29" s="138"/>
      <c r="RIW29" s="138"/>
      <c r="RIX29" s="138"/>
      <c r="RIY29" s="138"/>
      <c r="RIZ29" s="138"/>
      <c r="RJA29" s="138"/>
      <c r="RJB29" s="138"/>
      <c r="RJC29" s="138"/>
      <c r="RJD29" s="138"/>
      <c r="RJE29" s="138"/>
      <c r="RJF29" s="138"/>
      <c r="RJG29" s="138"/>
      <c r="RJH29" s="138"/>
      <c r="RJI29" s="138"/>
      <c r="RJJ29" s="138"/>
      <c r="RJK29" s="138"/>
      <c r="RJL29" s="138"/>
      <c r="RJM29" s="138"/>
      <c r="RJN29" s="138"/>
      <c r="RJO29" s="138"/>
      <c r="RJP29" s="138"/>
      <c r="RJQ29" s="138"/>
      <c r="RJR29" s="138"/>
      <c r="RJS29" s="138"/>
      <c r="RJT29" s="138"/>
      <c r="RJU29" s="138"/>
      <c r="RJV29" s="138"/>
      <c r="RJW29" s="138"/>
      <c r="RJX29" s="138"/>
      <c r="RJY29" s="138"/>
      <c r="RJZ29" s="138"/>
      <c r="RKA29" s="138"/>
      <c r="RKB29" s="138"/>
      <c r="RKC29" s="138"/>
      <c r="RKD29" s="138"/>
      <c r="RKE29" s="138"/>
      <c r="RKF29" s="138"/>
      <c r="RKG29" s="138"/>
      <c r="RKH29" s="138"/>
      <c r="RKI29" s="138"/>
      <c r="RKJ29" s="138"/>
      <c r="RKK29" s="138"/>
      <c r="RKL29" s="138"/>
      <c r="RKM29" s="138"/>
      <c r="RKN29" s="138"/>
      <c r="RKO29" s="138"/>
      <c r="RKP29" s="138"/>
      <c r="RKQ29" s="138"/>
      <c r="RKR29" s="138"/>
      <c r="RKS29" s="138"/>
      <c r="RKT29" s="138"/>
      <c r="RKU29" s="138"/>
      <c r="RKV29" s="138"/>
      <c r="RKW29" s="138"/>
      <c r="RKX29" s="138"/>
      <c r="RKY29" s="138"/>
      <c r="RKZ29" s="138"/>
      <c r="RLA29" s="138"/>
      <c r="RLB29" s="138"/>
      <c r="RLC29" s="138"/>
      <c r="RLD29" s="138"/>
      <c r="RLE29" s="138"/>
      <c r="RLF29" s="138"/>
      <c r="RLG29" s="138"/>
      <c r="RLH29" s="138"/>
      <c r="RLI29" s="138"/>
      <c r="RLJ29" s="138"/>
      <c r="RLK29" s="138"/>
      <c r="RLL29" s="138"/>
      <c r="RLM29" s="138"/>
      <c r="RLN29" s="138"/>
      <c r="RLO29" s="138"/>
      <c r="RLP29" s="138"/>
      <c r="RLQ29" s="138"/>
      <c r="RLR29" s="138"/>
      <c r="RLS29" s="138"/>
      <c r="RLT29" s="138"/>
      <c r="RLU29" s="138"/>
      <c r="RLV29" s="138"/>
      <c r="RLW29" s="138"/>
      <c r="RLX29" s="138"/>
      <c r="RLY29" s="138"/>
      <c r="RLZ29" s="138"/>
      <c r="RMA29" s="138"/>
      <c r="RMB29" s="138"/>
      <c r="RMC29" s="138"/>
      <c r="RMD29" s="138"/>
      <c r="RME29" s="138"/>
      <c r="RMF29" s="138"/>
      <c r="RMG29" s="138"/>
      <c r="RMH29" s="138"/>
      <c r="RMI29" s="138"/>
      <c r="RMJ29" s="138"/>
      <c r="RMK29" s="138"/>
      <c r="RML29" s="138"/>
      <c r="RMM29" s="138"/>
      <c r="RMN29" s="138"/>
      <c r="RMO29" s="138"/>
      <c r="RMP29" s="138"/>
      <c r="RMQ29" s="138"/>
      <c r="RMR29" s="138"/>
      <c r="RMS29" s="138"/>
      <c r="RMT29" s="138"/>
      <c r="RMU29" s="138"/>
      <c r="RMV29" s="138"/>
      <c r="RMW29" s="138"/>
      <c r="RMX29" s="138"/>
      <c r="RMY29" s="138"/>
      <c r="RMZ29" s="138"/>
      <c r="RNA29" s="138"/>
      <c r="RNB29" s="138"/>
      <c r="RNC29" s="138"/>
      <c r="RND29" s="138"/>
      <c r="RNE29" s="138"/>
      <c r="RNF29" s="138"/>
      <c r="RNG29" s="138"/>
      <c r="RNH29" s="138"/>
      <c r="RNI29" s="138"/>
      <c r="RNJ29" s="138"/>
      <c r="RNK29" s="138"/>
      <c r="RNL29" s="138"/>
      <c r="RNM29" s="138"/>
      <c r="RNN29" s="138"/>
      <c r="RNO29" s="138"/>
      <c r="RNP29" s="138"/>
      <c r="RNQ29" s="138"/>
      <c r="RNR29" s="138"/>
      <c r="RNS29" s="138"/>
      <c r="RNT29" s="138"/>
      <c r="RNU29" s="138"/>
      <c r="RNV29" s="138"/>
      <c r="RNW29" s="138"/>
      <c r="RNX29" s="138"/>
      <c r="RNY29" s="138"/>
      <c r="RNZ29" s="138"/>
      <c r="ROA29" s="138"/>
      <c r="ROB29" s="138"/>
      <c r="ROC29" s="138"/>
      <c r="ROD29" s="138"/>
      <c r="ROE29" s="138"/>
      <c r="ROF29" s="138"/>
      <c r="ROG29" s="138"/>
      <c r="ROH29" s="138"/>
      <c r="ROI29" s="138"/>
      <c r="ROJ29" s="138"/>
      <c r="ROK29" s="138"/>
      <c r="ROL29" s="138"/>
      <c r="ROM29" s="138"/>
      <c r="RON29" s="138"/>
      <c r="ROO29" s="138"/>
      <c r="ROP29" s="138"/>
      <c r="ROQ29" s="138"/>
      <c r="ROR29" s="138"/>
      <c r="ROS29" s="138"/>
      <c r="ROT29" s="138"/>
      <c r="ROU29" s="138"/>
      <c r="ROV29" s="138"/>
      <c r="ROW29" s="138"/>
      <c r="ROX29" s="138"/>
      <c r="ROY29" s="138"/>
      <c r="ROZ29" s="138"/>
      <c r="RPA29" s="138"/>
      <c r="RPB29" s="138"/>
      <c r="RPC29" s="138"/>
      <c r="RPD29" s="138"/>
      <c r="RPE29" s="138"/>
      <c r="RPF29" s="138"/>
      <c r="RPG29" s="138"/>
      <c r="RPH29" s="138"/>
      <c r="RPI29" s="138"/>
      <c r="RPJ29" s="138"/>
      <c r="RPK29" s="138"/>
      <c r="RPL29" s="138"/>
      <c r="RPM29" s="138"/>
      <c r="RPN29" s="138"/>
      <c r="RPO29" s="138"/>
      <c r="RPP29" s="138"/>
      <c r="RPQ29" s="138"/>
      <c r="RPR29" s="138"/>
      <c r="RPS29" s="138"/>
      <c r="RPT29" s="138"/>
      <c r="RPU29" s="138"/>
      <c r="RPV29" s="138"/>
      <c r="RPW29" s="138"/>
      <c r="RPX29" s="138"/>
      <c r="RPY29" s="138"/>
      <c r="RPZ29" s="138"/>
      <c r="RQA29" s="138"/>
      <c r="RQB29" s="138"/>
      <c r="RQC29" s="138"/>
      <c r="RQD29" s="138"/>
      <c r="RQE29" s="138"/>
      <c r="RQF29" s="138"/>
      <c r="RQG29" s="138"/>
      <c r="RQH29" s="138"/>
      <c r="RQI29" s="138"/>
      <c r="RQJ29" s="138"/>
      <c r="RQK29" s="138"/>
      <c r="RQL29" s="138"/>
      <c r="RQM29" s="138"/>
      <c r="RQN29" s="138"/>
      <c r="RQO29" s="138"/>
      <c r="RQP29" s="138"/>
      <c r="RQQ29" s="138"/>
      <c r="RQR29" s="138"/>
      <c r="RQS29" s="138"/>
      <c r="RQT29" s="138"/>
      <c r="RQU29" s="138"/>
      <c r="RQV29" s="138"/>
      <c r="RQW29" s="138"/>
      <c r="RQX29" s="138"/>
      <c r="RQY29" s="138"/>
      <c r="RQZ29" s="138"/>
      <c r="RRA29" s="138"/>
      <c r="RRB29" s="138"/>
      <c r="RRC29" s="138"/>
      <c r="RRD29" s="138"/>
      <c r="RRE29" s="138"/>
      <c r="RRF29" s="138"/>
      <c r="RRG29" s="138"/>
      <c r="RRH29" s="138"/>
      <c r="RRI29" s="138"/>
      <c r="RRJ29" s="138"/>
      <c r="RRK29" s="138"/>
      <c r="RRL29" s="138"/>
      <c r="RRM29" s="138"/>
      <c r="RRN29" s="138"/>
      <c r="RRO29" s="138"/>
      <c r="RRP29" s="138"/>
      <c r="RRQ29" s="138"/>
      <c r="RRR29" s="138"/>
      <c r="RRS29" s="138"/>
      <c r="RRT29" s="138"/>
      <c r="RRU29" s="138"/>
      <c r="RRV29" s="138"/>
      <c r="RRW29" s="138"/>
      <c r="RRX29" s="138"/>
      <c r="RRY29" s="138"/>
      <c r="RRZ29" s="138"/>
      <c r="RSA29" s="138"/>
      <c r="RSB29" s="138"/>
      <c r="RSC29" s="138"/>
      <c r="RSD29" s="138"/>
      <c r="RSE29" s="138"/>
      <c r="RSF29" s="138"/>
      <c r="RSG29" s="138"/>
      <c r="RSH29" s="138"/>
      <c r="RSI29" s="138"/>
      <c r="RSJ29" s="138"/>
      <c r="RSK29" s="138"/>
      <c r="RSL29" s="138"/>
      <c r="RSM29" s="138"/>
      <c r="RSN29" s="138"/>
      <c r="RSO29" s="138"/>
      <c r="RSP29" s="138"/>
      <c r="RSQ29" s="138"/>
      <c r="RSR29" s="138"/>
      <c r="RSS29" s="138"/>
      <c r="RST29" s="138"/>
      <c r="RSU29" s="138"/>
      <c r="RSV29" s="138"/>
      <c r="RSW29" s="138"/>
      <c r="RSX29" s="138"/>
      <c r="RSY29" s="138"/>
      <c r="RSZ29" s="138"/>
      <c r="RTA29" s="138"/>
      <c r="RTB29" s="138"/>
      <c r="RTC29" s="138"/>
      <c r="RTD29" s="138"/>
      <c r="RTE29" s="138"/>
      <c r="RTF29" s="138"/>
      <c r="RTG29" s="138"/>
      <c r="RTH29" s="138"/>
      <c r="RTI29" s="138"/>
      <c r="RTJ29" s="138"/>
      <c r="RTK29" s="138"/>
      <c r="RTL29" s="138"/>
      <c r="RTM29" s="138"/>
      <c r="RTN29" s="138"/>
      <c r="RTO29" s="138"/>
      <c r="RTP29" s="138"/>
      <c r="RTQ29" s="138"/>
      <c r="RTR29" s="138"/>
      <c r="RTS29" s="138"/>
      <c r="RTT29" s="138"/>
      <c r="RTU29" s="138"/>
      <c r="RTV29" s="138"/>
      <c r="RTW29" s="138"/>
      <c r="RTX29" s="138"/>
      <c r="RTY29" s="138"/>
      <c r="RTZ29" s="138"/>
      <c r="RUA29" s="138"/>
      <c r="RUB29" s="138"/>
      <c r="RUC29" s="138"/>
      <c r="RUD29" s="138"/>
      <c r="RUE29" s="138"/>
      <c r="RUF29" s="138"/>
      <c r="RUG29" s="138"/>
      <c r="RUH29" s="138"/>
      <c r="RUI29" s="138"/>
      <c r="RUJ29" s="138"/>
      <c r="RUK29" s="138"/>
      <c r="RUL29" s="138"/>
      <c r="RUM29" s="138"/>
      <c r="RUN29" s="138"/>
      <c r="RUO29" s="138"/>
      <c r="RUP29" s="138"/>
      <c r="RUQ29" s="138"/>
      <c r="RUR29" s="138"/>
      <c r="RUS29" s="138"/>
      <c r="RUT29" s="138"/>
      <c r="RUU29" s="138"/>
      <c r="RUV29" s="138"/>
      <c r="RUW29" s="138"/>
      <c r="RUX29" s="138"/>
      <c r="RUY29" s="138"/>
      <c r="RUZ29" s="138"/>
      <c r="RVA29" s="138"/>
      <c r="RVB29" s="138"/>
      <c r="RVC29" s="138"/>
      <c r="RVD29" s="138"/>
      <c r="RVE29" s="138"/>
      <c r="RVF29" s="138"/>
      <c r="RVG29" s="138"/>
      <c r="RVH29" s="138"/>
      <c r="RVI29" s="138"/>
      <c r="RVJ29" s="138"/>
      <c r="RVK29" s="138"/>
      <c r="RVL29" s="138"/>
      <c r="RVM29" s="138"/>
      <c r="RVN29" s="138"/>
      <c r="RVO29" s="138"/>
      <c r="RVP29" s="138"/>
      <c r="RVQ29" s="138"/>
      <c r="RVR29" s="138"/>
      <c r="RVS29" s="138"/>
      <c r="RVT29" s="138"/>
      <c r="RVU29" s="138"/>
      <c r="RVV29" s="138"/>
      <c r="RVW29" s="138"/>
      <c r="RVX29" s="138"/>
      <c r="RVY29" s="138"/>
      <c r="RVZ29" s="138"/>
      <c r="RWA29" s="138"/>
      <c r="RWB29" s="138"/>
      <c r="RWC29" s="138"/>
      <c r="RWD29" s="138"/>
      <c r="RWE29" s="138"/>
      <c r="RWF29" s="138"/>
      <c r="RWG29" s="138"/>
      <c r="RWH29" s="138"/>
      <c r="RWI29" s="138"/>
      <c r="RWJ29" s="138"/>
      <c r="RWK29" s="138"/>
      <c r="RWL29" s="138"/>
      <c r="RWM29" s="138"/>
      <c r="RWN29" s="138"/>
      <c r="RWO29" s="138"/>
      <c r="RWP29" s="138"/>
      <c r="RWQ29" s="138"/>
      <c r="RWR29" s="138"/>
      <c r="RWS29" s="138"/>
      <c r="RWT29" s="138"/>
      <c r="RWU29" s="138"/>
      <c r="RWV29" s="138"/>
      <c r="RWW29" s="138"/>
      <c r="RWX29" s="138"/>
      <c r="RWY29" s="138"/>
      <c r="RWZ29" s="138"/>
      <c r="RXA29" s="138"/>
      <c r="RXB29" s="138"/>
      <c r="RXC29" s="138"/>
      <c r="RXD29" s="138"/>
      <c r="RXE29" s="138"/>
      <c r="RXF29" s="138"/>
      <c r="RXG29" s="138"/>
      <c r="RXH29" s="138"/>
      <c r="RXI29" s="138"/>
      <c r="RXJ29" s="138"/>
      <c r="RXK29" s="138"/>
      <c r="RXL29" s="138"/>
      <c r="RXM29" s="138"/>
      <c r="RXN29" s="138"/>
      <c r="RXO29" s="138"/>
      <c r="RXP29" s="138"/>
      <c r="RXQ29" s="138"/>
      <c r="RXR29" s="138"/>
      <c r="RXS29" s="138"/>
      <c r="RXT29" s="138"/>
      <c r="RXU29" s="138"/>
      <c r="RXV29" s="138"/>
      <c r="RXW29" s="138"/>
      <c r="RXX29" s="138"/>
      <c r="RXY29" s="138"/>
      <c r="RXZ29" s="138"/>
      <c r="RYA29" s="138"/>
      <c r="RYB29" s="138"/>
      <c r="RYC29" s="138"/>
      <c r="RYD29" s="138"/>
      <c r="RYE29" s="138"/>
      <c r="RYF29" s="138"/>
      <c r="RYG29" s="138"/>
      <c r="RYH29" s="138"/>
      <c r="RYI29" s="138"/>
      <c r="RYJ29" s="138"/>
      <c r="RYK29" s="138"/>
      <c r="RYL29" s="138"/>
      <c r="RYM29" s="138"/>
      <c r="RYN29" s="138"/>
      <c r="RYO29" s="138"/>
      <c r="RYP29" s="138"/>
      <c r="RYQ29" s="138"/>
      <c r="RYR29" s="138"/>
      <c r="RYS29" s="138"/>
      <c r="RYT29" s="138"/>
      <c r="RYU29" s="138"/>
      <c r="RYV29" s="138"/>
      <c r="RYW29" s="138"/>
      <c r="RYX29" s="138"/>
      <c r="RYY29" s="138"/>
      <c r="RYZ29" s="138"/>
      <c r="RZA29" s="138"/>
      <c r="RZB29" s="138"/>
      <c r="RZC29" s="138"/>
      <c r="RZD29" s="138"/>
      <c r="RZE29" s="138"/>
      <c r="RZF29" s="138"/>
      <c r="RZG29" s="138"/>
      <c r="RZH29" s="138"/>
      <c r="RZI29" s="138"/>
      <c r="RZJ29" s="138"/>
      <c r="RZK29" s="138"/>
      <c r="RZL29" s="138"/>
      <c r="RZM29" s="138"/>
      <c r="RZN29" s="138"/>
      <c r="RZO29" s="138"/>
      <c r="RZP29" s="138"/>
      <c r="RZQ29" s="138"/>
      <c r="RZR29" s="138"/>
      <c r="RZS29" s="138"/>
      <c r="RZT29" s="138"/>
      <c r="RZU29" s="138"/>
      <c r="RZV29" s="138"/>
      <c r="RZW29" s="138"/>
      <c r="RZX29" s="138"/>
      <c r="RZY29" s="138"/>
      <c r="RZZ29" s="138"/>
      <c r="SAA29" s="138"/>
      <c r="SAB29" s="138"/>
      <c r="SAC29" s="138"/>
      <c r="SAD29" s="138"/>
      <c r="SAE29" s="138"/>
      <c r="SAF29" s="138"/>
      <c r="SAG29" s="138"/>
      <c r="SAH29" s="138"/>
      <c r="SAI29" s="138"/>
      <c r="SAJ29" s="138"/>
      <c r="SAK29" s="138"/>
      <c r="SAL29" s="138"/>
      <c r="SAM29" s="138"/>
      <c r="SAN29" s="138"/>
      <c r="SAO29" s="138"/>
      <c r="SAP29" s="138"/>
      <c r="SAQ29" s="138"/>
      <c r="SAR29" s="138"/>
      <c r="SAS29" s="138"/>
      <c r="SAT29" s="138"/>
      <c r="SAU29" s="138"/>
      <c r="SAV29" s="138"/>
      <c r="SAW29" s="138"/>
      <c r="SAX29" s="138"/>
      <c r="SAY29" s="138"/>
      <c r="SAZ29" s="138"/>
      <c r="SBA29" s="138"/>
      <c r="SBB29" s="138"/>
      <c r="SBC29" s="138"/>
      <c r="SBD29" s="138"/>
      <c r="SBE29" s="138"/>
      <c r="SBF29" s="138"/>
      <c r="SBG29" s="138"/>
      <c r="SBH29" s="138"/>
      <c r="SBI29" s="138"/>
      <c r="SBJ29" s="138"/>
      <c r="SBK29" s="138"/>
      <c r="SBL29" s="138"/>
      <c r="SBM29" s="138"/>
      <c r="SBN29" s="138"/>
      <c r="SBO29" s="138"/>
      <c r="SBP29" s="138"/>
      <c r="SBQ29" s="138"/>
      <c r="SBR29" s="138"/>
      <c r="SBS29" s="138"/>
      <c r="SBT29" s="138"/>
      <c r="SBU29" s="138"/>
      <c r="SBV29" s="138"/>
      <c r="SBW29" s="138"/>
      <c r="SBX29" s="138"/>
      <c r="SBY29" s="138"/>
      <c r="SBZ29" s="138"/>
      <c r="SCA29" s="138"/>
      <c r="SCB29" s="138"/>
      <c r="SCC29" s="138"/>
      <c r="SCD29" s="138"/>
      <c r="SCE29" s="138"/>
      <c r="SCF29" s="138"/>
      <c r="SCG29" s="138"/>
      <c r="SCH29" s="138"/>
      <c r="SCI29" s="138"/>
      <c r="SCJ29" s="138"/>
      <c r="SCK29" s="138"/>
      <c r="SCL29" s="138"/>
      <c r="SCM29" s="138"/>
      <c r="SCN29" s="138"/>
      <c r="SCO29" s="138"/>
      <c r="SCP29" s="138"/>
      <c r="SCQ29" s="138"/>
      <c r="SCR29" s="138"/>
      <c r="SCS29" s="138"/>
      <c r="SCT29" s="138"/>
      <c r="SCU29" s="138"/>
      <c r="SCV29" s="138"/>
      <c r="SCW29" s="138"/>
      <c r="SCX29" s="138"/>
      <c r="SCY29" s="138"/>
      <c r="SCZ29" s="138"/>
      <c r="SDA29" s="138"/>
      <c r="SDB29" s="138"/>
      <c r="SDC29" s="138"/>
      <c r="SDD29" s="138"/>
      <c r="SDE29" s="138"/>
      <c r="SDF29" s="138"/>
      <c r="SDG29" s="138"/>
      <c r="SDH29" s="138"/>
      <c r="SDI29" s="138"/>
      <c r="SDJ29" s="138"/>
      <c r="SDK29" s="138"/>
      <c r="SDL29" s="138"/>
      <c r="SDM29" s="138"/>
      <c r="SDN29" s="138"/>
      <c r="SDO29" s="138"/>
      <c r="SDP29" s="138"/>
      <c r="SDQ29" s="138"/>
      <c r="SDR29" s="138"/>
      <c r="SDS29" s="138"/>
      <c r="SDT29" s="138"/>
      <c r="SDU29" s="138"/>
      <c r="SDV29" s="138"/>
      <c r="SDW29" s="138"/>
      <c r="SDX29" s="138"/>
      <c r="SDY29" s="138"/>
      <c r="SDZ29" s="138"/>
      <c r="SEA29" s="138"/>
      <c r="SEB29" s="138"/>
      <c r="SEC29" s="138"/>
      <c r="SED29" s="138"/>
      <c r="SEE29" s="138"/>
      <c r="SEF29" s="138"/>
      <c r="SEG29" s="138"/>
      <c r="SEH29" s="138"/>
      <c r="SEI29" s="138"/>
      <c r="SEJ29" s="138"/>
      <c r="SEK29" s="138"/>
      <c r="SEL29" s="138"/>
      <c r="SEM29" s="138"/>
      <c r="SEN29" s="138"/>
      <c r="SEO29" s="138"/>
      <c r="SEP29" s="138"/>
      <c r="SEQ29" s="138"/>
      <c r="SER29" s="138"/>
      <c r="SES29" s="138"/>
      <c r="SET29" s="138"/>
      <c r="SEU29" s="138"/>
      <c r="SEV29" s="138"/>
      <c r="SEW29" s="138"/>
      <c r="SEX29" s="138"/>
      <c r="SEY29" s="138"/>
      <c r="SEZ29" s="138"/>
      <c r="SFA29" s="138"/>
      <c r="SFB29" s="138"/>
      <c r="SFC29" s="138"/>
      <c r="SFD29" s="138"/>
      <c r="SFE29" s="138"/>
      <c r="SFF29" s="138"/>
      <c r="SFG29" s="138"/>
      <c r="SFH29" s="138"/>
      <c r="SFI29" s="138"/>
      <c r="SFJ29" s="138"/>
      <c r="SFK29" s="138"/>
      <c r="SFL29" s="138"/>
      <c r="SFM29" s="138"/>
      <c r="SFN29" s="138"/>
      <c r="SFO29" s="138"/>
      <c r="SFP29" s="138"/>
      <c r="SFQ29" s="138"/>
      <c r="SFR29" s="138"/>
      <c r="SFS29" s="138"/>
      <c r="SFT29" s="138"/>
      <c r="SFU29" s="138"/>
      <c r="SFV29" s="138"/>
      <c r="SFW29" s="138"/>
      <c r="SFX29" s="138"/>
      <c r="SFY29" s="138"/>
      <c r="SFZ29" s="138"/>
      <c r="SGA29" s="138"/>
      <c r="SGB29" s="138"/>
      <c r="SGC29" s="138"/>
      <c r="SGD29" s="138"/>
      <c r="SGE29" s="138"/>
      <c r="SGF29" s="138"/>
      <c r="SGG29" s="138"/>
      <c r="SGH29" s="138"/>
      <c r="SGI29" s="138"/>
      <c r="SGJ29" s="138"/>
      <c r="SGK29" s="138"/>
      <c r="SGL29" s="138"/>
      <c r="SGM29" s="138"/>
      <c r="SGN29" s="138"/>
      <c r="SGO29" s="138"/>
      <c r="SGP29" s="138"/>
      <c r="SGQ29" s="138"/>
      <c r="SGR29" s="138"/>
      <c r="SGS29" s="138"/>
      <c r="SGT29" s="138"/>
      <c r="SGU29" s="138"/>
      <c r="SGV29" s="138"/>
      <c r="SGW29" s="138"/>
      <c r="SGX29" s="138"/>
      <c r="SGY29" s="138"/>
      <c r="SGZ29" s="138"/>
      <c r="SHA29" s="138"/>
      <c r="SHB29" s="138"/>
      <c r="SHC29" s="138"/>
      <c r="SHD29" s="138"/>
      <c r="SHE29" s="138"/>
      <c r="SHF29" s="138"/>
      <c r="SHG29" s="138"/>
      <c r="SHH29" s="138"/>
      <c r="SHI29" s="138"/>
      <c r="SHJ29" s="138"/>
      <c r="SHK29" s="138"/>
      <c r="SHL29" s="138"/>
      <c r="SHM29" s="138"/>
      <c r="SHN29" s="138"/>
      <c r="SHO29" s="138"/>
      <c r="SHP29" s="138"/>
      <c r="SHQ29" s="138"/>
      <c r="SHR29" s="138"/>
      <c r="SHS29" s="138"/>
      <c r="SHT29" s="138"/>
      <c r="SHU29" s="138"/>
      <c r="SHV29" s="138"/>
      <c r="SHW29" s="138"/>
      <c r="SHX29" s="138"/>
      <c r="SHY29" s="138"/>
      <c r="SHZ29" s="138"/>
      <c r="SIA29" s="138"/>
      <c r="SIB29" s="138"/>
      <c r="SIC29" s="138"/>
      <c r="SID29" s="138"/>
      <c r="SIE29" s="138"/>
      <c r="SIF29" s="138"/>
      <c r="SIG29" s="138"/>
      <c r="SIH29" s="138"/>
      <c r="SII29" s="138"/>
      <c r="SIJ29" s="138"/>
      <c r="SIK29" s="138"/>
      <c r="SIL29" s="138"/>
      <c r="SIM29" s="138"/>
      <c r="SIN29" s="138"/>
      <c r="SIO29" s="138"/>
      <c r="SIP29" s="138"/>
      <c r="SIQ29" s="138"/>
      <c r="SIR29" s="138"/>
      <c r="SIS29" s="138"/>
      <c r="SIT29" s="138"/>
      <c r="SIU29" s="138"/>
      <c r="SIV29" s="138"/>
      <c r="SIW29" s="138"/>
      <c r="SIX29" s="138"/>
      <c r="SIY29" s="138"/>
      <c r="SIZ29" s="138"/>
      <c r="SJA29" s="138"/>
      <c r="SJB29" s="138"/>
      <c r="SJC29" s="138"/>
      <c r="SJD29" s="138"/>
      <c r="SJE29" s="138"/>
      <c r="SJF29" s="138"/>
      <c r="SJG29" s="138"/>
      <c r="SJH29" s="138"/>
      <c r="SJI29" s="138"/>
      <c r="SJJ29" s="138"/>
      <c r="SJK29" s="138"/>
      <c r="SJL29" s="138"/>
      <c r="SJM29" s="138"/>
      <c r="SJN29" s="138"/>
      <c r="SJO29" s="138"/>
      <c r="SJP29" s="138"/>
      <c r="SJQ29" s="138"/>
      <c r="SJR29" s="138"/>
      <c r="SJS29" s="138"/>
      <c r="SJT29" s="138"/>
      <c r="SJU29" s="138"/>
      <c r="SJV29" s="138"/>
      <c r="SJW29" s="138"/>
      <c r="SJX29" s="138"/>
      <c r="SJY29" s="138"/>
      <c r="SJZ29" s="138"/>
      <c r="SKA29" s="138"/>
      <c r="SKB29" s="138"/>
      <c r="SKC29" s="138"/>
      <c r="SKD29" s="138"/>
      <c r="SKE29" s="138"/>
      <c r="SKF29" s="138"/>
      <c r="SKG29" s="138"/>
      <c r="SKH29" s="138"/>
      <c r="SKI29" s="138"/>
      <c r="SKJ29" s="138"/>
      <c r="SKK29" s="138"/>
      <c r="SKL29" s="138"/>
      <c r="SKM29" s="138"/>
      <c r="SKN29" s="138"/>
      <c r="SKO29" s="138"/>
      <c r="SKP29" s="138"/>
      <c r="SKQ29" s="138"/>
      <c r="SKR29" s="138"/>
      <c r="SKS29" s="138"/>
      <c r="SKT29" s="138"/>
      <c r="SKU29" s="138"/>
      <c r="SKV29" s="138"/>
      <c r="SKW29" s="138"/>
      <c r="SKX29" s="138"/>
      <c r="SKY29" s="138"/>
      <c r="SKZ29" s="138"/>
      <c r="SLA29" s="138"/>
      <c r="SLB29" s="138"/>
      <c r="SLC29" s="138"/>
      <c r="SLD29" s="138"/>
      <c r="SLE29" s="138"/>
      <c r="SLF29" s="138"/>
      <c r="SLG29" s="138"/>
      <c r="SLH29" s="138"/>
      <c r="SLI29" s="138"/>
      <c r="SLJ29" s="138"/>
      <c r="SLK29" s="138"/>
      <c r="SLL29" s="138"/>
      <c r="SLM29" s="138"/>
      <c r="SLN29" s="138"/>
      <c r="SLO29" s="138"/>
      <c r="SLP29" s="138"/>
      <c r="SLQ29" s="138"/>
      <c r="SLR29" s="138"/>
      <c r="SLS29" s="138"/>
      <c r="SLT29" s="138"/>
      <c r="SLU29" s="138"/>
      <c r="SLV29" s="138"/>
      <c r="SLW29" s="138"/>
      <c r="SLX29" s="138"/>
      <c r="SLY29" s="138"/>
      <c r="SLZ29" s="138"/>
      <c r="SMA29" s="138"/>
      <c r="SMB29" s="138"/>
      <c r="SMC29" s="138"/>
      <c r="SMD29" s="138"/>
      <c r="SME29" s="138"/>
      <c r="SMF29" s="138"/>
      <c r="SMG29" s="138"/>
      <c r="SMH29" s="138"/>
      <c r="SMI29" s="138"/>
      <c r="SMJ29" s="138"/>
      <c r="SMK29" s="138"/>
      <c r="SML29" s="138"/>
      <c r="SMM29" s="138"/>
      <c r="SMN29" s="138"/>
      <c r="SMO29" s="138"/>
      <c r="SMP29" s="138"/>
      <c r="SMQ29" s="138"/>
      <c r="SMR29" s="138"/>
      <c r="SMS29" s="138"/>
      <c r="SMT29" s="138"/>
      <c r="SMU29" s="138"/>
      <c r="SMV29" s="138"/>
      <c r="SMW29" s="138"/>
      <c r="SMX29" s="138"/>
      <c r="SMY29" s="138"/>
      <c r="SMZ29" s="138"/>
      <c r="SNA29" s="138"/>
      <c r="SNB29" s="138"/>
      <c r="SNC29" s="138"/>
      <c r="SND29" s="138"/>
      <c r="SNE29" s="138"/>
      <c r="SNF29" s="138"/>
      <c r="SNG29" s="138"/>
      <c r="SNH29" s="138"/>
      <c r="SNI29" s="138"/>
      <c r="SNJ29" s="138"/>
      <c r="SNK29" s="138"/>
      <c r="SNL29" s="138"/>
      <c r="SNM29" s="138"/>
      <c r="SNN29" s="138"/>
      <c r="SNO29" s="138"/>
      <c r="SNP29" s="138"/>
      <c r="SNQ29" s="138"/>
      <c r="SNR29" s="138"/>
      <c r="SNS29" s="138"/>
      <c r="SNT29" s="138"/>
      <c r="SNU29" s="138"/>
      <c r="SNV29" s="138"/>
      <c r="SNW29" s="138"/>
      <c r="SNX29" s="138"/>
      <c r="SNY29" s="138"/>
      <c r="SNZ29" s="138"/>
      <c r="SOA29" s="138"/>
      <c r="SOB29" s="138"/>
      <c r="SOC29" s="138"/>
      <c r="SOD29" s="138"/>
      <c r="SOE29" s="138"/>
      <c r="SOF29" s="138"/>
      <c r="SOG29" s="138"/>
      <c r="SOH29" s="138"/>
      <c r="SOI29" s="138"/>
      <c r="SOJ29" s="138"/>
      <c r="SOK29" s="138"/>
      <c r="SOL29" s="138"/>
      <c r="SOM29" s="138"/>
      <c r="SON29" s="138"/>
      <c r="SOO29" s="138"/>
      <c r="SOP29" s="138"/>
      <c r="SOQ29" s="138"/>
      <c r="SOR29" s="138"/>
      <c r="SOS29" s="138"/>
      <c r="SOT29" s="138"/>
      <c r="SOU29" s="138"/>
      <c r="SOV29" s="138"/>
      <c r="SOW29" s="138"/>
      <c r="SOX29" s="138"/>
      <c r="SOY29" s="138"/>
      <c r="SOZ29" s="138"/>
      <c r="SPA29" s="138"/>
      <c r="SPB29" s="138"/>
      <c r="SPC29" s="138"/>
      <c r="SPD29" s="138"/>
      <c r="SPE29" s="138"/>
      <c r="SPF29" s="138"/>
      <c r="SPG29" s="138"/>
      <c r="SPH29" s="138"/>
      <c r="SPI29" s="138"/>
      <c r="SPJ29" s="138"/>
      <c r="SPK29" s="138"/>
      <c r="SPL29" s="138"/>
      <c r="SPM29" s="138"/>
      <c r="SPN29" s="138"/>
      <c r="SPO29" s="138"/>
      <c r="SPP29" s="138"/>
      <c r="SPQ29" s="138"/>
      <c r="SPR29" s="138"/>
      <c r="SPS29" s="138"/>
      <c r="SPT29" s="138"/>
      <c r="SPU29" s="138"/>
      <c r="SPV29" s="138"/>
      <c r="SPW29" s="138"/>
      <c r="SPX29" s="138"/>
      <c r="SPY29" s="138"/>
      <c r="SPZ29" s="138"/>
      <c r="SQA29" s="138"/>
      <c r="SQB29" s="138"/>
      <c r="SQC29" s="138"/>
      <c r="SQD29" s="138"/>
      <c r="SQE29" s="138"/>
      <c r="SQF29" s="138"/>
      <c r="SQG29" s="138"/>
      <c r="SQH29" s="138"/>
      <c r="SQI29" s="138"/>
      <c r="SQJ29" s="138"/>
      <c r="SQK29" s="138"/>
      <c r="SQL29" s="138"/>
      <c r="SQM29" s="138"/>
      <c r="SQN29" s="138"/>
      <c r="SQO29" s="138"/>
      <c r="SQP29" s="138"/>
      <c r="SQQ29" s="138"/>
      <c r="SQR29" s="138"/>
      <c r="SQS29" s="138"/>
      <c r="SQT29" s="138"/>
      <c r="SQU29" s="138"/>
      <c r="SQV29" s="138"/>
      <c r="SQW29" s="138"/>
      <c r="SQX29" s="138"/>
      <c r="SQY29" s="138"/>
      <c r="SQZ29" s="138"/>
      <c r="SRA29" s="138"/>
      <c r="SRB29" s="138"/>
      <c r="SRC29" s="138"/>
      <c r="SRD29" s="138"/>
      <c r="SRE29" s="138"/>
      <c r="SRF29" s="138"/>
      <c r="SRG29" s="138"/>
      <c r="SRH29" s="138"/>
      <c r="SRI29" s="138"/>
      <c r="SRJ29" s="138"/>
      <c r="SRK29" s="138"/>
      <c r="SRL29" s="138"/>
      <c r="SRM29" s="138"/>
      <c r="SRN29" s="138"/>
      <c r="SRO29" s="138"/>
      <c r="SRP29" s="138"/>
      <c r="SRQ29" s="138"/>
      <c r="SRR29" s="138"/>
      <c r="SRS29" s="138"/>
      <c r="SRT29" s="138"/>
      <c r="SRU29" s="138"/>
      <c r="SRV29" s="138"/>
      <c r="SRW29" s="138"/>
      <c r="SRX29" s="138"/>
      <c r="SRY29" s="138"/>
      <c r="SRZ29" s="138"/>
      <c r="SSA29" s="138"/>
      <c r="SSB29" s="138"/>
      <c r="SSC29" s="138"/>
      <c r="SSD29" s="138"/>
      <c r="SSE29" s="138"/>
      <c r="SSF29" s="138"/>
      <c r="SSG29" s="138"/>
      <c r="SSH29" s="138"/>
      <c r="SSI29" s="138"/>
      <c r="SSJ29" s="138"/>
      <c r="SSK29" s="138"/>
      <c r="SSL29" s="138"/>
      <c r="SSM29" s="138"/>
      <c r="SSN29" s="138"/>
      <c r="SSO29" s="138"/>
      <c r="SSP29" s="138"/>
      <c r="SSQ29" s="138"/>
      <c r="SSR29" s="138"/>
      <c r="SSS29" s="138"/>
      <c r="SST29" s="138"/>
      <c r="SSU29" s="138"/>
      <c r="SSV29" s="138"/>
      <c r="SSW29" s="138"/>
      <c r="SSX29" s="138"/>
      <c r="SSY29" s="138"/>
      <c r="SSZ29" s="138"/>
      <c r="STA29" s="138"/>
      <c r="STB29" s="138"/>
      <c r="STC29" s="138"/>
      <c r="STD29" s="138"/>
      <c r="STE29" s="138"/>
      <c r="STF29" s="138"/>
      <c r="STG29" s="138"/>
      <c r="STH29" s="138"/>
      <c r="STI29" s="138"/>
      <c r="STJ29" s="138"/>
      <c r="STK29" s="138"/>
      <c r="STL29" s="138"/>
      <c r="STM29" s="138"/>
      <c r="STN29" s="138"/>
      <c r="STO29" s="138"/>
      <c r="STP29" s="138"/>
      <c r="STQ29" s="138"/>
      <c r="STR29" s="138"/>
      <c r="STS29" s="138"/>
      <c r="STT29" s="138"/>
      <c r="STU29" s="138"/>
      <c r="STV29" s="138"/>
      <c r="STW29" s="138"/>
      <c r="STX29" s="138"/>
      <c r="STY29" s="138"/>
      <c r="STZ29" s="138"/>
      <c r="SUA29" s="138"/>
      <c r="SUB29" s="138"/>
      <c r="SUC29" s="138"/>
      <c r="SUD29" s="138"/>
      <c r="SUE29" s="138"/>
      <c r="SUF29" s="138"/>
      <c r="SUG29" s="138"/>
      <c r="SUH29" s="138"/>
      <c r="SUI29" s="138"/>
      <c r="SUJ29" s="138"/>
      <c r="SUK29" s="138"/>
      <c r="SUL29" s="138"/>
      <c r="SUM29" s="138"/>
      <c r="SUN29" s="138"/>
      <c r="SUO29" s="138"/>
      <c r="SUP29" s="138"/>
      <c r="SUQ29" s="138"/>
      <c r="SUR29" s="138"/>
      <c r="SUS29" s="138"/>
      <c r="SUT29" s="138"/>
      <c r="SUU29" s="138"/>
      <c r="SUV29" s="138"/>
      <c r="SUW29" s="138"/>
      <c r="SUX29" s="138"/>
      <c r="SUY29" s="138"/>
      <c r="SUZ29" s="138"/>
      <c r="SVA29" s="138"/>
      <c r="SVB29" s="138"/>
      <c r="SVC29" s="138"/>
      <c r="SVD29" s="138"/>
      <c r="SVE29" s="138"/>
      <c r="SVF29" s="138"/>
      <c r="SVG29" s="138"/>
      <c r="SVH29" s="138"/>
      <c r="SVI29" s="138"/>
      <c r="SVJ29" s="138"/>
      <c r="SVK29" s="138"/>
      <c r="SVL29" s="138"/>
      <c r="SVM29" s="138"/>
      <c r="SVN29" s="138"/>
      <c r="SVO29" s="138"/>
      <c r="SVP29" s="138"/>
      <c r="SVQ29" s="138"/>
      <c r="SVR29" s="138"/>
      <c r="SVS29" s="138"/>
      <c r="SVT29" s="138"/>
      <c r="SVU29" s="138"/>
      <c r="SVV29" s="138"/>
      <c r="SVW29" s="138"/>
      <c r="SVX29" s="138"/>
      <c r="SVY29" s="138"/>
      <c r="SVZ29" s="138"/>
      <c r="SWA29" s="138"/>
      <c r="SWB29" s="138"/>
      <c r="SWC29" s="138"/>
      <c r="SWD29" s="138"/>
      <c r="SWE29" s="138"/>
      <c r="SWF29" s="138"/>
      <c r="SWG29" s="138"/>
      <c r="SWH29" s="138"/>
      <c r="SWI29" s="138"/>
      <c r="SWJ29" s="138"/>
      <c r="SWK29" s="138"/>
      <c r="SWL29" s="138"/>
      <c r="SWM29" s="138"/>
      <c r="SWN29" s="138"/>
      <c r="SWO29" s="138"/>
      <c r="SWP29" s="138"/>
      <c r="SWQ29" s="138"/>
      <c r="SWR29" s="138"/>
      <c r="SWS29" s="138"/>
      <c r="SWT29" s="138"/>
      <c r="SWU29" s="138"/>
      <c r="SWV29" s="138"/>
      <c r="SWW29" s="138"/>
      <c r="SWX29" s="138"/>
      <c r="SWY29" s="138"/>
      <c r="SWZ29" s="138"/>
      <c r="SXA29" s="138"/>
      <c r="SXB29" s="138"/>
      <c r="SXC29" s="138"/>
      <c r="SXD29" s="138"/>
      <c r="SXE29" s="138"/>
      <c r="SXF29" s="138"/>
      <c r="SXG29" s="138"/>
      <c r="SXH29" s="138"/>
      <c r="SXI29" s="138"/>
      <c r="SXJ29" s="138"/>
      <c r="SXK29" s="138"/>
      <c r="SXL29" s="138"/>
      <c r="SXM29" s="138"/>
      <c r="SXN29" s="138"/>
      <c r="SXO29" s="138"/>
      <c r="SXP29" s="138"/>
      <c r="SXQ29" s="138"/>
      <c r="SXR29" s="138"/>
      <c r="SXS29" s="138"/>
      <c r="SXT29" s="138"/>
      <c r="SXU29" s="138"/>
      <c r="SXV29" s="138"/>
      <c r="SXW29" s="138"/>
      <c r="SXX29" s="138"/>
      <c r="SXY29" s="138"/>
      <c r="SXZ29" s="138"/>
      <c r="SYA29" s="138"/>
      <c r="SYB29" s="138"/>
      <c r="SYC29" s="138"/>
      <c r="SYD29" s="138"/>
      <c r="SYE29" s="138"/>
      <c r="SYF29" s="138"/>
      <c r="SYG29" s="138"/>
      <c r="SYH29" s="138"/>
      <c r="SYI29" s="138"/>
      <c r="SYJ29" s="138"/>
      <c r="SYK29" s="138"/>
      <c r="SYL29" s="138"/>
      <c r="SYM29" s="138"/>
      <c r="SYN29" s="138"/>
      <c r="SYO29" s="138"/>
      <c r="SYP29" s="138"/>
      <c r="SYQ29" s="138"/>
      <c r="SYR29" s="138"/>
      <c r="SYS29" s="138"/>
      <c r="SYT29" s="138"/>
      <c r="SYU29" s="138"/>
      <c r="SYV29" s="138"/>
      <c r="SYW29" s="138"/>
      <c r="SYX29" s="138"/>
      <c r="SYY29" s="138"/>
      <c r="SYZ29" s="138"/>
      <c r="SZA29" s="138"/>
      <c r="SZB29" s="138"/>
      <c r="SZC29" s="138"/>
      <c r="SZD29" s="138"/>
      <c r="SZE29" s="138"/>
      <c r="SZF29" s="138"/>
      <c r="SZG29" s="138"/>
      <c r="SZH29" s="138"/>
      <c r="SZI29" s="138"/>
      <c r="SZJ29" s="138"/>
      <c r="SZK29" s="138"/>
      <c r="SZL29" s="138"/>
      <c r="SZM29" s="138"/>
      <c r="SZN29" s="138"/>
      <c r="SZO29" s="138"/>
      <c r="SZP29" s="138"/>
      <c r="SZQ29" s="138"/>
      <c r="SZR29" s="138"/>
      <c r="SZS29" s="138"/>
      <c r="SZT29" s="138"/>
      <c r="SZU29" s="138"/>
      <c r="SZV29" s="138"/>
      <c r="SZW29" s="138"/>
      <c r="SZX29" s="138"/>
      <c r="SZY29" s="138"/>
      <c r="SZZ29" s="138"/>
      <c r="TAA29" s="138"/>
      <c r="TAB29" s="138"/>
      <c r="TAC29" s="138"/>
      <c r="TAD29" s="138"/>
      <c r="TAE29" s="138"/>
      <c r="TAF29" s="138"/>
      <c r="TAG29" s="138"/>
      <c r="TAH29" s="138"/>
      <c r="TAI29" s="138"/>
      <c r="TAJ29" s="138"/>
      <c r="TAK29" s="138"/>
      <c r="TAL29" s="138"/>
      <c r="TAM29" s="138"/>
      <c r="TAN29" s="138"/>
      <c r="TAO29" s="138"/>
      <c r="TAP29" s="138"/>
      <c r="TAQ29" s="138"/>
      <c r="TAR29" s="138"/>
      <c r="TAS29" s="138"/>
      <c r="TAT29" s="138"/>
      <c r="TAU29" s="138"/>
      <c r="TAV29" s="138"/>
      <c r="TAW29" s="138"/>
      <c r="TAX29" s="138"/>
      <c r="TAY29" s="138"/>
      <c r="TAZ29" s="138"/>
      <c r="TBA29" s="138"/>
      <c r="TBB29" s="138"/>
      <c r="TBC29" s="138"/>
      <c r="TBD29" s="138"/>
      <c r="TBE29" s="138"/>
      <c r="TBF29" s="138"/>
      <c r="TBG29" s="138"/>
      <c r="TBH29" s="138"/>
      <c r="TBI29" s="138"/>
      <c r="TBJ29" s="138"/>
      <c r="TBK29" s="138"/>
      <c r="TBL29" s="138"/>
      <c r="TBM29" s="138"/>
      <c r="TBN29" s="138"/>
      <c r="TBO29" s="138"/>
      <c r="TBP29" s="138"/>
      <c r="TBQ29" s="138"/>
      <c r="TBR29" s="138"/>
      <c r="TBS29" s="138"/>
      <c r="TBT29" s="138"/>
      <c r="TBU29" s="138"/>
      <c r="TBV29" s="138"/>
      <c r="TBW29" s="138"/>
      <c r="TBX29" s="138"/>
      <c r="TBY29" s="138"/>
      <c r="TBZ29" s="138"/>
      <c r="TCA29" s="138"/>
      <c r="TCB29" s="138"/>
      <c r="TCC29" s="138"/>
      <c r="TCD29" s="138"/>
      <c r="TCE29" s="138"/>
      <c r="TCF29" s="138"/>
      <c r="TCG29" s="138"/>
      <c r="TCH29" s="138"/>
      <c r="TCI29" s="138"/>
      <c r="TCJ29" s="138"/>
      <c r="TCK29" s="138"/>
      <c r="TCL29" s="138"/>
      <c r="TCM29" s="138"/>
      <c r="TCN29" s="138"/>
      <c r="TCO29" s="138"/>
      <c r="TCP29" s="138"/>
      <c r="TCQ29" s="138"/>
      <c r="TCR29" s="138"/>
      <c r="TCS29" s="138"/>
      <c r="TCT29" s="138"/>
      <c r="TCU29" s="138"/>
      <c r="TCV29" s="138"/>
      <c r="TCW29" s="138"/>
      <c r="TCX29" s="138"/>
      <c r="TCY29" s="138"/>
      <c r="TCZ29" s="138"/>
      <c r="TDA29" s="138"/>
      <c r="TDB29" s="138"/>
      <c r="TDC29" s="138"/>
      <c r="TDD29" s="138"/>
      <c r="TDE29" s="138"/>
      <c r="TDF29" s="138"/>
      <c r="TDG29" s="138"/>
      <c r="TDH29" s="138"/>
      <c r="TDI29" s="138"/>
      <c r="TDJ29" s="138"/>
      <c r="TDK29" s="138"/>
      <c r="TDL29" s="138"/>
      <c r="TDM29" s="138"/>
      <c r="TDN29" s="138"/>
      <c r="TDO29" s="138"/>
      <c r="TDP29" s="138"/>
      <c r="TDQ29" s="138"/>
      <c r="TDR29" s="138"/>
      <c r="TDS29" s="138"/>
      <c r="TDT29" s="138"/>
      <c r="TDU29" s="138"/>
      <c r="TDV29" s="138"/>
      <c r="TDW29" s="138"/>
      <c r="TDX29" s="138"/>
      <c r="TDY29" s="138"/>
      <c r="TDZ29" s="138"/>
      <c r="TEA29" s="138"/>
      <c r="TEB29" s="138"/>
      <c r="TEC29" s="138"/>
      <c r="TED29" s="138"/>
      <c r="TEE29" s="138"/>
      <c r="TEF29" s="138"/>
      <c r="TEG29" s="138"/>
      <c r="TEH29" s="138"/>
      <c r="TEI29" s="138"/>
      <c r="TEJ29" s="138"/>
      <c r="TEK29" s="138"/>
      <c r="TEL29" s="138"/>
      <c r="TEM29" s="138"/>
      <c r="TEN29" s="138"/>
      <c r="TEO29" s="138"/>
      <c r="TEP29" s="138"/>
      <c r="TEQ29" s="138"/>
      <c r="TER29" s="138"/>
      <c r="TES29" s="138"/>
      <c r="TET29" s="138"/>
      <c r="TEU29" s="138"/>
      <c r="TEV29" s="138"/>
      <c r="TEW29" s="138"/>
      <c r="TEX29" s="138"/>
      <c r="TEY29" s="138"/>
      <c r="TEZ29" s="138"/>
      <c r="TFA29" s="138"/>
      <c r="TFB29" s="138"/>
      <c r="TFC29" s="138"/>
      <c r="TFD29" s="138"/>
      <c r="TFE29" s="138"/>
      <c r="TFF29" s="138"/>
      <c r="TFG29" s="138"/>
      <c r="TFH29" s="138"/>
      <c r="TFI29" s="138"/>
      <c r="TFJ29" s="138"/>
      <c r="TFK29" s="138"/>
      <c r="TFL29" s="138"/>
      <c r="TFM29" s="138"/>
      <c r="TFN29" s="138"/>
      <c r="TFO29" s="138"/>
      <c r="TFP29" s="138"/>
      <c r="TFQ29" s="138"/>
      <c r="TFR29" s="138"/>
      <c r="TFS29" s="138"/>
      <c r="TFT29" s="138"/>
      <c r="TFU29" s="138"/>
      <c r="TFV29" s="138"/>
      <c r="TFW29" s="138"/>
      <c r="TFX29" s="138"/>
      <c r="TFY29" s="138"/>
      <c r="TFZ29" s="138"/>
      <c r="TGA29" s="138"/>
      <c r="TGB29" s="138"/>
      <c r="TGC29" s="138"/>
      <c r="TGD29" s="138"/>
      <c r="TGE29" s="138"/>
      <c r="TGF29" s="138"/>
      <c r="TGG29" s="138"/>
      <c r="TGH29" s="138"/>
      <c r="TGI29" s="138"/>
      <c r="TGJ29" s="138"/>
      <c r="TGK29" s="138"/>
      <c r="TGL29" s="138"/>
      <c r="TGM29" s="138"/>
      <c r="TGN29" s="138"/>
      <c r="TGO29" s="138"/>
      <c r="TGP29" s="138"/>
      <c r="TGQ29" s="138"/>
      <c r="TGR29" s="138"/>
      <c r="TGS29" s="138"/>
      <c r="TGT29" s="138"/>
      <c r="TGU29" s="138"/>
      <c r="TGV29" s="138"/>
      <c r="TGW29" s="138"/>
      <c r="TGX29" s="138"/>
      <c r="TGY29" s="138"/>
      <c r="TGZ29" s="138"/>
      <c r="THA29" s="138"/>
      <c r="THB29" s="138"/>
      <c r="THC29" s="138"/>
      <c r="THD29" s="138"/>
      <c r="THE29" s="138"/>
      <c r="THF29" s="138"/>
      <c r="THG29" s="138"/>
      <c r="THH29" s="138"/>
      <c r="THI29" s="138"/>
      <c r="THJ29" s="138"/>
      <c r="THK29" s="138"/>
      <c r="THL29" s="138"/>
      <c r="THM29" s="138"/>
      <c r="THN29" s="138"/>
      <c r="THO29" s="138"/>
      <c r="THP29" s="138"/>
      <c r="THQ29" s="138"/>
      <c r="THR29" s="138"/>
      <c r="THS29" s="138"/>
      <c r="THT29" s="138"/>
      <c r="THU29" s="138"/>
      <c r="THV29" s="138"/>
      <c r="THW29" s="138"/>
      <c r="THX29" s="138"/>
      <c r="THY29" s="138"/>
      <c r="THZ29" s="138"/>
      <c r="TIA29" s="138"/>
      <c r="TIB29" s="138"/>
      <c r="TIC29" s="138"/>
      <c r="TID29" s="138"/>
      <c r="TIE29" s="138"/>
      <c r="TIF29" s="138"/>
      <c r="TIG29" s="138"/>
      <c r="TIH29" s="138"/>
      <c r="TII29" s="138"/>
      <c r="TIJ29" s="138"/>
      <c r="TIK29" s="138"/>
      <c r="TIL29" s="138"/>
      <c r="TIM29" s="138"/>
      <c r="TIN29" s="138"/>
      <c r="TIO29" s="138"/>
      <c r="TIP29" s="138"/>
      <c r="TIQ29" s="138"/>
      <c r="TIR29" s="138"/>
      <c r="TIS29" s="138"/>
      <c r="TIT29" s="138"/>
      <c r="TIU29" s="138"/>
      <c r="TIV29" s="138"/>
      <c r="TIW29" s="138"/>
      <c r="TIX29" s="138"/>
      <c r="TIY29" s="138"/>
      <c r="TIZ29" s="138"/>
      <c r="TJA29" s="138"/>
      <c r="TJB29" s="138"/>
      <c r="TJC29" s="138"/>
      <c r="TJD29" s="138"/>
      <c r="TJE29" s="138"/>
      <c r="TJF29" s="138"/>
      <c r="TJG29" s="138"/>
      <c r="TJH29" s="138"/>
      <c r="TJI29" s="138"/>
      <c r="TJJ29" s="138"/>
      <c r="TJK29" s="138"/>
      <c r="TJL29" s="138"/>
      <c r="TJM29" s="138"/>
      <c r="TJN29" s="138"/>
      <c r="TJO29" s="138"/>
      <c r="TJP29" s="138"/>
      <c r="TJQ29" s="138"/>
      <c r="TJR29" s="138"/>
      <c r="TJS29" s="138"/>
      <c r="TJT29" s="138"/>
      <c r="TJU29" s="138"/>
      <c r="TJV29" s="138"/>
      <c r="TJW29" s="138"/>
      <c r="TJX29" s="138"/>
      <c r="TJY29" s="138"/>
      <c r="TJZ29" s="138"/>
      <c r="TKA29" s="138"/>
      <c r="TKB29" s="138"/>
      <c r="TKC29" s="138"/>
      <c r="TKD29" s="138"/>
      <c r="TKE29" s="138"/>
      <c r="TKF29" s="138"/>
      <c r="TKG29" s="138"/>
      <c r="TKH29" s="138"/>
      <c r="TKI29" s="138"/>
      <c r="TKJ29" s="138"/>
      <c r="TKK29" s="138"/>
      <c r="TKL29" s="138"/>
      <c r="TKM29" s="138"/>
      <c r="TKN29" s="138"/>
      <c r="TKO29" s="138"/>
      <c r="TKP29" s="138"/>
      <c r="TKQ29" s="138"/>
      <c r="TKR29" s="138"/>
      <c r="TKS29" s="138"/>
      <c r="TKT29" s="138"/>
      <c r="TKU29" s="138"/>
      <c r="TKV29" s="138"/>
      <c r="TKW29" s="138"/>
      <c r="TKX29" s="138"/>
      <c r="TKY29" s="138"/>
      <c r="TKZ29" s="138"/>
      <c r="TLA29" s="138"/>
      <c r="TLB29" s="138"/>
      <c r="TLC29" s="138"/>
      <c r="TLD29" s="138"/>
      <c r="TLE29" s="138"/>
      <c r="TLF29" s="138"/>
      <c r="TLG29" s="138"/>
      <c r="TLH29" s="138"/>
      <c r="TLI29" s="138"/>
      <c r="TLJ29" s="138"/>
      <c r="TLK29" s="138"/>
      <c r="TLL29" s="138"/>
      <c r="TLM29" s="138"/>
      <c r="TLN29" s="138"/>
      <c r="TLO29" s="138"/>
      <c r="TLP29" s="138"/>
      <c r="TLQ29" s="138"/>
      <c r="TLR29" s="138"/>
      <c r="TLS29" s="138"/>
      <c r="TLT29" s="138"/>
      <c r="TLU29" s="138"/>
      <c r="TLV29" s="138"/>
      <c r="TLW29" s="138"/>
      <c r="TLX29" s="138"/>
      <c r="TLY29" s="138"/>
      <c r="TLZ29" s="138"/>
      <c r="TMA29" s="138"/>
      <c r="TMB29" s="138"/>
      <c r="TMC29" s="138"/>
      <c r="TMD29" s="138"/>
      <c r="TME29" s="138"/>
      <c r="TMF29" s="138"/>
      <c r="TMG29" s="138"/>
      <c r="TMH29" s="138"/>
      <c r="TMI29" s="138"/>
      <c r="TMJ29" s="138"/>
      <c r="TMK29" s="138"/>
      <c r="TML29" s="138"/>
      <c r="TMM29" s="138"/>
      <c r="TMN29" s="138"/>
      <c r="TMO29" s="138"/>
      <c r="TMP29" s="138"/>
      <c r="TMQ29" s="138"/>
      <c r="TMR29" s="138"/>
      <c r="TMS29" s="138"/>
      <c r="TMT29" s="138"/>
      <c r="TMU29" s="138"/>
      <c r="TMV29" s="138"/>
      <c r="TMW29" s="138"/>
      <c r="TMX29" s="138"/>
      <c r="TMY29" s="138"/>
      <c r="TMZ29" s="138"/>
      <c r="TNA29" s="138"/>
      <c r="TNB29" s="138"/>
      <c r="TNC29" s="138"/>
      <c r="TND29" s="138"/>
      <c r="TNE29" s="138"/>
      <c r="TNF29" s="138"/>
      <c r="TNG29" s="138"/>
      <c r="TNH29" s="138"/>
      <c r="TNI29" s="138"/>
      <c r="TNJ29" s="138"/>
      <c r="TNK29" s="138"/>
      <c r="TNL29" s="138"/>
      <c r="TNM29" s="138"/>
      <c r="TNN29" s="138"/>
      <c r="TNO29" s="138"/>
      <c r="TNP29" s="138"/>
      <c r="TNQ29" s="138"/>
      <c r="TNR29" s="138"/>
      <c r="TNS29" s="138"/>
      <c r="TNT29" s="138"/>
      <c r="TNU29" s="138"/>
      <c r="TNV29" s="138"/>
      <c r="TNW29" s="138"/>
      <c r="TNX29" s="138"/>
      <c r="TNY29" s="138"/>
      <c r="TNZ29" s="138"/>
      <c r="TOA29" s="138"/>
      <c r="TOB29" s="138"/>
      <c r="TOC29" s="138"/>
      <c r="TOD29" s="138"/>
      <c r="TOE29" s="138"/>
      <c r="TOF29" s="138"/>
      <c r="TOG29" s="138"/>
      <c r="TOH29" s="138"/>
      <c r="TOI29" s="138"/>
      <c r="TOJ29" s="138"/>
      <c r="TOK29" s="138"/>
      <c r="TOL29" s="138"/>
      <c r="TOM29" s="138"/>
      <c r="TON29" s="138"/>
      <c r="TOO29" s="138"/>
      <c r="TOP29" s="138"/>
      <c r="TOQ29" s="138"/>
      <c r="TOR29" s="138"/>
      <c r="TOS29" s="138"/>
      <c r="TOT29" s="138"/>
      <c r="TOU29" s="138"/>
      <c r="TOV29" s="138"/>
      <c r="TOW29" s="138"/>
      <c r="TOX29" s="138"/>
      <c r="TOY29" s="138"/>
      <c r="TOZ29" s="138"/>
      <c r="TPA29" s="138"/>
      <c r="TPB29" s="138"/>
      <c r="TPC29" s="138"/>
      <c r="TPD29" s="138"/>
      <c r="TPE29" s="138"/>
      <c r="TPF29" s="138"/>
      <c r="TPG29" s="138"/>
      <c r="TPH29" s="138"/>
      <c r="TPI29" s="138"/>
      <c r="TPJ29" s="138"/>
      <c r="TPK29" s="138"/>
      <c r="TPL29" s="138"/>
      <c r="TPM29" s="138"/>
      <c r="TPN29" s="138"/>
      <c r="TPO29" s="138"/>
      <c r="TPP29" s="138"/>
      <c r="TPQ29" s="138"/>
      <c r="TPR29" s="138"/>
      <c r="TPS29" s="138"/>
      <c r="TPT29" s="138"/>
      <c r="TPU29" s="138"/>
      <c r="TPV29" s="138"/>
      <c r="TPW29" s="138"/>
      <c r="TPX29" s="138"/>
      <c r="TPY29" s="138"/>
      <c r="TPZ29" s="138"/>
      <c r="TQA29" s="138"/>
      <c r="TQB29" s="138"/>
      <c r="TQC29" s="138"/>
      <c r="TQD29" s="138"/>
      <c r="TQE29" s="138"/>
      <c r="TQF29" s="138"/>
      <c r="TQG29" s="138"/>
      <c r="TQH29" s="138"/>
      <c r="TQI29" s="138"/>
      <c r="TQJ29" s="138"/>
      <c r="TQK29" s="138"/>
      <c r="TQL29" s="138"/>
      <c r="TQM29" s="138"/>
      <c r="TQN29" s="138"/>
      <c r="TQO29" s="138"/>
      <c r="TQP29" s="138"/>
      <c r="TQQ29" s="138"/>
      <c r="TQR29" s="138"/>
      <c r="TQS29" s="138"/>
      <c r="TQT29" s="138"/>
      <c r="TQU29" s="138"/>
      <c r="TQV29" s="138"/>
      <c r="TQW29" s="138"/>
      <c r="TQX29" s="138"/>
      <c r="TQY29" s="138"/>
      <c r="TQZ29" s="138"/>
      <c r="TRA29" s="138"/>
      <c r="TRB29" s="138"/>
      <c r="TRC29" s="138"/>
      <c r="TRD29" s="138"/>
      <c r="TRE29" s="138"/>
      <c r="TRF29" s="138"/>
      <c r="TRG29" s="138"/>
      <c r="TRH29" s="138"/>
      <c r="TRI29" s="138"/>
      <c r="TRJ29" s="138"/>
      <c r="TRK29" s="138"/>
      <c r="TRL29" s="138"/>
      <c r="TRM29" s="138"/>
      <c r="TRN29" s="138"/>
      <c r="TRO29" s="138"/>
      <c r="TRP29" s="138"/>
      <c r="TRQ29" s="138"/>
      <c r="TRR29" s="138"/>
      <c r="TRS29" s="138"/>
      <c r="TRT29" s="138"/>
      <c r="TRU29" s="138"/>
      <c r="TRV29" s="138"/>
      <c r="TRW29" s="138"/>
      <c r="TRX29" s="138"/>
      <c r="TRY29" s="138"/>
      <c r="TRZ29" s="138"/>
      <c r="TSA29" s="138"/>
      <c r="TSB29" s="138"/>
      <c r="TSC29" s="138"/>
      <c r="TSD29" s="138"/>
      <c r="TSE29" s="138"/>
      <c r="TSF29" s="138"/>
      <c r="TSG29" s="138"/>
      <c r="TSH29" s="138"/>
      <c r="TSI29" s="138"/>
      <c r="TSJ29" s="138"/>
      <c r="TSK29" s="138"/>
      <c r="TSL29" s="138"/>
      <c r="TSM29" s="138"/>
      <c r="TSN29" s="138"/>
      <c r="TSO29" s="138"/>
      <c r="TSP29" s="138"/>
      <c r="TSQ29" s="138"/>
      <c r="TSR29" s="138"/>
      <c r="TSS29" s="138"/>
      <c r="TST29" s="138"/>
      <c r="TSU29" s="138"/>
      <c r="TSV29" s="138"/>
      <c r="TSW29" s="138"/>
      <c r="TSX29" s="138"/>
      <c r="TSY29" s="138"/>
      <c r="TSZ29" s="138"/>
      <c r="TTA29" s="138"/>
      <c r="TTB29" s="138"/>
      <c r="TTC29" s="138"/>
      <c r="TTD29" s="138"/>
      <c r="TTE29" s="138"/>
      <c r="TTF29" s="138"/>
      <c r="TTG29" s="138"/>
      <c r="TTH29" s="138"/>
      <c r="TTI29" s="138"/>
      <c r="TTJ29" s="138"/>
      <c r="TTK29" s="138"/>
      <c r="TTL29" s="138"/>
      <c r="TTM29" s="138"/>
      <c r="TTN29" s="138"/>
      <c r="TTO29" s="138"/>
      <c r="TTP29" s="138"/>
      <c r="TTQ29" s="138"/>
      <c r="TTR29" s="138"/>
      <c r="TTS29" s="138"/>
      <c r="TTT29" s="138"/>
      <c r="TTU29" s="138"/>
      <c r="TTV29" s="138"/>
      <c r="TTW29" s="138"/>
      <c r="TTX29" s="138"/>
      <c r="TTY29" s="138"/>
      <c r="TTZ29" s="138"/>
      <c r="TUA29" s="138"/>
      <c r="TUB29" s="138"/>
      <c r="TUC29" s="138"/>
      <c r="TUD29" s="138"/>
      <c r="TUE29" s="138"/>
      <c r="TUF29" s="138"/>
      <c r="TUG29" s="138"/>
      <c r="TUH29" s="138"/>
      <c r="TUI29" s="138"/>
      <c r="TUJ29" s="138"/>
      <c r="TUK29" s="138"/>
      <c r="TUL29" s="138"/>
      <c r="TUM29" s="138"/>
      <c r="TUN29" s="138"/>
      <c r="TUO29" s="138"/>
      <c r="TUP29" s="138"/>
      <c r="TUQ29" s="138"/>
      <c r="TUR29" s="138"/>
      <c r="TUS29" s="138"/>
      <c r="TUT29" s="138"/>
      <c r="TUU29" s="138"/>
      <c r="TUV29" s="138"/>
      <c r="TUW29" s="138"/>
      <c r="TUX29" s="138"/>
      <c r="TUY29" s="138"/>
      <c r="TUZ29" s="138"/>
      <c r="TVA29" s="138"/>
      <c r="TVB29" s="138"/>
      <c r="TVC29" s="138"/>
      <c r="TVD29" s="138"/>
      <c r="TVE29" s="138"/>
      <c r="TVF29" s="138"/>
      <c r="TVG29" s="138"/>
      <c r="TVH29" s="138"/>
      <c r="TVI29" s="138"/>
      <c r="TVJ29" s="138"/>
      <c r="TVK29" s="138"/>
      <c r="TVL29" s="138"/>
      <c r="TVM29" s="138"/>
      <c r="TVN29" s="138"/>
      <c r="TVO29" s="138"/>
      <c r="TVP29" s="138"/>
      <c r="TVQ29" s="138"/>
      <c r="TVR29" s="138"/>
      <c r="TVS29" s="138"/>
      <c r="TVT29" s="138"/>
      <c r="TVU29" s="138"/>
      <c r="TVV29" s="138"/>
      <c r="TVW29" s="138"/>
      <c r="TVX29" s="138"/>
      <c r="TVY29" s="138"/>
      <c r="TVZ29" s="138"/>
      <c r="TWA29" s="138"/>
      <c r="TWB29" s="138"/>
      <c r="TWC29" s="138"/>
      <c r="TWD29" s="138"/>
      <c r="TWE29" s="138"/>
      <c r="TWF29" s="138"/>
      <c r="TWG29" s="138"/>
      <c r="TWH29" s="138"/>
      <c r="TWI29" s="138"/>
      <c r="TWJ29" s="138"/>
      <c r="TWK29" s="138"/>
      <c r="TWL29" s="138"/>
      <c r="TWM29" s="138"/>
      <c r="TWN29" s="138"/>
      <c r="TWO29" s="138"/>
      <c r="TWP29" s="138"/>
      <c r="TWQ29" s="138"/>
      <c r="TWR29" s="138"/>
      <c r="TWS29" s="138"/>
      <c r="TWT29" s="138"/>
      <c r="TWU29" s="138"/>
      <c r="TWV29" s="138"/>
      <c r="TWW29" s="138"/>
      <c r="TWX29" s="138"/>
      <c r="TWY29" s="138"/>
      <c r="TWZ29" s="138"/>
      <c r="TXA29" s="138"/>
      <c r="TXB29" s="138"/>
      <c r="TXC29" s="138"/>
      <c r="TXD29" s="138"/>
      <c r="TXE29" s="138"/>
      <c r="TXF29" s="138"/>
      <c r="TXG29" s="138"/>
      <c r="TXH29" s="138"/>
      <c r="TXI29" s="138"/>
      <c r="TXJ29" s="138"/>
      <c r="TXK29" s="138"/>
      <c r="TXL29" s="138"/>
      <c r="TXM29" s="138"/>
      <c r="TXN29" s="138"/>
      <c r="TXO29" s="138"/>
      <c r="TXP29" s="138"/>
      <c r="TXQ29" s="138"/>
      <c r="TXR29" s="138"/>
      <c r="TXS29" s="138"/>
      <c r="TXT29" s="138"/>
      <c r="TXU29" s="138"/>
      <c r="TXV29" s="138"/>
      <c r="TXW29" s="138"/>
      <c r="TXX29" s="138"/>
      <c r="TXY29" s="138"/>
      <c r="TXZ29" s="138"/>
      <c r="TYA29" s="138"/>
      <c r="TYB29" s="138"/>
      <c r="TYC29" s="138"/>
      <c r="TYD29" s="138"/>
      <c r="TYE29" s="138"/>
      <c r="TYF29" s="138"/>
      <c r="TYG29" s="138"/>
      <c r="TYH29" s="138"/>
      <c r="TYI29" s="138"/>
      <c r="TYJ29" s="138"/>
      <c r="TYK29" s="138"/>
      <c r="TYL29" s="138"/>
      <c r="TYM29" s="138"/>
      <c r="TYN29" s="138"/>
      <c r="TYO29" s="138"/>
      <c r="TYP29" s="138"/>
      <c r="TYQ29" s="138"/>
      <c r="TYR29" s="138"/>
      <c r="TYS29" s="138"/>
      <c r="TYT29" s="138"/>
      <c r="TYU29" s="138"/>
      <c r="TYV29" s="138"/>
      <c r="TYW29" s="138"/>
      <c r="TYX29" s="138"/>
      <c r="TYY29" s="138"/>
      <c r="TYZ29" s="138"/>
      <c r="TZA29" s="138"/>
      <c r="TZB29" s="138"/>
      <c r="TZC29" s="138"/>
      <c r="TZD29" s="138"/>
      <c r="TZE29" s="138"/>
      <c r="TZF29" s="138"/>
      <c r="TZG29" s="138"/>
      <c r="TZH29" s="138"/>
      <c r="TZI29" s="138"/>
      <c r="TZJ29" s="138"/>
      <c r="TZK29" s="138"/>
      <c r="TZL29" s="138"/>
      <c r="TZM29" s="138"/>
      <c r="TZN29" s="138"/>
      <c r="TZO29" s="138"/>
      <c r="TZP29" s="138"/>
      <c r="TZQ29" s="138"/>
      <c r="TZR29" s="138"/>
      <c r="TZS29" s="138"/>
      <c r="TZT29" s="138"/>
      <c r="TZU29" s="138"/>
      <c r="TZV29" s="138"/>
      <c r="TZW29" s="138"/>
      <c r="TZX29" s="138"/>
      <c r="TZY29" s="138"/>
      <c r="TZZ29" s="138"/>
      <c r="UAA29" s="138"/>
      <c r="UAB29" s="138"/>
      <c r="UAC29" s="138"/>
      <c r="UAD29" s="138"/>
      <c r="UAE29" s="138"/>
      <c r="UAF29" s="138"/>
      <c r="UAG29" s="138"/>
      <c r="UAH29" s="138"/>
      <c r="UAI29" s="138"/>
      <c r="UAJ29" s="138"/>
      <c r="UAK29" s="138"/>
      <c r="UAL29" s="138"/>
      <c r="UAM29" s="138"/>
      <c r="UAN29" s="138"/>
      <c r="UAO29" s="138"/>
      <c r="UAP29" s="138"/>
      <c r="UAQ29" s="138"/>
      <c r="UAR29" s="138"/>
      <c r="UAS29" s="138"/>
      <c r="UAT29" s="138"/>
      <c r="UAU29" s="138"/>
      <c r="UAV29" s="138"/>
      <c r="UAW29" s="138"/>
      <c r="UAX29" s="138"/>
      <c r="UAY29" s="138"/>
      <c r="UAZ29" s="138"/>
      <c r="UBA29" s="138"/>
      <c r="UBB29" s="138"/>
      <c r="UBC29" s="138"/>
      <c r="UBD29" s="138"/>
      <c r="UBE29" s="138"/>
      <c r="UBF29" s="138"/>
      <c r="UBG29" s="138"/>
      <c r="UBH29" s="138"/>
      <c r="UBI29" s="138"/>
      <c r="UBJ29" s="138"/>
      <c r="UBK29" s="138"/>
      <c r="UBL29" s="138"/>
      <c r="UBM29" s="138"/>
      <c r="UBN29" s="138"/>
      <c r="UBO29" s="138"/>
      <c r="UBP29" s="138"/>
      <c r="UBQ29" s="138"/>
      <c r="UBR29" s="138"/>
      <c r="UBS29" s="138"/>
      <c r="UBT29" s="138"/>
      <c r="UBU29" s="138"/>
      <c r="UBV29" s="138"/>
      <c r="UBW29" s="138"/>
      <c r="UBX29" s="138"/>
      <c r="UBY29" s="138"/>
      <c r="UBZ29" s="138"/>
      <c r="UCA29" s="138"/>
      <c r="UCB29" s="138"/>
      <c r="UCC29" s="138"/>
      <c r="UCD29" s="138"/>
      <c r="UCE29" s="138"/>
      <c r="UCF29" s="138"/>
      <c r="UCG29" s="138"/>
      <c r="UCH29" s="138"/>
      <c r="UCI29" s="138"/>
      <c r="UCJ29" s="138"/>
      <c r="UCK29" s="138"/>
      <c r="UCL29" s="138"/>
      <c r="UCM29" s="138"/>
      <c r="UCN29" s="138"/>
      <c r="UCO29" s="138"/>
      <c r="UCP29" s="138"/>
      <c r="UCQ29" s="138"/>
      <c r="UCR29" s="138"/>
      <c r="UCS29" s="138"/>
      <c r="UCT29" s="138"/>
      <c r="UCU29" s="138"/>
      <c r="UCV29" s="138"/>
      <c r="UCW29" s="138"/>
      <c r="UCX29" s="138"/>
      <c r="UCY29" s="138"/>
      <c r="UCZ29" s="138"/>
      <c r="UDA29" s="138"/>
      <c r="UDB29" s="138"/>
      <c r="UDC29" s="138"/>
      <c r="UDD29" s="138"/>
      <c r="UDE29" s="138"/>
      <c r="UDF29" s="138"/>
      <c r="UDG29" s="138"/>
      <c r="UDH29" s="138"/>
      <c r="UDI29" s="138"/>
      <c r="UDJ29" s="138"/>
      <c r="UDK29" s="138"/>
      <c r="UDL29" s="138"/>
      <c r="UDM29" s="138"/>
      <c r="UDN29" s="138"/>
      <c r="UDO29" s="138"/>
      <c r="UDP29" s="138"/>
      <c r="UDQ29" s="138"/>
      <c r="UDR29" s="138"/>
      <c r="UDS29" s="138"/>
      <c r="UDT29" s="138"/>
      <c r="UDU29" s="138"/>
      <c r="UDV29" s="138"/>
      <c r="UDW29" s="138"/>
      <c r="UDX29" s="138"/>
      <c r="UDY29" s="138"/>
      <c r="UDZ29" s="138"/>
      <c r="UEA29" s="138"/>
      <c r="UEB29" s="138"/>
      <c r="UEC29" s="138"/>
      <c r="UED29" s="138"/>
      <c r="UEE29" s="138"/>
      <c r="UEF29" s="138"/>
      <c r="UEG29" s="138"/>
      <c r="UEH29" s="138"/>
      <c r="UEI29" s="138"/>
      <c r="UEJ29" s="138"/>
      <c r="UEK29" s="138"/>
      <c r="UEL29" s="138"/>
      <c r="UEM29" s="138"/>
      <c r="UEN29" s="138"/>
      <c r="UEO29" s="138"/>
      <c r="UEP29" s="138"/>
      <c r="UEQ29" s="138"/>
      <c r="UER29" s="138"/>
      <c r="UES29" s="138"/>
      <c r="UET29" s="138"/>
      <c r="UEU29" s="138"/>
      <c r="UEV29" s="138"/>
      <c r="UEW29" s="138"/>
      <c r="UEX29" s="138"/>
      <c r="UEY29" s="138"/>
      <c r="UEZ29" s="138"/>
      <c r="UFA29" s="138"/>
      <c r="UFB29" s="138"/>
      <c r="UFC29" s="138"/>
      <c r="UFD29" s="138"/>
      <c r="UFE29" s="138"/>
      <c r="UFF29" s="138"/>
      <c r="UFG29" s="138"/>
      <c r="UFH29" s="138"/>
      <c r="UFI29" s="138"/>
      <c r="UFJ29" s="138"/>
      <c r="UFK29" s="138"/>
      <c r="UFL29" s="138"/>
      <c r="UFM29" s="138"/>
      <c r="UFN29" s="138"/>
      <c r="UFO29" s="138"/>
      <c r="UFP29" s="138"/>
      <c r="UFQ29" s="138"/>
      <c r="UFR29" s="138"/>
      <c r="UFS29" s="138"/>
      <c r="UFT29" s="138"/>
      <c r="UFU29" s="138"/>
      <c r="UFV29" s="138"/>
      <c r="UFW29" s="138"/>
      <c r="UFX29" s="138"/>
      <c r="UFY29" s="138"/>
      <c r="UFZ29" s="138"/>
      <c r="UGA29" s="138"/>
      <c r="UGB29" s="138"/>
      <c r="UGC29" s="138"/>
      <c r="UGD29" s="138"/>
      <c r="UGE29" s="138"/>
      <c r="UGF29" s="138"/>
      <c r="UGG29" s="138"/>
      <c r="UGH29" s="138"/>
      <c r="UGI29" s="138"/>
      <c r="UGJ29" s="138"/>
      <c r="UGK29" s="138"/>
      <c r="UGL29" s="138"/>
      <c r="UGM29" s="138"/>
      <c r="UGN29" s="138"/>
      <c r="UGO29" s="138"/>
      <c r="UGP29" s="138"/>
      <c r="UGQ29" s="138"/>
      <c r="UGR29" s="138"/>
      <c r="UGS29" s="138"/>
      <c r="UGT29" s="138"/>
      <c r="UGU29" s="138"/>
      <c r="UGV29" s="138"/>
      <c r="UGW29" s="138"/>
      <c r="UGX29" s="138"/>
      <c r="UGY29" s="138"/>
      <c r="UGZ29" s="138"/>
      <c r="UHA29" s="138"/>
      <c r="UHB29" s="138"/>
      <c r="UHC29" s="138"/>
      <c r="UHD29" s="138"/>
      <c r="UHE29" s="138"/>
      <c r="UHF29" s="138"/>
      <c r="UHG29" s="138"/>
      <c r="UHH29" s="138"/>
      <c r="UHI29" s="138"/>
      <c r="UHJ29" s="138"/>
      <c r="UHK29" s="138"/>
      <c r="UHL29" s="138"/>
      <c r="UHM29" s="138"/>
      <c r="UHN29" s="138"/>
      <c r="UHO29" s="138"/>
      <c r="UHP29" s="138"/>
      <c r="UHQ29" s="138"/>
      <c r="UHR29" s="138"/>
      <c r="UHS29" s="138"/>
      <c r="UHT29" s="138"/>
      <c r="UHU29" s="138"/>
      <c r="UHV29" s="138"/>
      <c r="UHW29" s="138"/>
      <c r="UHX29" s="138"/>
      <c r="UHY29" s="138"/>
      <c r="UHZ29" s="138"/>
      <c r="UIA29" s="138"/>
      <c r="UIB29" s="138"/>
      <c r="UIC29" s="138"/>
      <c r="UID29" s="138"/>
      <c r="UIE29" s="138"/>
      <c r="UIF29" s="138"/>
      <c r="UIG29" s="138"/>
      <c r="UIH29" s="138"/>
      <c r="UII29" s="138"/>
      <c r="UIJ29" s="138"/>
      <c r="UIK29" s="138"/>
      <c r="UIL29" s="138"/>
      <c r="UIM29" s="138"/>
      <c r="UIN29" s="138"/>
      <c r="UIO29" s="138"/>
      <c r="UIP29" s="138"/>
      <c r="UIQ29" s="138"/>
      <c r="UIR29" s="138"/>
      <c r="UIS29" s="138"/>
      <c r="UIT29" s="138"/>
      <c r="UIU29" s="138"/>
      <c r="UIV29" s="138"/>
      <c r="UIW29" s="138"/>
      <c r="UIX29" s="138"/>
      <c r="UIY29" s="138"/>
      <c r="UIZ29" s="138"/>
      <c r="UJA29" s="138"/>
      <c r="UJB29" s="138"/>
      <c r="UJC29" s="138"/>
      <c r="UJD29" s="138"/>
      <c r="UJE29" s="138"/>
      <c r="UJF29" s="138"/>
      <c r="UJG29" s="138"/>
      <c r="UJH29" s="138"/>
      <c r="UJI29" s="138"/>
      <c r="UJJ29" s="138"/>
      <c r="UJK29" s="138"/>
      <c r="UJL29" s="138"/>
      <c r="UJM29" s="138"/>
      <c r="UJN29" s="138"/>
      <c r="UJO29" s="138"/>
      <c r="UJP29" s="138"/>
      <c r="UJQ29" s="138"/>
      <c r="UJR29" s="138"/>
      <c r="UJS29" s="138"/>
      <c r="UJT29" s="138"/>
      <c r="UJU29" s="138"/>
      <c r="UJV29" s="138"/>
      <c r="UJW29" s="138"/>
      <c r="UJX29" s="138"/>
      <c r="UJY29" s="138"/>
      <c r="UJZ29" s="138"/>
      <c r="UKA29" s="138"/>
      <c r="UKB29" s="138"/>
      <c r="UKC29" s="138"/>
      <c r="UKD29" s="138"/>
      <c r="UKE29" s="138"/>
      <c r="UKF29" s="138"/>
      <c r="UKG29" s="138"/>
      <c r="UKH29" s="138"/>
      <c r="UKI29" s="138"/>
      <c r="UKJ29" s="138"/>
      <c r="UKK29" s="138"/>
      <c r="UKL29" s="138"/>
      <c r="UKM29" s="138"/>
      <c r="UKN29" s="138"/>
      <c r="UKO29" s="138"/>
      <c r="UKP29" s="138"/>
      <c r="UKQ29" s="138"/>
      <c r="UKR29" s="138"/>
      <c r="UKS29" s="138"/>
      <c r="UKT29" s="138"/>
      <c r="UKU29" s="138"/>
      <c r="UKV29" s="138"/>
      <c r="UKW29" s="138"/>
      <c r="UKX29" s="138"/>
      <c r="UKY29" s="138"/>
      <c r="UKZ29" s="138"/>
      <c r="ULA29" s="138"/>
      <c r="ULB29" s="138"/>
      <c r="ULC29" s="138"/>
      <c r="ULD29" s="138"/>
      <c r="ULE29" s="138"/>
      <c r="ULF29" s="138"/>
      <c r="ULG29" s="138"/>
      <c r="ULH29" s="138"/>
      <c r="ULI29" s="138"/>
      <c r="ULJ29" s="138"/>
      <c r="ULK29" s="138"/>
      <c r="ULL29" s="138"/>
      <c r="ULM29" s="138"/>
      <c r="ULN29" s="138"/>
      <c r="ULO29" s="138"/>
      <c r="ULP29" s="138"/>
      <c r="ULQ29" s="138"/>
      <c r="ULR29" s="138"/>
      <c r="ULS29" s="138"/>
      <c r="ULT29" s="138"/>
      <c r="ULU29" s="138"/>
      <c r="ULV29" s="138"/>
      <c r="ULW29" s="138"/>
      <c r="ULX29" s="138"/>
      <c r="ULY29" s="138"/>
      <c r="ULZ29" s="138"/>
      <c r="UMA29" s="138"/>
      <c r="UMB29" s="138"/>
      <c r="UMC29" s="138"/>
      <c r="UMD29" s="138"/>
      <c r="UME29" s="138"/>
      <c r="UMF29" s="138"/>
      <c r="UMG29" s="138"/>
      <c r="UMH29" s="138"/>
      <c r="UMI29" s="138"/>
      <c r="UMJ29" s="138"/>
      <c r="UMK29" s="138"/>
      <c r="UML29" s="138"/>
      <c r="UMM29" s="138"/>
      <c r="UMN29" s="138"/>
      <c r="UMO29" s="138"/>
      <c r="UMP29" s="138"/>
      <c r="UMQ29" s="138"/>
      <c r="UMR29" s="138"/>
      <c r="UMS29" s="138"/>
      <c r="UMT29" s="138"/>
      <c r="UMU29" s="138"/>
      <c r="UMV29" s="138"/>
      <c r="UMW29" s="138"/>
      <c r="UMX29" s="138"/>
      <c r="UMY29" s="138"/>
      <c r="UMZ29" s="138"/>
      <c r="UNA29" s="138"/>
      <c r="UNB29" s="138"/>
      <c r="UNC29" s="138"/>
      <c r="UND29" s="138"/>
      <c r="UNE29" s="138"/>
      <c r="UNF29" s="138"/>
      <c r="UNG29" s="138"/>
      <c r="UNH29" s="138"/>
      <c r="UNI29" s="138"/>
      <c r="UNJ29" s="138"/>
      <c r="UNK29" s="138"/>
      <c r="UNL29" s="138"/>
      <c r="UNM29" s="138"/>
      <c r="UNN29" s="138"/>
      <c r="UNO29" s="138"/>
      <c r="UNP29" s="138"/>
      <c r="UNQ29" s="138"/>
      <c r="UNR29" s="138"/>
      <c r="UNS29" s="138"/>
      <c r="UNT29" s="138"/>
      <c r="UNU29" s="138"/>
      <c r="UNV29" s="138"/>
      <c r="UNW29" s="138"/>
      <c r="UNX29" s="138"/>
      <c r="UNY29" s="138"/>
      <c r="UNZ29" s="138"/>
      <c r="UOA29" s="138"/>
      <c r="UOB29" s="138"/>
      <c r="UOC29" s="138"/>
      <c r="UOD29" s="138"/>
      <c r="UOE29" s="138"/>
      <c r="UOF29" s="138"/>
      <c r="UOG29" s="138"/>
      <c r="UOH29" s="138"/>
      <c r="UOI29" s="138"/>
      <c r="UOJ29" s="138"/>
      <c r="UOK29" s="138"/>
      <c r="UOL29" s="138"/>
      <c r="UOM29" s="138"/>
      <c r="UON29" s="138"/>
      <c r="UOO29" s="138"/>
      <c r="UOP29" s="138"/>
      <c r="UOQ29" s="138"/>
      <c r="UOR29" s="138"/>
      <c r="UOS29" s="138"/>
      <c r="UOT29" s="138"/>
      <c r="UOU29" s="138"/>
      <c r="UOV29" s="138"/>
      <c r="UOW29" s="138"/>
      <c r="UOX29" s="138"/>
      <c r="UOY29" s="138"/>
      <c r="UOZ29" s="138"/>
      <c r="UPA29" s="138"/>
      <c r="UPB29" s="138"/>
      <c r="UPC29" s="138"/>
      <c r="UPD29" s="138"/>
      <c r="UPE29" s="138"/>
      <c r="UPF29" s="138"/>
      <c r="UPG29" s="138"/>
      <c r="UPH29" s="138"/>
      <c r="UPI29" s="138"/>
      <c r="UPJ29" s="138"/>
      <c r="UPK29" s="138"/>
      <c r="UPL29" s="138"/>
      <c r="UPM29" s="138"/>
      <c r="UPN29" s="138"/>
      <c r="UPO29" s="138"/>
      <c r="UPP29" s="138"/>
      <c r="UPQ29" s="138"/>
      <c r="UPR29" s="138"/>
      <c r="UPS29" s="138"/>
      <c r="UPT29" s="138"/>
      <c r="UPU29" s="138"/>
      <c r="UPV29" s="138"/>
      <c r="UPW29" s="138"/>
      <c r="UPX29" s="138"/>
      <c r="UPY29" s="138"/>
      <c r="UPZ29" s="138"/>
      <c r="UQA29" s="138"/>
      <c r="UQB29" s="138"/>
      <c r="UQC29" s="138"/>
      <c r="UQD29" s="138"/>
      <c r="UQE29" s="138"/>
      <c r="UQF29" s="138"/>
      <c r="UQG29" s="138"/>
      <c r="UQH29" s="138"/>
      <c r="UQI29" s="138"/>
      <c r="UQJ29" s="138"/>
      <c r="UQK29" s="138"/>
      <c r="UQL29" s="138"/>
      <c r="UQM29" s="138"/>
      <c r="UQN29" s="138"/>
      <c r="UQO29" s="138"/>
      <c r="UQP29" s="138"/>
      <c r="UQQ29" s="138"/>
      <c r="UQR29" s="138"/>
      <c r="UQS29" s="138"/>
      <c r="UQT29" s="138"/>
      <c r="UQU29" s="138"/>
      <c r="UQV29" s="138"/>
      <c r="UQW29" s="138"/>
      <c r="UQX29" s="138"/>
      <c r="UQY29" s="138"/>
      <c r="UQZ29" s="138"/>
      <c r="URA29" s="138"/>
      <c r="URB29" s="138"/>
      <c r="URC29" s="138"/>
      <c r="URD29" s="138"/>
      <c r="URE29" s="138"/>
      <c r="URF29" s="138"/>
      <c r="URG29" s="138"/>
      <c r="URH29" s="138"/>
      <c r="URI29" s="138"/>
      <c r="URJ29" s="138"/>
      <c r="URK29" s="138"/>
      <c r="URL29" s="138"/>
      <c r="URM29" s="138"/>
      <c r="URN29" s="138"/>
      <c r="URO29" s="138"/>
      <c r="URP29" s="138"/>
      <c r="URQ29" s="138"/>
      <c r="URR29" s="138"/>
      <c r="URS29" s="138"/>
      <c r="URT29" s="138"/>
      <c r="URU29" s="138"/>
      <c r="URV29" s="138"/>
      <c r="URW29" s="138"/>
      <c r="URX29" s="138"/>
      <c r="URY29" s="138"/>
      <c r="URZ29" s="138"/>
      <c r="USA29" s="138"/>
      <c r="USB29" s="138"/>
      <c r="USC29" s="138"/>
      <c r="USD29" s="138"/>
      <c r="USE29" s="138"/>
      <c r="USF29" s="138"/>
      <c r="USG29" s="138"/>
      <c r="USH29" s="138"/>
      <c r="USI29" s="138"/>
      <c r="USJ29" s="138"/>
      <c r="USK29" s="138"/>
      <c r="USL29" s="138"/>
      <c r="USM29" s="138"/>
      <c r="USN29" s="138"/>
      <c r="USO29" s="138"/>
      <c r="USP29" s="138"/>
      <c r="USQ29" s="138"/>
      <c r="USR29" s="138"/>
      <c r="USS29" s="138"/>
      <c r="UST29" s="138"/>
      <c r="USU29" s="138"/>
      <c r="USV29" s="138"/>
      <c r="USW29" s="138"/>
      <c r="USX29" s="138"/>
      <c r="USY29" s="138"/>
      <c r="USZ29" s="138"/>
      <c r="UTA29" s="138"/>
      <c r="UTB29" s="138"/>
      <c r="UTC29" s="138"/>
      <c r="UTD29" s="138"/>
      <c r="UTE29" s="138"/>
      <c r="UTF29" s="138"/>
      <c r="UTG29" s="138"/>
      <c r="UTH29" s="138"/>
      <c r="UTI29" s="138"/>
      <c r="UTJ29" s="138"/>
      <c r="UTK29" s="138"/>
      <c r="UTL29" s="138"/>
      <c r="UTM29" s="138"/>
      <c r="UTN29" s="138"/>
      <c r="UTO29" s="138"/>
      <c r="UTP29" s="138"/>
      <c r="UTQ29" s="138"/>
      <c r="UTR29" s="138"/>
      <c r="UTS29" s="138"/>
      <c r="UTT29" s="138"/>
      <c r="UTU29" s="138"/>
      <c r="UTV29" s="138"/>
      <c r="UTW29" s="138"/>
      <c r="UTX29" s="138"/>
      <c r="UTY29" s="138"/>
      <c r="UTZ29" s="138"/>
      <c r="UUA29" s="138"/>
      <c r="UUB29" s="138"/>
      <c r="UUC29" s="138"/>
      <c r="UUD29" s="138"/>
      <c r="UUE29" s="138"/>
      <c r="UUF29" s="138"/>
      <c r="UUG29" s="138"/>
      <c r="UUH29" s="138"/>
      <c r="UUI29" s="138"/>
      <c r="UUJ29" s="138"/>
      <c r="UUK29" s="138"/>
      <c r="UUL29" s="138"/>
      <c r="UUM29" s="138"/>
      <c r="UUN29" s="138"/>
      <c r="UUO29" s="138"/>
      <c r="UUP29" s="138"/>
      <c r="UUQ29" s="138"/>
      <c r="UUR29" s="138"/>
      <c r="UUS29" s="138"/>
      <c r="UUT29" s="138"/>
      <c r="UUU29" s="138"/>
      <c r="UUV29" s="138"/>
      <c r="UUW29" s="138"/>
      <c r="UUX29" s="138"/>
      <c r="UUY29" s="138"/>
      <c r="UUZ29" s="138"/>
      <c r="UVA29" s="138"/>
      <c r="UVB29" s="138"/>
      <c r="UVC29" s="138"/>
      <c r="UVD29" s="138"/>
      <c r="UVE29" s="138"/>
      <c r="UVF29" s="138"/>
      <c r="UVG29" s="138"/>
      <c r="UVH29" s="138"/>
      <c r="UVI29" s="138"/>
      <c r="UVJ29" s="138"/>
      <c r="UVK29" s="138"/>
      <c r="UVL29" s="138"/>
      <c r="UVM29" s="138"/>
      <c r="UVN29" s="138"/>
      <c r="UVO29" s="138"/>
      <c r="UVP29" s="138"/>
      <c r="UVQ29" s="138"/>
      <c r="UVR29" s="138"/>
      <c r="UVS29" s="138"/>
      <c r="UVT29" s="138"/>
      <c r="UVU29" s="138"/>
      <c r="UVV29" s="138"/>
      <c r="UVW29" s="138"/>
      <c r="UVX29" s="138"/>
      <c r="UVY29" s="138"/>
      <c r="UVZ29" s="138"/>
      <c r="UWA29" s="138"/>
      <c r="UWB29" s="138"/>
      <c r="UWC29" s="138"/>
      <c r="UWD29" s="138"/>
      <c r="UWE29" s="138"/>
      <c r="UWF29" s="138"/>
      <c r="UWG29" s="138"/>
      <c r="UWH29" s="138"/>
      <c r="UWI29" s="138"/>
      <c r="UWJ29" s="138"/>
      <c r="UWK29" s="138"/>
      <c r="UWL29" s="138"/>
      <c r="UWM29" s="138"/>
      <c r="UWN29" s="138"/>
      <c r="UWO29" s="138"/>
      <c r="UWP29" s="138"/>
      <c r="UWQ29" s="138"/>
      <c r="UWR29" s="138"/>
      <c r="UWS29" s="138"/>
      <c r="UWT29" s="138"/>
      <c r="UWU29" s="138"/>
      <c r="UWV29" s="138"/>
      <c r="UWW29" s="138"/>
      <c r="UWX29" s="138"/>
      <c r="UWY29" s="138"/>
      <c r="UWZ29" s="138"/>
      <c r="UXA29" s="138"/>
      <c r="UXB29" s="138"/>
      <c r="UXC29" s="138"/>
      <c r="UXD29" s="138"/>
      <c r="UXE29" s="138"/>
      <c r="UXF29" s="138"/>
      <c r="UXG29" s="138"/>
      <c r="UXH29" s="138"/>
      <c r="UXI29" s="138"/>
      <c r="UXJ29" s="138"/>
      <c r="UXK29" s="138"/>
      <c r="UXL29" s="138"/>
      <c r="UXM29" s="138"/>
      <c r="UXN29" s="138"/>
      <c r="UXO29" s="138"/>
      <c r="UXP29" s="138"/>
      <c r="UXQ29" s="138"/>
      <c r="UXR29" s="138"/>
      <c r="UXS29" s="138"/>
      <c r="UXT29" s="138"/>
      <c r="UXU29" s="138"/>
      <c r="UXV29" s="138"/>
      <c r="UXW29" s="138"/>
      <c r="UXX29" s="138"/>
      <c r="UXY29" s="138"/>
      <c r="UXZ29" s="138"/>
      <c r="UYA29" s="138"/>
      <c r="UYB29" s="138"/>
      <c r="UYC29" s="138"/>
      <c r="UYD29" s="138"/>
      <c r="UYE29" s="138"/>
      <c r="UYF29" s="138"/>
      <c r="UYG29" s="138"/>
      <c r="UYH29" s="138"/>
      <c r="UYI29" s="138"/>
      <c r="UYJ29" s="138"/>
      <c r="UYK29" s="138"/>
      <c r="UYL29" s="138"/>
      <c r="UYM29" s="138"/>
      <c r="UYN29" s="138"/>
      <c r="UYO29" s="138"/>
      <c r="UYP29" s="138"/>
      <c r="UYQ29" s="138"/>
      <c r="UYR29" s="138"/>
      <c r="UYS29" s="138"/>
      <c r="UYT29" s="138"/>
      <c r="UYU29" s="138"/>
      <c r="UYV29" s="138"/>
      <c r="UYW29" s="138"/>
      <c r="UYX29" s="138"/>
      <c r="UYY29" s="138"/>
      <c r="UYZ29" s="138"/>
      <c r="UZA29" s="138"/>
      <c r="UZB29" s="138"/>
      <c r="UZC29" s="138"/>
      <c r="UZD29" s="138"/>
      <c r="UZE29" s="138"/>
      <c r="UZF29" s="138"/>
      <c r="UZG29" s="138"/>
      <c r="UZH29" s="138"/>
      <c r="UZI29" s="138"/>
      <c r="UZJ29" s="138"/>
      <c r="UZK29" s="138"/>
      <c r="UZL29" s="138"/>
      <c r="UZM29" s="138"/>
      <c r="UZN29" s="138"/>
      <c r="UZO29" s="138"/>
      <c r="UZP29" s="138"/>
      <c r="UZQ29" s="138"/>
      <c r="UZR29" s="138"/>
      <c r="UZS29" s="138"/>
      <c r="UZT29" s="138"/>
      <c r="UZU29" s="138"/>
      <c r="UZV29" s="138"/>
      <c r="UZW29" s="138"/>
      <c r="UZX29" s="138"/>
      <c r="UZY29" s="138"/>
      <c r="UZZ29" s="138"/>
      <c r="VAA29" s="138"/>
      <c r="VAB29" s="138"/>
      <c r="VAC29" s="138"/>
      <c r="VAD29" s="138"/>
      <c r="VAE29" s="138"/>
      <c r="VAF29" s="138"/>
      <c r="VAG29" s="138"/>
      <c r="VAH29" s="138"/>
      <c r="VAI29" s="138"/>
      <c r="VAJ29" s="138"/>
      <c r="VAK29" s="138"/>
      <c r="VAL29" s="138"/>
      <c r="VAM29" s="138"/>
      <c r="VAN29" s="138"/>
      <c r="VAO29" s="138"/>
      <c r="VAP29" s="138"/>
      <c r="VAQ29" s="138"/>
      <c r="VAR29" s="138"/>
      <c r="VAS29" s="138"/>
      <c r="VAT29" s="138"/>
      <c r="VAU29" s="138"/>
      <c r="VAV29" s="138"/>
      <c r="VAW29" s="138"/>
      <c r="VAX29" s="138"/>
      <c r="VAY29" s="138"/>
      <c r="VAZ29" s="138"/>
      <c r="VBA29" s="138"/>
      <c r="VBB29" s="138"/>
      <c r="VBC29" s="138"/>
      <c r="VBD29" s="138"/>
      <c r="VBE29" s="138"/>
      <c r="VBF29" s="138"/>
      <c r="VBG29" s="138"/>
      <c r="VBH29" s="138"/>
      <c r="VBI29" s="138"/>
      <c r="VBJ29" s="138"/>
      <c r="VBK29" s="138"/>
      <c r="VBL29" s="138"/>
      <c r="VBM29" s="138"/>
      <c r="VBN29" s="138"/>
      <c r="VBO29" s="138"/>
      <c r="VBP29" s="138"/>
      <c r="VBQ29" s="138"/>
      <c r="VBR29" s="138"/>
      <c r="VBS29" s="138"/>
      <c r="VBT29" s="138"/>
      <c r="VBU29" s="138"/>
      <c r="VBV29" s="138"/>
      <c r="VBW29" s="138"/>
      <c r="VBX29" s="138"/>
      <c r="VBY29" s="138"/>
      <c r="VBZ29" s="138"/>
      <c r="VCA29" s="138"/>
      <c r="VCB29" s="138"/>
      <c r="VCC29" s="138"/>
      <c r="VCD29" s="138"/>
      <c r="VCE29" s="138"/>
      <c r="VCF29" s="138"/>
      <c r="VCG29" s="138"/>
      <c r="VCH29" s="138"/>
      <c r="VCI29" s="138"/>
      <c r="VCJ29" s="138"/>
      <c r="VCK29" s="138"/>
      <c r="VCL29" s="138"/>
      <c r="VCM29" s="138"/>
      <c r="VCN29" s="138"/>
      <c r="VCO29" s="138"/>
      <c r="VCP29" s="138"/>
      <c r="VCQ29" s="138"/>
      <c r="VCR29" s="138"/>
      <c r="VCS29" s="138"/>
      <c r="VCT29" s="138"/>
      <c r="VCU29" s="138"/>
      <c r="VCV29" s="138"/>
      <c r="VCW29" s="138"/>
      <c r="VCX29" s="138"/>
      <c r="VCY29" s="138"/>
      <c r="VCZ29" s="138"/>
      <c r="VDA29" s="138"/>
      <c r="VDB29" s="138"/>
      <c r="VDC29" s="138"/>
      <c r="VDD29" s="138"/>
      <c r="VDE29" s="138"/>
      <c r="VDF29" s="138"/>
      <c r="VDG29" s="138"/>
      <c r="VDH29" s="138"/>
      <c r="VDI29" s="138"/>
      <c r="VDJ29" s="138"/>
      <c r="VDK29" s="138"/>
      <c r="VDL29" s="138"/>
      <c r="VDM29" s="138"/>
      <c r="VDN29" s="138"/>
      <c r="VDO29" s="138"/>
      <c r="VDP29" s="138"/>
      <c r="VDQ29" s="138"/>
      <c r="VDR29" s="138"/>
      <c r="VDS29" s="138"/>
      <c r="VDT29" s="138"/>
      <c r="VDU29" s="138"/>
      <c r="VDV29" s="138"/>
      <c r="VDW29" s="138"/>
      <c r="VDX29" s="138"/>
      <c r="VDY29" s="138"/>
      <c r="VDZ29" s="138"/>
      <c r="VEA29" s="138"/>
      <c r="VEB29" s="138"/>
      <c r="VEC29" s="138"/>
      <c r="VED29" s="138"/>
      <c r="VEE29" s="138"/>
      <c r="VEF29" s="138"/>
      <c r="VEG29" s="138"/>
      <c r="VEH29" s="138"/>
      <c r="VEI29" s="138"/>
      <c r="VEJ29" s="138"/>
      <c r="VEK29" s="138"/>
      <c r="VEL29" s="138"/>
      <c r="VEM29" s="138"/>
      <c r="VEN29" s="138"/>
      <c r="VEO29" s="138"/>
      <c r="VEP29" s="138"/>
      <c r="VEQ29" s="138"/>
      <c r="VER29" s="138"/>
      <c r="VES29" s="138"/>
      <c r="VET29" s="138"/>
      <c r="VEU29" s="138"/>
      <c r="VEV29" s="138"/>
      <c r="VEW29" s="138"/>
      <c r="VEX29" s="138"/>
      <c r="VEY29" s="138"/>
      <c r="VEZ29" s="138"/>
      <c r="VFA29" s="138"/>
      <c r="VFB29" s="138"/>
      <c r="VFC29" s="138"/>
      <c r="VFD29" s="138"/>
      <c r="VFE29" s="138"/>
      <c r="VFF29" s="138"/>
      <c r="VFG29" s="138"/>
      <c r="VFH29" s="138"/>
      <c r="VFI29" s="138"/>
      <c r="VFJ29" s="138"/>
      <c r="VFK29" s="138"/>
      <c r="VFL29" s="138"/>
      <c r="VFM29" s="138"/>
      <c r="VFN29" s="138"/>
      <c r="VFO29" s="138"/>
      <c r="VFP29" s="138"/>
      <c r="VFQ29" s="138"/>
      <c r="VFR29" s="138"/>
      <c r="VFS29" s="138"/>
      <c r="VFT29" s="138"/>
      <c r="VFU29" s="138"/>
      <c r="VFV29" s="138"/>
      <c r="VFW29" s="138"/>
      <c r="VFX29" s="138"/>
      <c r="VFY29" s="138"/>
      <c r="VFZ29" s="138"/>
      <c r="VGA29" s="138"/>
      <c r="VGB29" s="138"/>
      <c r="VGC29" s="138"/>
      <c r="VGD29" s="138"/>
      <c r="VGE29" s="138"/>
      <c r="VGF29" s="138"/>
      <c r="VGG29" s="138"/>
      <c r="VGH29" s="138"/>
      <c r="VGI29" s="138"/>
      <c r="VGJ29" s="138"/>
      <c r="VGK29" s="138"/>
      <c r="VGL29" s="138"/>
      <c r="VGM29" s="138"/>
      <c r="VGN29" s="138"/>
      <c r="VGO29" s="138"/>
      <c r="VGP29" s="138"/>
      <c r="VGQ29" s="138"/>
      <c r="VGR29" s="138"/>
      <c r="VGS29" s="138"/>
      <c r="VGT29" s="138"/>
      <c r="VGU29" s="138"/>
      <c r="VGV29" s="138"/>
      <c r="VGW29" s="138"/>
      <c r="VGX29" s="138"/>
      <c r="VGY29" s="138"/>
      <c r="VGZ29" s="138"/>
      <c r="VHA29" s="138"/>
      <c r="VHB29" s="138"/>
      <c r="VHC29" s="138"/>
      <c r="VHD29" s="138"/>
      <c r="VHE29" s="138"/>
      <c r="VHF29" s="138"/>
      <c r="VHG29" s="138"/>
      <c r="VHH29" s="138"/>
      <c r="VHI29" s="138"/>
      <c r="VHJ29" s="138"/>
      <c r="VHK29" s="138"/>
      <c r="VHL29" s="138"/>
      <c r="VHM29" s="138"/>
      <c r="VHN29" s="138"/>
      <c r="VHO29" s="138"/>
      <c r="VHP29" s="138"/>
      <c r="VHQ29" s="138"/>
      <c r="VHR29" s="138"/>
      <c r="VHS29" s="138"/>
      <c r="VHT29" s="138"/>
      <c r="VHU29" s="138"/>
      <c r="VHV29" s="138"/>
      <c r="VHW29" s="138"/>
      <c r="VHX29" s="138"/>
      <c r="VHY29" s="138"/>
      <c r="VHZ29" s="138"/>
      <c r="VIA29" s="138"/>
      <c r="VIB29" s="138"/>
      <c r="VIC29" s="138"/>
      <c r="VID29" s="138"/>
      <c r="VIE29" s="138"/>
      <c r="VIF29" s="138"/>
      <c r="VIG29" s="138"/>
      <c r="VIH29" s="138"/>
      <c r="VII29" s="138"/>
      <c r="VIJ29" s="138"/>
      <c r="VIK29" s="138"/>
      <c r="VIL29" s="138"/>
      <c r="VIM29" s="138"/>
      <c r="VIN29" s="138"/>
      <c r="VIO29" s="138"/>
      <c r="VIP29" s="138"/>
      <c r="VIQ29" s="138"/>
      <c r="VIR29" s="138"/>
      <c r="VIS29" s="138"/>
      <c r="VIT29" s="138"/>
      <c r="VIU29" s="138"/>
      <c r="VIV29" s="138"/>
      <c r="VIW29" s="138"/>
      <c r="VIX29" s="138"/>
      <c r="VIY29" s="138"/>
      <c r="VIZ29" s="138"/>
      <c r="VJA29" s="138"/>
      <c r="VJB29" s="138"/>
      <c r="VJC29" s="138"/>
      <c r="VJD29" s="138"/>
      <c r="VJE29" s="138"/>
      <c r="VJF29" s="138"/>
      <c r="VJG29" s="138"/>
      <c r="VJH29" s="138"/>
      <c r="VJI29" s="138"/>
      <c r="VJJ29" s="138"/>
      <c r="VJK29" s="138"/>
      <c r="VJL29" s="138"/>
      <c r="VJM29" s="138"/>
      <c r="VJN29" s="138"/>
      <c r="VJO29" s="138"/>
      <c r="VJP29" s="138"/>
      <c r="VJQ29" s="138"/>
      <c r="VJR29" s="138"/>
      <c r="VJS29" s="138"/>
      <c r="VJT29" s="138"/>
      <c r="VJU29" s="138"/>
      <c r="VJV29" s="138"/>
      <c r="VJW29" s="138"/>
      <c r="VJX29" s="138"/>
      <c r="VJY29" s="138"/>
      <c r="VJZ29" s="138"/>
      <c r="VKA29" s="138"/>
      <c r="VKB29" s="138"/>
      <c r="VKC29" s="138"/>
      <c r="VKD29" s="138"/>
      <c r="VKE29" s="138"/>
      <c r="VKF29" s="138"/>
      <c r="VKG29" s="138"/>
      <c r="VKH29" s="138"/>
      <c r="VKI29" s="138"/>
      <c r="VKJ29" s="138"/>
      <c r="VKK29" s="138"/>
      <c r="VKL29" s="138"/>
      <c r="VKM29" s="138"/>
      <c r="VKN29" s="138"/>
      <c r="VKO29" s="138"/>
      <c r="VKP29" s="138"/>
      <c r="VKQ29" s="138"/>
      <c r="VKR29" s="138"/>
      <c r="VKS29" s="138"/>
      <c r="VKT29" s="138"/>
      <c r="VKU29" s="138"/>
      <c r="VKV29" s="138"/>
      <c r="VKW29" s="138"/>
      <c r="VKX29" s="138"/>
      <c r="VKY29" s="138"/>
      <c r="VKZ29" s="138"/>
      <c r="VLA29" s="138"/>
      <c r="VLB29" s="138"/>
      <c r="VLC29" s="138"/>
      <c r="VLD29" s="138"/>
      <c r="VLE29" s="138"/>
      <c r="VLF29" s="138"/>
      <c r="VLG29" s="138"/>
      <c r="VLH29" s="138"/>
      <c r="VLI29" s="138"/>
      <c r="VLJ29" s="138"/>
      <c r="VLK29" s="138"/>
      <c r="VLL29" s="138"/>
      <c r="VLM29" s="138"/>
      <c r="VLN29" s="138"/>
      <c r="VLO29" s="138"/>
      <c r="VLP29" s="138"/>
      <c r="VLQ29" s="138"/>
      <c r="VLR29" s="138"/>
      <c r="VLS29" s="138"/>
      <c r="VLT29" s="138"/>
      <c r="VLU29" s="138"/>
      <c r="VLV29" s="138"/>
      <c r="VLW29" s="138"/>
      <c r="VLX29" s="138"/>
      <c r="VLY29" s="138"/>
      <c r="VLZ29" s="138"/>
      <c r="VMA29" s="138"/>
      <c r="VMB29" s="138"/>
      <c r="VMC29" s="138"/>
      <c r="VMD29" s="138"/>
      <c r="VME29" s="138"/>
      <c r="VMF29" s="138"/>
      <c r="VMG29" s="138"/>
      <c r="VMH29" s="138"/>
      <c r="VMI29" s="138"/>
      <c r="VMJ29" s="138"/>
      <c r="VMK29" s="138"/>
      <c r="VML29" s="138"/>
      <c r="VMM29" s="138"/>
      <c r="VMN29" s="138"/>
      <c r="VMO29" s="138"/>
      <c r="VMP29" s="138"/>
      <c r="VMQ29" s="138"/>
      <c r="VMR29" s="138"/>
      <c r="VMS29" s="138"/>
      <c r="VMT29" s="138"/>
      <c r="VMU29" s="138"/>
      <c r="VMV29" s="138"/>
      <c r="VMW29" s="138"/>
      <c r="VMX29" s="138"/>
      <c r="VMY29" s="138"/>
      <c r="VMZ29" s="138"/>
      <c r="VNA29" s="138"/>
      <c r="VNB29" s="138"/>
      <c r="VNC29" s="138"/>
      <c r="VND29" s="138"/>
      <c r="VNE29" s="138"/>
      <c r="VNF29" s="138"/>
      <c r="VNG29" s="138"/>
      <c r="VNH29" s="138"/>
      <c r="VNI29" s="138"/>
      <c r="VNJ29" s="138"/>
      <c r="VNK29" s="138"/>
      <c r="VNL29" s="138"/>
      <c r="VNM29" s="138"/>
      <c r="VNN29" s="138"/>
      <c r="VNO29" s="138"/>
      <c r="VNP29" s="138"/>
      <c r="VNQ29" s="138"/>
      <c r="VNR29" s="138"/>
      <c r="VNS29" s="138"/>
      <c r="VNT29" s="138"/>
      <c r="VNU29" s="138"/>
      <c r="VNV29" s="138"/>
      <c r="VNW29" s="138"/>
      <c r="VNX29" s="138"/>
      <c r="VNY29" s="138"/>
      <c r="VNZ29" s="138"/>
      <c r="VOA29" s="138"/>
      <c r="VOB29" s="138"/>
      <c r="VOC29" s="138"/>
      <c r="VOD29" s="138"/>
      <c r="VOE29" s="138"/>
      <c r="VOF29" s="138"/>
      <c r="VOG29" s="138"/>
      <c r="VOH29" s="138"/>
      <c r="VOI29" s="138"/>
      <c r="VOJ29" s="138"/>
      <c r="VOK29" s="138"/>
      <c r="VOL29" s="138"/>
      <c r="VOM29" s="138"/>
      <c r="VON29" s="138"/>
      <c r="VOO29" s="138"/>
      <c r="VOP29" s="138"/>
      <c r="VOQ29" s="138"/>
      <c r="VOR29" s="138"/>
      <c r="VOS29" s="138"/>
      <c r="VOT29" s="138"/>
      <c r="VOU29" s="138"/>
      <c r="VOV29" s="138"/>
      <c r="VOW29" s="138"/>
      <c r="VOX29" s="138"/>
      <c r="VOY29" s="138"/>
      <c r="VOZ29" s="138"/>
      <c r="VPA29" s="138"/>
      <c r="VPB29" s="138"/>
      <c r="VPC29" s="138"/>
      <c r="VPD29" s="138"/>
      <c r="VPE29" s="138"/>
      <c r="VPF29" s="138"/>
      <c r="VPG29" s="138"/>
      <c r="VPH29" s="138"/>
      <c r="VPI29" s="138"/>
      <c r="VPJ29" s="138"/>
      <c r="VPK29" s="138"/>
      <c r="VPL29" s="138"/>
      <c r="VPM29" s="138"/>
      <c r="VPN29" s="138"/>
      <c r="VPO29" s="138"/>
      <c r="VPP29" s="138"/>
      <c r="VPQ29" s="138"/>
      <c r="VPR29" s="138"/>
      <c r="VPS29" s="138"/>
      <c r="VPT29" s="138"/>
      <c r="VPU29" s="138"/>
      <c r="VPV29" s="138"/>
      <c r="VPW29" s="138"/>
      <c r="VPX29" s="138"/>
      <c r="VPY29" s="138"/>
      <c r="VPZ29" s="138"/>
      <c r="VQA29" s="138"/>
      <c r="VQB29" s="138"/>
      <c r="VQC29" s="138"/>
      <c r="VQD29" s="138"/>
      <c r="VQE29" s="138"/>
      <c r="VQF29" s="138"/>
      <c r="VQG29" s="138"/>
      <c r="VQH29" s="138"/>
      <c r="VQI29" s="138"/>
      <c r="VQJ29" s="138"/>
      <c r="VQK29" s="138"/>
      <c r="VQL29" s="138"/>
      <c r="VQM29" s="138"/>
      <c r="VQN29" s="138"/>
      <c r="VQO29" s="138"/>
      <c r="VQP29" s="138"/>
      <c r="VQQ29" s="138"/>
      <c r="VQR29" s="138"/>
      <c r="VQS29" s="138"/>
      <c r="VQT29" s="138"/>
      <c r="VQU29" s="138"/>
      <c r="VQV29" s="138"/>
      <c r="VQW29" s="138"/>
      <c r="VQX29" s="138"/>
      <c r="VQY29" s="138"/>
      <c r="VQZ29" s="138"/>
      <c r="VRA29" s="138"/>
      <c r="VRB29" s="138"/>
      <c r="VRC29" s="138"/>
      <c r="VRD29" s="138"/>
      <c r="VRE29" s="138"/>
      <c r="VRF29" s="138"/>
      <c r="VRG29" s="138"/>
      <c r="VRH29" s="138"/>
      <c r="VRI29" s="138"/>
      <c r="VRJ29" s="138"/>
      <c r="VRK29" s="138"/>
      <c r="VRL29" s="138"/>
      <c r="VRM29" s="138"/>
      <c r="VRN29" s="138"/>
      <c r="VRO29" s="138"/>
      <c r="VRP29" s="138"/>
      <c r="VRQ29" s="138"/>
      <c r="VRR29" s="138"/>
      <c r="VRS29" s="138"/>
      <c r="VRT29" s="138"/>
      <c r="VRU29" s="138"/>
      <c r="VRV29" s="138"/>
      <c r="VRW29" s="138"/>
      <c r="VRX29" s="138"/>
      <c r="VRY29" s="138"/>
      <c r="VRZ29" s="138"/>
      <c r="VSA29" s="138"/>
      <c r="VSB29" s="138"/>
      <c r="VSC29" s="138"/>
      <c r="VSD29" s="138"/>
      <c r="VSE29" s="138"/>
      <c r="VSF29" s="138"/>
      <c r="VSG29" s="138"/>
      <c r="VSH29" s="138"/>
      <c r="VSI29" s="138"/>
      <c r="VSJ29" s="138"/>
      <c r="VSK29" s="138"/>
      <c r="VSL29" s="138"/>
      <c r="VSM29" s="138"/>
      <c r="VSN29" s="138"/>
      <c r="VSO29" s="138"/>
      <c r="VSP29" s="138"/>
      <c r="VSQ29" s="138"/>
      <c r="VSR29" s="138"/>
      <c r="VSS29" s="138"/>
      <c r="VST29" s="138"/>
      <c r="VSU29" s="138"/>
      <c r="VSV29" s="138"/>
      <c r="VSW29" s="138"/>
      <c r="VSX29" s="138"/>
      <c r="VSY29" s="138"/>
      <c r="VSZ29" s="138"/>
      <c r="VTA29" s="138"/>
      <c r="VTB29" s="138"/>
      <c r="VTC29" s="138"/>
      <c r="VTD29" s="138"/>
      <c r="VTE29" s="138"/>
      <c r="VTF29" s="138"/>
      <c r="VTG29" s="138"/>
      <c r="VTH29" s="138"/>
      <c r="VTI29" s="138"/>
      <c r="VTJ29" s="138"/>
      <c r="VTK29" s="138"/>
      <c r="VTL29" s="138"/>
      <c r="VTM29" s="138"/>
      <c r="VTN29" s="138"/>
      <c r="VTO29" s="138"/>
      <c r="VTP29" s="138"/>
      <c r="VTQ29" s="138"/>
      <c r="VTR29" s="138"/>
      <c r="VTS29" s="138"/>
      <c r="VTT29" s="138"/>
      <c r="VTU29" s="138"/>
      <c r="VTV29" s="138"/>
      <c r="VTW29" s="138"/>
      <c r="VTX29" s="138"/>
      <c r="VTY29" s="138"/>
      <c r="VTZ29" s="138"/>
      <c r="VUA29" s="138"/>
      <c r="VUB29" s="138"/>
      <c r="VUC29" s="138"/>
      <c r="VUD29" s="138"/>
      <c r="VUE29" s="138"/>
      <c r="VUF29" s="138"/>
      <c r="VUG29" s="138"/>
      <c r="VUH29" s="138"/>
      <c r="VUI29" s="138"/>
      <c r="VUJ29" s="138"/>
      <c r="VUK29" s="138"/>
      <c r="VUL29" s="138"/>
      <c r="VUM29" s="138"/>
      <c r="VUN29" s="138"/>
      <c r="VUO29" s="138"/>
      <c r="VUP29" s="138"/>
      <c r="VUQ29" s="138"/>
      <c r="VUR29" s="138"/>
      <c r="VUS29" s="138"/>
      <c r="VUT29" s="138"/>
      <c r="VUU29" s="138"/>
      <c r="VUV29" s="138"/>
      <c r="VUW29" s="138"/>
      <c r="VUX29" s="138"/>
      <c r="VUY29" s="138"/>
      <c r="VUZ29" s="138"/>
      <c r="VVA29" s="138"/>
      <c r="VVB29" s="138"/>
      <c r="VVC29" s="138"/>
      <c r="VVD29" s="138"/>
      <c r="VVE29" s="138"/>
      <c r="VVF29" s="138"/>
      <c r="VVG29" s="138"/>
      <c r="VVH29" s="138"/>
      <c r="VVI29" s="138"/>
      <c r="VVJ29" s="138"/>
      <c r="VVK29" s="138"/>
      <c r="VVL29" s="138"/>
      <c r="VVM29" s="138"/>
      <c r="VVN29" s="138"/>
      <c r="VVO29" s="138"/>
      <c r="VVP29" s="138"/>
      <c r="VVQ29" s="138"/>
      <c r="VVR29" s="138"/>
      <c r="VVS29" s="138"/>
      <c r="VVT29" s="138"/>
      <c r="VVU29" s="138"/>
      <c r="VVV29" s="138"/>
      <c r="VVW29" s="138"/>
      <c r="VVX29" s="138"/>
      <c r="VVY29" s="138"/>
      <c r="VVZ29" s="138"/>
      <c r="VWA29" s="138"/>
      <c r="VWB29" s="138"/>
      <c r="VWC29" s="138"/>
      <c r="VWD29" s="138"/>
      <c r="VWE29" s="138"/>
      <c r="VWF29" s="138"/>
      <c r="VWG29" s="138"/>
      <c r="VWH29" s="138"/>
      <c r="VWI29" s="138"/>
      <c r="VWJ29" s="138"/>
      <c r="VWK29" s="138"/>
      <c r="VWL29" s="138"/>
      <c r="VWM29" s="138"/>
      <c r="VWN29" s="138"/>
      <c r="VWO29" s="138"/>
      <c r="VWP29" s="138"/>
      <c r="VWQ29" s="138"/>
      <c r="VWR29" s="138"/>
      <c r="VWS29" s="138"/>
      <c r="VWT29" s="138"/>
      <c r="VWU29" s="138"/>
      <c r="VWV29" s="138"/>
      <c r="VWW29" s="138"/>
      <c r="VWX29" s="138"/>
      <c r="VWY29" s="138"/>
      <c r="VWZ29" s="138"/>
      <c r="VXA29" s="138"/>
      <c r="VXB29" s="138"/>
      <c r="VXC29" s="138"/>
      <c r="VXD29" s="138"/>
      <c r="VXE29" s="138"/>
      <c r="VXF29" s="138"/>
      <c r="VXG29" s="138"/>
      <c r="VXH29" s="138"/>
      <c r="VXI29" s="138"/>
      <c r="VXJ29" s="138"/>
      <c r="VXK29" s="138"/>
      <c r="VXL29" s="138"/>
      <c r="VXM29" s="138"/>
      <c r="VXN29" s="138"/>
      <c r="VXO29" s="138"/>
      <c r="VXP29" s="138"/>
      <c r="VXQ29" s="138"/>
      <c r="VXR29" s="138"/>
      <c r="VXS29" s="138"/>
      <c r="VXT29" s="138"/>
      <c r="VXU29" s="138"/>
      <c r="VXV29" s="138"/>
      <c r="VXW29" s="138"/>
      <c r="VXX29" s="138"/>
      <c r="VXY29" s="138"/>
      <c r="VXZ29" s="138"/>
      <c r="VYA29" s="138"/>
      <c r="VYB29" s="138"/>
      <c r="VYC29" s="138"/>
      <c r="VYD29" s="138"/>
      <c r="VYE29" s="138"/>
      <c r="VYF29" s="138"/>
      <c r="VYG29" s="138"/>
      <c r="VYH29" s="138"/>
      <c r="VYI29" s="138"/>
      <c r="VYJ29" s="138"/>
      <c r="VYK29" s="138"/>
      <c r="VYL29" s="138"/>
      <c r="VYM29" s="138"/>
      <c r="VYN29" s="138"/>
      <c r="VYO29" s="138"/>
      <c r="VYP29" s="138"/>
      <c r="VYQ29" s="138"/>
      <c r="VYR29" s="138"/>
      <c r="VYS29" s="138"/>
      <c r="VYT29" s="138"/>
      <c r="VYU29" s="138"/>
      <c r="VYV29" s="138"/>
      <c r="VYW29" s="138"/>
      <c r="VYX29" s="138"/>
      <c r="VYY29" s="138"/>
      <c r="VYZ29" s="138"/>
      <c r="VZA29" s="138"/>
      <c r="VZB29" s="138"/>
      <c r="VZC29" s="138"/>
      <c r="VZD29" s="138"/>
      <c r="VZE29" s="138"/>
      <c r="VZF29" s="138"/>
      <c r="VZG29" s="138"/>
      <c r="VZH29" s="138"/>
      <c r="VZI29" s="138"/>
      <c r="VZJ29" s="138"/>
      <c r="VZK29" s="138"/>
      <c r="VZL29" s="138"/>
      <c r="VZM29" s="138"/>
      <c r="VZN29" s="138"/>
      <c r="VZO29" s="138"/>
      <c r="VZP29" s="138"/>
      <c r="VZQ29" s="138"/>
      <c r="VZR29" s="138"/>
      <c r="VZS29" s="138"/>
      <c r="VZT29" s="138"/>
      <c r="VZU29" s="138"/>
      <c r="VZV29" s="138"/>
      <c r="VZW29" s="138"/>
      <c r="VZX29" s="138"/>
      <c r="VZY29" s="138"/>
      <c r="VZZ29" s="138"/>
      <c r="WAA29" s="138"/>
      <c r="WAB29" s="138"/>
      <c r="WAC29" s="138"/>
      <c r="WAD29" s="138"/>
      <c r="WAE29" s="138"/>
      <c r="WAF29" s="138"/>
      <c r="WAG29" s="138"/>
      <c r="WAH29" s="138"/>
      <c r="WAI29" s="138"/>
      <c r="WAJ29" s="138"/>
      <c r="WAK29" s="138"/>
      <c r="WAL29" s="138"/>
      <c r="WAM29" s="138"/>
      <c r="WAN29" s="138"/>
      <c r="WAO29" s="138"/>
      <c r="WAP29" s="138"/>
      <c r="WAQ29" s="138"/>
      <c r="WAR29" s="138"/>
      <c r="WAS29" s="138"/>
      <c r="WAT29" s="138"/>
      <c r="WAU29" s="138"/>
      <c r="WAV29" s="138"/>
      <c r="WAW29" s="138"/>
      <c r="WAX29" s="138"/>
      <c r="WAY29" s="138"/>
      <c r="WAZ29" s="138"/>
      <c r="WBA29" s="138"/>
      <c r="WBB29" s="138"/>
      <c r="WBC29" s="138"/>
      <c r="WBD29" s="138"/>
      <c r="WBE29" s="138"/>
      <c r="WBF29" s="138"/>
      <c r="WBG29" s="138"/>
      <c r="WBH29" s="138"/>
      <c r="WBI29" s="138"/>
      <c r="WBJ29" s="138"/>
      <c r="WBK29" s="138"/>
      <c r="WBL29" s="138"/>
      <c r="WBM29" s="138"/>
      <c r="WBN29" s="138"/>
      <c r="WBO29" s="138"/>
      <c r="WBP29" s="138"/>
      <c r="WBQ29" s="138"/>
      <c r="WBR29" s="138"/>
      <c r="WBS29" s="138"/>
      <c r="WBT29" s="138"/>
      <c r="WBU29" s="138"/>
      <c r="WBV29" s="138"/>
      <c r="WBW29" s="138"/>
      <c r="WBX29" s="138"/>
      <c r="WBY29" s="138"/>
      <c r="WBZ29" s="138"/>
      <c r="WCA29" s="138"/>
      <c r="WCB29" s="138"/>
      <c r="WCC29" s="138"/>
      <c r="WCD29" s="138"/>
      <c r="WCE29" s="138"/>
      <c r="WCF29" s="138"/>
      <c r="WCG29" s="138"/>
      <c r="WCH29" s="138"/>
      <c r="WCI29" s="138"/>
      <c r="WCJ29" s="138"/>
      <c r="WCK29" s="138"/>
      <c r="WCL29" s="138"/>
      <c r="WCM29" s="138"/>
      <c r="WCN29" s="138"/>
      <c r="WCO29" s="138"/>
      <c r="WCP29" s="138"/>
      <c r="WCQ29" s="138"/>
      <c r="WCR29" s="138"/>
      <c r="WCS29" s="138"/>
      <c r="WCT29" s="138"/>
      <c r="WCU29" s="138"/>
      <c r="WCV29" s="138"/>
      <c r="WCW29" s="138"/>
      <c r="WCX29" s="138"/>
      <c r="WCY29" s="138"/>
      <c r="WCZ29" s="138"/>
      <c r="WDA29" s="138"/>
      <c r="WDB29" s="138"/>
      <c r="WDC29" s="138"/>
      <c r="WDD29" s="138"/>
      <c r="WDE29" s="138"/>
      <c r="WDF29" s="138"/>
      <c r="WDG29" s="138"/>
      <c r="WDH29" s="138"/>
      <c r="WDI29" s="138"/>
      <c r="WDJ29" s="138"/>
      <c r="WDK29" s="138"/>
      <c r="WDL29" s="138"/>
      <c r="WDM29" s="138"/>
      <c r="WDN29" s="138"/>
      <c r="WDO29" s="138"/>
      <c r="WDP29" s="138"/>
      <c r="WDQ29" s="138"/>
      <c r="WDR29" s="138"/>
      <c r="WDS29" s="138"/>
      <c r="WDT29" s="138"/>
      <c r="WDU29" s="138"/>
      <c r="WDV29" s="138"/>
      <c r="WDW29" s="138"/>
      <c r="WDX29" s="138"/>
      <c r="WDY29" s="138"/>
      <c r="WDZ29" s="138"/>
      <c r="WEA29" s="138"/>
      <c r="WEB29" s="138"/>
      <c r="WEC29" s="138"/>
      <c r="WED29" s="138"/>
      <c r="WEE29" s="138"/>
      <c r="WEF29" s="138"/>
      <c r="WEG29" s="138"/>
      <c r="WEH29" s="138"/>
      <c r="WEI29" s="138"/>
      <c r="WEJ29" s="138"/>
      <c r="WEK29" s="138"/>
      <c r="WEL29" s="138"/>
      <c r="WEM29" s="138"/>
      <c r="WEN29" s="138"/>
      <c r="WEO29" s="138"/>
      <c r="WEP29" s="138"/>
      <c r="WEQ29" s="138"/>
      <c r="WER29" s="138"/>
      <c r="WES29" s="138"/>
      <c r="WET29" s="138"/>
      <c r="WEU29" s="138"/>
      <c r="WEV29" s="138"/>
      <c r="WEW29" s="138"/>
      <c r="WEX29" s="138"/>
      <c r="WEY29" s="138"/>
      <c r="WEZ29" s="138"/>
      <c r="WFA29" s="138"/>
      <c r="WFB29" s="138"/>
      <c r="WFC29" s="138"/>
      <c r="WFD29" s="138"/>
      <c r="WFE29" s="138"/>
      <c r="WFF29" s="138"/>
      <c r="WFG29" s="138"/>
      <c r="WFH29" s="138"/>
      <c r="WFI29" s="138"/>
      <c r="WFJ29" s="138"/>
      <c r="WFK29" s="138"/>
      <c r="WFL29" s="138"/>
      <c r="WFM29" s="138"/>
      <c r="WFN29" s="138"/>
      <c r="WFO29" s="138"/>
      <c r="WFP29" s="138"/>
      <c r="WFQ29" s="138"/>
      <c r="WFR29" s="138"/>
      <c r="WFS29" s="138"/>
      <c r="WFT29" s="138"/>
      <c r="WFU29" s="138"/>
      <c r="WFV29" s="138"/>
      <c r="WFW29" s="138"/>
      <c r="WFX29" s="138"/>
      <c r="WFY29" s="138"/>
      <c r="WFZ29" s="138"/>
      <c r="WGA29" s="138"/>
      <c r="WGB29" s="138"/>
      <c r="WGC29" s="138"/>
      <c r="WGD29" s="138"/>
      <c r="WGE29" s="138"/>
      <c r="WGF29" s="138"/>
      <c r="WGG29" s="138"/>
      <c r="WGH29" s="138"/>
      <c r="WGI29" s="138"/>
      <c r="WGJ29" s="138"/>
      <c r="WGK29" s="138"/>
      <c r="WGL29" s="138"/>
      <c r="WGM29" s="138"/>
      <c r="WGN29" s="138"/>
      <c r="WGO29" s="138"/>
      <c r="WGP29" s="138"/>
      <c r="WGQ29" s="138"/>
      <c r="WGR29" s="138"/>
      <c r="WGS29" s="138"/>
      <c r="WGT29" s="138"/>
      <c r="WGU29" s="138"/>
      <c r="WGV29" s="138"/>
      <c r="WGW29" s="138"/>
      <c r="WGX29" s="138"/>
      <c r="WGY29" s="138"/>
      <c r="WGZ29" s="138"/>
      <c r="WHA29" s="138"/>
      <c r="WHB29" s="138"/>
      <c r="WHC29" s="138"/>
      <c r="WHD29" s="138"/>
      <c r="WHE29" s="138"/>
      <c r="WHF29" s="138"/>
      <c r="WHG29" s="138"/>
      <c r="WHH29" s="138"/>
      <c r="WHI29" s="138"/>
      <c r="WHJ29" s="138"/>
      <c r="WHK29" s="138"/>
      <c r="WHL29" s="138"/>
      <c r="WHM29" s="138"/>
      <c r="WHN29" s="138"/>
      <c r="WHO29" s="138"/>
      <c r="WHP29" s="138"/>
      <c r="WHQ29" s="138"/>
      <c r="WHR29" s="138"/>
      <c r="WHS29" s="138"/>
      <c r="WHT29" s="138"/>
      <c r="WHU29" s="138"/>
      <c r="WHV29" s="138"/>
      <c r="WHW29" s="138"/>
      <c r="WHX29" s="138"/>
      <c r="WHY29" s="138"/>
      <c r="WHZ29" s="138"/>
      <c r="WIA29" s="138"/>
      <c r="WIB29" s="138"/>
      <c r="WIC29" s="138"/>
      <c r="WID29" s="138"/>
      <c r="WIE29" s="138"/>
      <c r="WIF29" s="138"/>
      <c r="WIG29" s="138"/>
      <c r="WIH29" s="138"/>
      <c r="WII29" s="138"/>
      <c r="WIJ29" s="138"/>
      <c r="WIK29" s="138"/>
      <c r="WIL29" s="138"/>
      <c r="WIM29" s="138"/>
      <c r="WIN29" s="138"/>
      <c r="WIO29" s="138"/>
      <c r="WIP29" s="138"/>
      <c r="WIQ29" s="138"/>
      <c r="WIR29" s="138"/>
      <c r="WIS29" s="138"/>
      <c r="WIT29" s="138"/>
      <c r="WIU29" s="138"/>
      <c r="WIV29" s="138"/>
      <c r="WIW29" s="138"/>
      <c r="WIX29" s="138"/>
      <c r="WIY29" s="138"/>
      <c r="WIZ29" s="138"/>
      <c r="WJA29" s="138"/>
      <c r="WJB29" s="138"/>
      <c r="WJC29" s="138"/>
      <c r="WJD29" s="138"/>
      <c r="WJE29" s="138"/>
      <c r="WJF29" s="138"/>
      <c r="WJG29" s="138"/>
      <c r="WJH29" s="138"/>
      <c r="WJI29" s="138"/>
      <c r="WJJ29" s="138"/>
      <c r="WJK29" s="138"/>
      <c r="WJL29" s="138"/>
      <c r="WJM29" s="138"/>
      <c r="WJN29" s="138"/>
      <c r="WJO29" s="138"/>
      <c r="WJP29" s="138"/>
      <c r="WJQ29" s="138"/>
      <c r="WJR29" s="138"/>
      <c r="WJS29" s="138"/>
      <c r="WJT29" s="138"/>
      <c r="WJU29" s="138"/>
      <c r="WJV29" s="138"/>
      <c r="WJW29" s="138"/>
      <c r="WJX29" s="138"/>
      <c r="WJY29" s="138"/>
      <c r="WJZ29" s="138"/>
      <c r="WKA29" s="138"/>
      <c r="WKB29" s="138"/>
      <c r="WKC29" s="138"/>
      <c r="WKD29" s="138"/>
      <c r="WKE29" s="138"/>
      <c r="WKF29" s="138"/>
      <c r="WKG29" s="138"/>
      <c r="WKH29" s="138"/>
      <c r="WKI29" s="138"/>
      <c r="WKJ29" s="138"/>
      <c r="WKK29" s="138"/>
      <c r="WKL29" s="138"/>
      <c r="WKM29" s="138"/>
      <c r="WKN29" s="138"/>
      <c r="WKO29" s="138"/>
      <c r="WKP29" s="138"/>
      <c r="WKQ29" s="138"/>
      <c r="WKR29" s="138"/>
      <c r="WKS29" s="138"/>
      <c r="WKT29" s="138"/>
      <c r="WKU29" s="138"/>
      <c r="WKV29" s="138"/>
      <c r="WKW29" s="138"/>
      <c r="WKX29" s="138"/>
      <c r="WKY29" s="138"/>
      <c r="WKZ29" s="138"/>
      <c r="WLA29" s="138"/>
      <c r="WLB29" s="138"/>
      <c r="WLC29" s="138"/>
      <c r="WLD29" s="138"/>
      <c r="WLE29" s="138"/>
      <c r="WLF29" s="138"/>
      <c r="WLG29" s="138"/>
      <c r="WLH29" s="138"/>
      <c r="WLI29" s="138"/>
      <c r="WLJ29" s="138"/>
      <c r="WLK29" s="138"/>
      <c r="WLL29" s="138"/>
      <c r="WLM29" s="138"/>
      <c r="WLN29" s="138"/>
      <c r="WLO29" s="138"/>
      <c r="WLP29" s="138"/>
      <c r="WLQ29" s="138"/>
      <c r="WLR29" s="138"/>
      <c r="WLS29" s="138"/>
      <c r="WLT29" s="138"/>
      <c r="WLU29" s="138"/>
      <c r="WLV29" s="138"/>
      <c r="WLW29" s="138"/>
      <c r="WLX29" s="138"/>
      <c r="WLY29" s="138"/>
      <c r="WLZ29" s="138"/>
      <c r="WMA29" s="138"/>
      <c r="WMB29" s="138"/>
      <c r="WMC29" s="138"/>
      <c r="WMD29" s="138"/>
      <c r="WME29" s="138"/>
      <c r="WMF29" s="138"/>
      <c r="WMG29" s="138"/>
      <c r="WMH29" s="138"/>
      <c r="WMI29" s="138"/>
      <c r="WMJ29" s="138"/>
      <c r="WMK29" s="138"/>
      <c r="WML29" s="138"/>
      <c r="WMM29" s="138"/>
      <c r="WMN29" s="138"/>
      <c r="WMO29" s="138"/>
      <c r="WMP29" s="138"/>
      <c r="WMQ29" s="138"/>
      <c r="WMR29" s="138"/>
      <c r="WMS29" s="138"/>
      <c r="WMT29" s="138"/>
      <c r="WMU29" s="138"/>
      <c r="WMV29" s="138"/>
      <c r="WMW29" s="138"/>
      <c r="WMX29" s="138"/>
      <c r="WMY29" s="138"/>
      <c r="WMZ29" s="138"/>
      <c r="WNA29" s="138"/>
      <c r="WNB29" s="138"/>
      <c r="WNC29" s="138"/>
      <c r="WND29" s="138"/>
      <c r="WNE29" s="138"/>
      <c r="WNF29" s="138"/>
      <c r="WNG29" s="138"/>
      <c r="WNH29" s="138"/>
      <c r="WNI29" s="138"/>
      <c r="WNJ29" s="138"/>
      <c r="WNK29" s="138"/>
      <c r="WNL29" s="138"/>
      <c r="WNM29" s="138"/>
      <c r="WNN29" s="138"/>
      <c r="WNO29" s="138"/>
      <c r="WNP29" s="138"/>
      <c r="WNQ29" s="138"/>
      <c r="WNR29" s="138"/>
      <c r="WNS29" s="138"/>
      <c r="WNT29" s="138"/>
      <c r="WNU29" s="138"/>
      <c r="WNV29" s="138"/>
      <c r="WNW29" s="138"/>
      <c r="WNX29" s="138"/>
      <c r="WNY29" s="138"/>
      <c r="WNZ29" s="138"/>
      <c r="WOA29" s="138"/>
      <c r="WOB29" s="138"/>
      <c r="WOC29" s="138"/>
      <c r="WOD29" s="138"/>
      <c r="WOE29" s="138"/>
      <c r="WOF29" s="138"/>
      <c r="WOG29" s="138"/>
      <c r="WOH29" s="138"/>
      <c r="WOI29" s="138"/>
      <c r="WOJ29" s="138"/>
      <c r="WOK29" s="138"/>
      <c r="WOL29" s="138"/>
      <c r="WOM29" s="138"/>
      <c r="WON29" s="138"/>
      <c r="WOO29" s="138"/>
      <c r="WOP29" s="138"/>
      <c r="WOQ29" s="138"/>
      <c r="WOR29" s="138"/>
      <c r="WOS29" s="138"/>
      <c r="WOT29" s="138"/>
      <c r="WOU29" s="138"/>
      <c r="WOV29" s="138"/>
      <c r="WOW29" s="138"/>
      <c r="WOX29" s="138"/>
      <c r="WOY29" s="138"/>
      <c r="WOZ29" s="138"/>
      <c r="WPA29" s="138"/>
      <c r="WPB29" s="138"/>
      <c r="WPC29" s="138"/>
      <c r="WPD29" s="138"/>
      <c r="WPE29" s="138"/>
      <c r="WPF29" s="138"/>
      <c r="WPG29" s="138"/>
      <c r="WPH29" s="138"/>
      <c r="WPI29" s="138"/>
      <c r="WPJ29" s="138"/>
      <c r="WPK29" s="138"/>
      <c r="WPL29" s="138"/>
      <c r="WPM29" s="138"/>
      <c r="WPN29" s="138"/>
      <c r="WPO29" s="138"/>
      <c r="WPP29" s="138"/>
      <c r="WPQ29" s="138"/>
      <c r="WPR29" s="138"/>
      <c r="WPS29" s="138"/>
      <c r="WPT29" s="138"/>
      <c r="WPU29" s="138"/>
      <c r="WPV29" s="138"/>
      <c r="WPW29" s="138"/>
      <c r="WPX29" s="138"/>
      <c r="WPY29" s="138"/>
      <c r="WPZ29" s="138"/>
      <c r="WQA29" s="138"/>
      <c r="WQB29" s="138"/>
      <c r="WQC29" s="138"/>
      <c r="WQD29" s="138"/>
      <c r="WQE29" s="138"/>
      <c r="WQF29" s="138"/>
      <c r="WQG29" s="138"/>
      <c r="WQH29" s="138"/>
      <c r="WQI29" s="138"/>
      <c r="WQJ29" s="138"/>
      <c r="WQK29" s="138"/>
      <c r="WQL29" s="138"/>
      <c r="WQM29" s="138"/>
      <c r="WQN29" s="138"/>
      <c r="WQO29" s="138"/>
      <c r="WQP29" s="138"/>
      <c r="WQQ29" s="138"/>
      <c r="WQR29" s="138"/>
      <c r="WQS29" s="138"/>
      <c r="WQT29" s="138"/>
      <c r="WQU29" s="138"/>
      <c r="WQV29" s="138"/>
      <c r="WQW29" s="138"/>
      <c r="WQX29" s="138"/>
      <c r="WQY29" s="138"/>
      <c r="WQZ29" s="138"/>
      <c r="WRA29" s="138"/>
      <c r="WRB29" s="138"/>
      <c r="WRC29" s="138"/>
      <c r="WRD29" s="138"/>
      <c r="WRE29" s="138"/>
      <c r="WRF29" s="138"/>
      <c r="WRG29" s="138"/>
      <c r="WRH29" s="138"/>
      <c r="WRI29" s="138"/>
      <c r="WRJ29" s="138"/>
      <c r="WRK29" s="138"/>
      <c r="WRL29" s="138"/>
      <c r="WRM29" s="138"/>
      <c r="WRN29" s="138"/>
      <c r="WRO29" s="138"/>
      <c r="WRP29" s="138"/>
      <c r="WRQ29" s="138"/>
      <c r="WRR29" s="138"/>
      <c r="WRS29" s="138"/>
      <c r="WRT29" s="138"/>
      <c r="WRU29" s="138"/>
      <c r="WRV29" s="138"/>
      <c r="WRW29" s="138"/>
      <c r="WRX29" s="138"/>
      <c r="WRY29" s="138"/>
      <c r="WRZ29" s="138"/>
      <c r="WSA29" s="138"/>
      <c r="WSB29" s="138"/>
      <c r="WSC29" s="138"/>
      <c r="WSD29" s="138"/>
      <c r="WSE29" s="138"/>
      <c r="WSF29" s="138"/>
      <c r="WSG29" s="138"/>
      <c r="WSH29" s="138"/>
      <c r="WSI29" s="138"/>
      <c r="WSJ29" s="138"/>
      <c r="WSK29" s="138"/>
      <c r="WSL29" s="138"/>
      <c r="WSM29" s="138"/>
      <c r="WSN29" s="138"/>
      <c r="WSO29" s="138"/>
      <c r="WSP29" s="138"/>
      <c r="WSQ29" s="138"/>
      <c r="WSR29" s="138"/>
      <c r="WSS29" s="138"/>
      <c r="WST29" s="138"/>
      <c r="WSU29" s="138"/>
      <c r="WSV29" s="138"/>
      <c r="WSW29" s="138"/>
      <c r="WSX29" s="138"/>
      <c r="WSY29" s="138"/>
      <c r="WSZ29" s="138"/>
      <c r="WTA29" s="138"/>
      <c r="WTB29" s="138"/>
      <c r="WTC29" s="138"/>
      <c r="WTD29" s="138"/>
      <c r="WTE29" s="138"/>
      <c r="WTF29" s="138"/>
      <c r="WTG29" s="138"/>
      <c r="WTH29" s="138"/>
      <c r="WTI29" s="138"/>
      <c r="WTJ29" s="138"/>
      <c r="WTK29" s="138"/>
      <c r="WTL29" s="138"/>
      <c r="WTM29" s="138"/>
      <c r="WTN29" s="138"/>
      <c r="WTO29" s="138"/>
      <c r="WTP29" s="138"/>
      <c r="WTQ29" s="138"/>
      <c r="WTR29" s="138"/>
      <c r="WTS29" s="138"/>
      <c r="WTT29" s="138"/>
      <c r="WTU29" s="138"/>
      <c r="WTV29" s="138"/>
      <c r="WTW29" s="138"/>
      <c r="WTX29" s="138"/>
      <c r="WTY29" s="138"/>
      <c r="WTZ29" s="138"/>
      <c r="WUA29" s="138"/>
      <c r="WUB29" s="138"/>
      <c r="WUC29" s="138"/>
      <c r="WUD29" s="138"/>
      <c r="WUE29" s="138"/>
      <c r="WUF29" s="138"/>
      <c r="WUG29" s="138"/>
      <c r="WUH29" s="138"/>
      <c r="WUI29" s="138"/>
      <c r="WUJ29" s="138"/>
      <c r="WUK29" s="138"/>
      <c r="WUL29" s="138"/>
      <c r="WUM29" s="138"/>
      <c r="WUN29" s="138"/>
      <c r="WUO29" s="138"/>
      <c r="WUP29" s="138"/>
      <c r="WUQ29" s="138"/>
      <c r="WUR29" s="138"/>
      <c r="WUS29" s="138"/>
      <c r="WUT29" s="138"/>
      <c r="WUU29" s="138"/>
      <c r="WUV29" s="138"/>
      <c r="WUW29" s="138"/>
      <c r="WUX29" s="138"/>
      <c r="WUY29" s="138"/>
      <c r="WUZ29" s="138"/>
      <c r="WVA29" s="138"/>
      <c r="WVB29" s="138"/>
      <c r="WVC29" s="138"/>
      <c r="WVD29" s="138"/>
      <c r="WVE29" s="138"/>
      <c r="WVF29" s="138"/>
      <c r="WVG29" s="138"/>
      <c r="WVH29" s="138"/>
      <c r="WVI29" s="138"/>
      <c r="WVJ29" s="138"/>
      <c r="WVK29" s="138"/>
      <c r="WVL29" s="138"/>
      <c r="WVM29" s="138"/>
      <c r="WVN29" s="138"/>
      <c r="WVO29" s="138"/>
      <c r="WVP29" s="138"/>
      <c r="WVQ29" s="138"/>
      <c r="WVR29" s="138"/>
      <c r="WVS29" s="138"/>
      <c r="WVT29" s="138"/>
      <c r="WVU29" s="138"/>
      <c r="WVV29" s="138"/>
      <c r="WVW29" s="138"/>
      <c r="WVX29" s="138"/>
      <c r="WVY29" s="138"/>
      <c r="WVZ29" s="138"/>
      <c r="WWA29" s="138"/>
      <c r="WWB29" s="138"/>
      <c r="WWC29" s="138"/>
      <c r="WWD29" s="138"/>
      <c r="WWE29" s="138"/>
      <c r="WWF29" s="138"/>
      <c r="WWG29" s="138"/>
      <c r="WWH29" s="138"/>
      <c r="WWI29" s="138"/>
      <c r="WWJ29" s="138"/>
      <c r="WWK29" s="138"/>
      <c r="WWL29" s="138"/>
      <c r="WWM29" s="138"/>
      <c r="WWN29" s="138"/>
      <c r="WWO29" s="138"/>
      <c r="WWP29" s="138"/>
      <c r="WWQ29" s="138"/>
      <c r="WWR29" s="138"/>
      <c r="WWS29" s="138"/>
      <c r="WWT29" s="138"/>
      <c r="WWU29" s="138"/>
      <c r="WWV29" s="138"/>
      <c r="WWW29" s="138"/>
      <c r="WWX29" s="138"/>
      <c r="WWY29" s="138"/>
      <c r="WWZ29" s="138"/>
      <c r="WXA29" s="138"/>
      <c r="WXB29" s="138"/>
      <c r="WXC29" s="138"/>
      <c r="WXD29" s="138"/>
      <c r="WXE29" s="138"/>
      <c r="WXF29" s="138"/>
      <c r="WXG29" s="138"/>
      <c r="WXH29" s="138"/>
      <c r="WXI29" s="138"/>
      <c r="WXJ29" s="138"/>
      <c r="WXK29" s="138"/>
      <c r="WXL29" s="138"/>
      <c r="WXM29" s="138"/>
      <c r="WXN29" s="138"/>
      <c r="WXO29" s="138"/>
      <c r="WXP29" s="138"/>
      <c r="WXQ29" s="138"/>
      <c r="WXR29" s="138"/>
      <c r="WXS29" s="138"/>
      <c r="WXT29" s="138"/>
      <c r="WXU29" s="138"/>
      <c r="WXV29" s="138"/>
      <c r="WXW29" s="138"/>
      <c r="WXX29" s="138"/>
      <c r="WXY29" s="138"/>
      <c r="WXZ29" s="138"/>
      <c r="WYA29" s="138"/>
      <c r="WYB29" s="138"/>
      <c r="WYC29" s="138"/>
      <c r="WYD29" s="138"/>
      <c r="WYE29" s="138"/>
      <c r="WYF29" s="138"/>
      <c r="WYG29" s="138"/>
      <c r="WYH29" s="138"/>
      <c r="WYI29" s="138"/>
      <c r="WYJ29" s="138"/>
      <c r="WYK29" s="138"/>
      <c r="WYL29" s="138"/>
      <c r="WYM29" s="138"/>
      <c r="WYN29" s="138"/>
      <c r="WYO29" s="138"/>
      <c r="WYP29" s="138"/>
      <c r="WYQ29" s="138"/>
      <c r="WYR29" s="138"/>
      <c r="WYS29" s="138"/>
      <c r="WYT29" s="138"/>
      <c r="WYU29" s="138"/>
      <c r="WYV29" s="138"/>
      <c r="WYW29" s="138"/>
      <c r="WYX29" s="138"/>
      <c r="WYY29" s="138"/>
      <c r="WYZ29" s="138"/>
      <c r="WZA29" s="138"/>
      <c r="WZB29" s="138"/>
      <c r="WZC29" s="138"/>
      <c r="WZD29" s="138"/>
      <c r="WZE29" s="138"/>
      <c r="WZF29" s="138"/>
      <c r="WZG29" s="138"/>
      <c r="WZH29" s="138"/>
      <c r="WZI29" s="138"/>
      <c r="WZJ29" s="138"/>
      <c r="WZK29" s="138"/>
      <c r="WZL29" s="138"/>
      <c r="WZM29" s="138"/>
      <c r="WZN29" s="138"/>
      <c r="WZO29" s="138"/>
      <c r="WZP29" s="138"/>
      <c r="WZQ29" s="138"/>
      <c r="WZR29" s="138"/>
      <c r="WZS29" s="138"/>
      <c r="WZT29" s="138"/>
      <c r="WZU29" s="138"/>
      <c r="WZV29" s="138"/>
      <c r="WZW29" s="138"/>
      <c r="WZX29" s="138"/>
      <c r="WZY29" s="138"/>
      <c r="WZZ29" s="138"/>
      <c r="XAA29" s="138"/>
      <c r="XAB29" s="138"/>
      <c r="XAC29" s="138"/>
      <c r="XAD29" s="138"/>
      <c r="XAE29" s="138"/>
      <c r="XAF29" s="138"/>
      <c r="XAG29" s="138"/>
      <c r="XAH29" s="138"/>
      <c r="XAI29" s="138"/>
      <c r="XAJ29" s="138"/>
      <c r="XAK29" s="138"/>
      <c r="XAL29" s="138"/>
      <c r="XAM29" s="138"/>
      <c r="XAN29" s="138"/>
      <c r="XAO29" s="138"/>
      <c r="XAP29" s="138"/>
      <c r="XAQ29" s="138"/>
      <c r="XAR29" s="138"/>
      <c r="XAS29" s="138"/>
      <c r="XAT29" s="138"/>
      <c r="XAU29" s="138"/>
      <c r="XAV29" s="138"/>
      <c r="XAW29" s="138"/>
      <c r="XAX29" s="138"/>
      <c r="XAY29" s="138"/>
      <c r="XAZ29" s="138"/>
      <c r="XBA29" s="138"/>
      <c r="XBB29" s="138"/>
      <c r="XBC29" s="138"/>
      <c r="XBD29" s="138"/>
      <c r="XBE29" s="138"/>
      <c r="XBF29" s="138"/>
      <c r="XBG29" s="138"/>
      <c r="XBH29" s="138"/>
      <c r="XBI29" s="138"/>
      <c r="XBJ29" s="138"/>
      <c r="XBK29" s="138"/>
      <c r="XBL29" s="138"/>
      <c r="XBM29" s="138"/>
      <c r="XBN29" s="138"/>
      <c r="XBO29" s="138"/>
      <c r="XBP29" s="138"/>
      <c r="XBQ29" s="138"/>
      <c r="XBR29" s="138"/>
      <c r="XBS29" s="138"/>
      <c r="XBT29" s="138"/>
      <c r="XBU29" s="138"/>
      <c r="XBV29" s="138"/>
      <c r="XBW29" s="138"/>
      <c r="XBX29" s="138"/>
      <c r="XBY29" s="138"/>
      <c r="XBZ29" s="138"/>
      <c r="XCA29" s="138"/>
      <c r="XCB29" s="138"/>
      <c r="XCC29" s="138"/>
      <c r="XCD29" s="138"/>
      <c r="XCE29" s="138"/>
      <c r="XCF29" s="138"/>
      <c r="XCG29" s="138"/>
      <c r="XCH29" s="138"/>
      <c r="XCI29" s="138"/>
      <c r="XCJ29" s="138"/>
      <c r="XCK29" s="138"/>
      <c r="XCL29" s="138"/>
      <c r="XCM29" s="138"/>
      <c r="XCN29" s="138"/>
      <c r="XCO29" s="138"/>
      <c r="XCP29" s="138"/>
      <c r="XCQ29" s="138"/>
      <c r="XCR29" s="138"/>
      <c r="XCS29" s="138"/>
      <c r="XCT29" s="138"/>
      <c r="XCU29" s="138"/>
      <c r="XCV29" s="138"/>
      <c r="XCW29" s="138"/>
      <c r="XCX29" s="138"/>
      <c r="XCY29" s="138"/>
      <c r="XCZ29" s="138"/>
      <c r="XDA29" s="138"/>
      <c r="XDB29" s="138"/>
      <c r="XDC29" s="138"/>
      <c r="XDD29" s="138"/>
      <c r="XDE29" s="138"/>
      <c r="XDF29" s="138"/>
      <c r="XDG29" s="138"/>
      <c r="XDH29" s="138"/>
      <c r="XDI29" s="138"/>
      <c r="XDJ29" s="138"/>
      <c r="XDK29" s="138"/>
      <c r="XDL29" s="138"/>
      <c r="XDM29" s="138"/>
      <c r="XDN29" s="138"/>
      <c r="XDO29" s="138"/>
      <c r="XDP29" s="138"/>
      <c r="XDQ29" s="138"/>
      <c r="XDR29" s="138"/>
      <c r="XDS29" s="138"/>
      <c r="XDT29" s="138"/>
      <c r="XDU29" s="138"/>
      <c r="XDV29" s="138"/>
      <c r="XDW29" s="138"/>
      <c r="XDX29" s="138"/>
      <c r="XDY29" s="138"/>
      <c r="XDZ29" s="138"/>
      <c r="XEA29" s="138"/>
      <c r="XEB29" s="138"/>
      <c r="XEC29" s="138"/>
      <c r="XED29" s="138"/>
      <c r="XEE29" s="138"/>
      <c r="XEF29" s="138"/>
      <c r="XEG29" s="138"/>
      <c r="XEH29" s="138"/>
      <c r="XEI29" s="138"/>
      <c r="XEJ29" s="138"/>
      <c r="XEK29" s="138"/>
      <c r="XEL29" s="138"/>
      <c r="XEM29" s="138"/>
      <c r="XEN29" s="138"/>
      <c r="XEO29" s="138"/>
      <c r="XEP29" s="138"/>
      <c r="XEQ29" s="138"/>
      <c r="XER29" s="138"/>
      <c r="XES29" s="138"/>
      <c r="XET29" s="138"/>
      <c r="XEU29" s="138"/>
      <c r="XEV29" s="138"/>
      <c r="XEW29" s="138"/>
      <c r="XEX29" s="138"/>
      <c r="XEY29" s="138"/>
      <c r="XEZ29" s="138"/>
      <c r="XFA29" s="138"/>
      <c r="XFB29" s="138"/>
      <c r="XFC29" s="138"/>
      <c r="XFD29" s="138"/>
    </row>
    <row r="30" spans="2:16384" x14ac:dyDescent="0.25">
      <c r="B30" s="271" t="str">
        <f>'Comps Rel.'!Q3</f>
        <v>Grasim Industries Limited</v>
      </c>
      <c r="C30" s="316">
        <f>'Comps Rel.'!R3</f>
        <v>16.533515000000001</v>
      </c>
      <c r="D30" s="316"/>
      <c r="E30" s="216">
        <f>'Comps Rel.'!S3</f>
        <v>0.56110000000000004</v>
      </c>
      <c r="F30" s="317">
        <f>'Comps Rel.'!T3</f>
        <v>197360.56855500001</v>
      </c>
      <c r="G30" s="317"/>
    </row>
    <row r="31" spans="2:16384" x14ac:dyDescent="0.25">
      <c r="B31" s="271" t="str">
        <f>'Comps Rel.'!Q4</f>
        <v>LIFE INSURANCE CORPORATION OF INDIA</v>
      </c>
      <c r="C31" s="316">
        <f>'Comps Rel.'!R4</f>
        <v>0.61043550000000002</v>
      </c>
      <c r="D31" s="316"/>
      <c r="E31" s="216">
        <f>'Comps Rel.'!S4</f>
        <v>2.07E-2</v>
      </c>
      <c r="F31" s="317">
        <f>'Comps Rel.'!T4</f>
        <v>7286.7685634999998</v>
      </c>
      <c r="G31" s="317"/>
    </row>
    <row r="32" spans="2:16384" x14ac:dyDescent="0.25">
      <c r="B32" s="271" t="str">
        <f>'Comps Rel.'!Q5</f>
        <v>ICICI PRUDENTIAL NIFTY INFRASTRUCTURE ETF</v>
      </c>
      <c r="C32" s="316">
        <f>'Comps Rel.'!R5</f>
        <v>0.60383279999999995</v>
      </c>
      <c r="D32" s="316"/>
      <c r="E32" s="216">
        <f>'Comps Rel.'!S5</f>
        <v>2.0499999999999997E-2</v>
      </c>
      <c r="F32" s="317">
        <f>'Comps Rel.'!T5</f>
        <v>7207.9521335999998</v>
      </c>
      <c r="G32" s="317"/>
    </row>
    <row r="33" spans="2:11" x14ac:dyDescent="0.25">
      <c r="B33" s="271" t="str">
        <f>'Comps Rel.'!Q6</f>
        <v>NPS TRUST-A/C TATA PENSION FUND MANAGEMENT PRIVATE</v>
      </c>
      <c r="C33" s="316">
        <f>'Comps Rel.'!R6</f>
        <v>0.57691859999999995</v>
      </c>
      <c r="D33" s="316"/>
      <c r="E33" s="216">
        <f>'Comps Rel.'!S6</f>
        <v>1.9599999999999999E-2</v>
      </c>
      <c r="F33" s="317">
        <f>'Comps Rel.'!T6</f>
        <v>6886.6773281999995</v>
      </c>
      <c r="G33" s="317"/>
    </row>
    <row r="34" spans="2:11" x14ac:dyDescent="0.25">
      <c r="B34" s="271" t="str">
        <f>'Comps Rel.'!Q7</f>
        <v>Pilani Investment and Industries Corporation Limited</v>
      </c>
      <c r="C34" s="316">
        <f>'Comps Rel.'!R7</f>
        <v>0.4405944</v>
      </c>
      <c r="D34" s="316"/>
      <c r="E34" s="216">
        <f>'Comps Rel.'!S7</f>
        <v>1.4999999999999999E-2</v>
      </c>
      <c r="F34" s="317">
        <f>'Comps Rel.'!T7</f>
        <v>5259.3753527999997</v>
      </c>
      <c r="G34" s="317"/>
    </row>
    <row r="35" spans="2:11" x14ac:dyDescent="0.25">
      <c r="B35" s="271" t="str">
        <f>'Comps Rel.'!Q8</f>
        <v>SBI NIFTY 50 EQUAL WEIGHT INDEX FUND</v>
      </c>
      <c r="C35" s="316">
        <f>'Comps Rel.'!R8</f>
        <v>0.43105670000000001</v>
      </c>
      <c r="D35" s="316"/>
      <c r="E35" s="216">
        <f>'Comps Rel.'!S8</f>
        <v>1.46E-2</v>
      </c>
      <c r="F35" s="317">
        <f>'Comps Rel.'!T8</f>
        <v>5145.5238279000005</v>
      </c>
      <c r="G35" s="317"/>
    </row>
    <row r="36" spans="2:11" x14ac:dyDescent="0.25">
      <c r="B36" s="271" t="str">
        <f>'Comps Rel.'!Q9</f>
        <v>Government of Singapore - E</v>
      </c>
      <c r="C36" s="316">
        <f>'Comps Rel.'!R9</f>
        <v>0.39373279999999999</v>
      </c>
      <c r="D36" s="316"/>
      <c r="E36" s="216">
        <f>'Comps Rel.'!S9</f>
        <v>1.34E-2</v>
      </c>
      <c r="F36" s="317">
        <f>'Comps Rel.'!T9</f>
        <v>4699.9884335999996</v>
      </c>
      <c r="G36" s="317"/>
    </row>
    <row r="37" spans="2:11" x14ac:dyDescent="0.25">
      <c r="B37" s="271" t="str">
        <f>'Comps Rel.'!Q10</f>
        <v>KOTAK AGGRESSIVE HYBRID FUND</v>
      </c>
      <c r="C37" s="316">
        <f>'Comps Rel.'!R10</f>
        <v>0.32563560000000003</v>
      </c>
      <c r="D37" s="316"/>
      <c r="E37" s="216">
        <f>'Comps Rel.'!S10</f>
        <v>1.11E-2</v>
      </c>
      <c r="F37" s="317">
        <f>'Comps Rel.'!T10</f>
        <v>3887.1121572000002</v>
      </c>
      <c r="G37" s="317"/>
    </row>
    <row r="38" spans="2:11" x14ac:dyDescent="0.25">
      <c r="B38" s="271" t="str">
        <f>'Comps Rel.'!Q11</f>
        <v>PT. Indo Bharat Rayon</v>
      </c>
      <c r="C38" s="316">
        <f>'Comps Rel.'!R11</f>
        <v>0.22861719999999999</v>
      </c>
      <c r="D38" s="316"/>
      <c r="E38" s="216">
        <f>'Comps Rel.'!S11</f>
        <v>7.8000000000000005E-3</v>
      </c>
      <c r="F38" s="317">
        <f>'Comps Rel.'!T11</f>
        <v>2729.0035164000001</v>
      </c>
      <c r="G38" s="317"/>
    </row>
    <row r="39" spans="2:11" x14ac:dyDescent="0.25">
      <c r="B39" s="271" t="str">
        <f>'Comps Rel.'!Q12</f>
        <v>Hindalco Industries Limited</v>
      </c>
      <c r="C39" s="316">
        <f>'Comps Rel.'!R12</f>
        <v>0.12585150000000001</v>
      </c>
      <c r="D39" s="316"/>
      <c r="E39" s="216">
        <f>'Comps Rel.'!S12</f>
        <v>4.3E-3</v>
      </c>
      <c r="F39" s="317">
        <f>'Comps Rel.'!T12</f>
        <v>1502.2893555000001</v>
      </c>
      <c r="G39" s="317"/>
    </row>
    <row r="41" spans="2:11" ht="15.75" x14ac:dyDescent="0.25">
      <c r="B41" s="277" t="s">
        <v>1721</v>
      </c>
      <c r="C41" s="315" t="s">
        <v>1699</v>
      </c>
      <c r="D41" s="315"/>
      <c r="E41" s="278" t="s">
        <v>1700</v>
      </c>
      <c r="F41" s="319" t="s">
        <v>1701</v>
      </c>
      <c r="G41" s="319"/>
      <c r="I41" s="318" t="s">
        <v>205</v>
      </c>
      <c r="J41" s="318"/>
      <c r="K41" s="318"/>
    </row>
    <row r="42" spans="2:11" ht="4.5" customHeight="1" x14ac:dyDescent="0.25"/>
    <row r="43" spans="2:11" x14ac:dyDescent="0.25">
      <c r="B43" s="215" t="s">
        <v>1708</v>
      </c>
      <c r="C43" s="314" t="s">
        <v>1713</v>
      </c>
      <c r="D43" s="314"/>
      <c r="E43" s="273">
        <v>4.2999999999999997E-2</v>
      </c>
      <c r="F43" s="313" t="s">
        <v>1720</v>
      </c>
      <c r="G43" s="313"/>
      <c r="I43" s="215" t="s">
        <v>1703</v>
      </c>
      <c r="J43" s="215"/>
      <c r="K43" s="279">
        <f>DCF!E49</f>
        <v>11937</v>
      </c>
    </row>
    <row r="44" spans="2:11" x14ac:dyDescent="0.25">
      <c r="B44" s="215" t="s">
        <v>1711</v>
      </c>
      <c r="C44" s="314" t="s">
        <v>1712</v>
      </c>
      <c r="D44" s="314"/>
      <c r="E44" s="215">
        <v>0.45</v>
      </c>
      <c r="F44" s="313" t="s">
        <v>1720</v>
      </c>
      <c r="G44" s="313"/>
      <c r="I44" s="215" t="s">
        <v>1694</v>
      </c>
      <c r="J44" s="215"/>
      <c r="K44" s="280">
        <f>DCF!E45</f>
        <v>29.490848322800193</v>
      </c>
    </row>
    <row r="45" spans="2:11" ht="15.75" thickBot="1" x14ac:dyDescent="0.3">
      <c r="B45" s="215" t="s">
        <v>1709</v>
      </c>
      <c r="C45" s="314" t="s">
        <v>1704</v>
      </c>
      <c r="D45" s="314"/>
      <c r="E45" s="215">
        <v>6.7270000000000003</v>
      </c>
      <c r="F45" s="313">
        <v>88.8</v>
      </c>
      <c r="G45" s="313"/>
      <c r="I45" s="281" t="s">
        <v>43</v>
      </c>
      <c r="J45" s="282"/>
      <c r="K45" s="283">
        <f>K43*K44</f>
        <v>352032.25642926589</v>
      </c>
    </row>
    <row r="46" spans="2:11" x14ac:dyDescent="0.25">
      <c r="B46" s="215" t="s">
        <v>1715</v>
      </c>
      <c r="C46" s="314" t="s">
        <v>1718</v>
      </c>
      <c r="D46" s="314"/>
      <c r="E46" s="215">
        <f>13.42+5.26</f>
        <v>18.68</v>
      </c>
      <c r="F46" s="313">
        <v>247.5</v>
      </c>
      <c r="G46" s="313"/>
      <c r="I46" s="284" t="s">
        <v>1695</v>
      </c>
      <c r="J46" s="285"/>
      <c r="K46" s="286">
        <f>DCF!E42</f>
        <v>1673.32</v>
      </c>
    </row>
    <row r="47" spans="2:11" x14ac:dyDescent="0.25">
      <c r="B47" s="215" t="s">
        <v>1717</v>
      </c>
      <c r="C47" s="314" t="s">
        <v>1719</v>
      </c>
      <c r="D47" s="314"/>
      <c r="E47" s="215">
        <f>6.6+2.56</f>
        <v>9.16</v>
      </c>
      <c r="F47" s="313">
        <v>121.4</v>
      </c>
      <c r="G47" s="313"/>
      <c r="I47" s="287" t="s">
        <v>1696</v>
      </c>
      <c r="J47" s="215"/>
      <c r="K47" s="279">
        <f>DCF!E43</f>
        <v>23031</v>
      </c>
    </row>
    <row r="48" spans="2:11" x14ac:dyDescent="0.25">
      <c r="I48" s="287" t="s">
        <v>1697</v>
      </c>
      <c r="J48" s="215"/>
      <c r="K48" s="280">
        <v>55.94</v>
      </c>
    </row>
    <row r="49" spans="2:11" ht="15.75" thickBot="1" x14ac:dyDescent="0.3">
      <c r="I49" s="288" t="s">
        <v>1698</v>
      </c>
      <c r="J49" s="282"/>
      <c r="K49" s="283">
        <f>K45+K47+K48-K46</f>
        <v>373445.87642926589</v>
      </c>
    </row>
    <row r="51" spans="2:11" x14ac:dyDescent="0.25">
      <c r="B51" s="117" t="s">
        <v>405</v>
      </c>
      <c r="C51" s="152"/>
      <c r="D51" s="152"/>
      <c r="E51" s="152"/>
      <c r="F51" s="152"/>
      <c r="G51" s="152"/>
      <c r="H51" s="152"/>
      <c r="I51" s="152"/>
      <c r="J51" s="152"/>
      <c r="K51" s="152"/>
    </row>
    <row r="64" spans="2:11" ht="4.5" customHeight="1" x14ac:dyDescent="0.25">
      <c r="B64" s="152"/>
      <c r="C64" s="152"/>
      <c r="D64" s="152"/>
      <c r="E64" s="152"/>
      <c r="F64" s="152"/>
      <c r="G64" s="152"/>
      <c r="H64" s="152"/>
      <c r="I64" s="152"/>
      <c r="J64" s="152"/>
      <c r="K64" s="152"/>
    </row>
  </sheetData>
  <mergeCells count="40">
    <mergeCell ref="I41:K41"/>
    <mergeCell ref="F41:G41"/>
    <mergeCell ref="B2:K2"/>
    <mergeCell ref="C4:K4"/>
    <mergeCell ref="I6:K6"/>
    <mergeCell ref="I19:K19"/>
    <mergeCell ref="I28:K28"/>
    <mergeCell ref="C33:D33"/>
    <mergeCell ref="F30:G30"/>
    <mergeCell ref="F31:G31"/>
    <mergeCell ref="F32:G32"/>
    <mergeCell ref="F33:G33"/>
    <mergeCell ref="C28:D28"/>
    <mergeCell ref="F28:G28"/>
    <mergeCell ref="C30:D30"/>
    <mergeCell ref="C31:D31"/>
    <mergeCell ref="C32:D32"/>
    <mergeCell ref="F39:G39"/>
    <mergeCell ref="C34:D34"/>
    <mergeCell ref="C35:D35"/>
    <mergeCell ref="C36:D36"/>
    <mergeCell ref="C37:D37"/>
    <mergeCell ref="C38:D38"/>
    <mergeCell ref="C39:D39"/>
    <mergeCell ref="F34:G34"/>
    <mergeCell ref="F35:G35"/>
    <mergeCell ref="F36:G36"/>
    <mergeCell ref="F37:G37"/>
    <mergeCell ref="F38:G38"/>
    <mergeCell ref="C41:D41"/>
    <mergeCell ref="C43:D43"/>
    <mergeCell ref="C44:D44"/>
    <mergeCell ref="C45:D45"/>
    <mergeCell ref="C46:D46"/>
    <mergeCell ref="F43:G43"/>
    <mergeCell ref="C47:D47"/>
    <mergeCell ref="F45:G45"/>
    <mergeCell ref="F44:G44"/>
    <mergeCell ref="F46:G46"/>
    <mergeCell ref="F47:G47"/>
  </mergeCells>
  <pageMargins left="0.25" right="0.25" top="0.75" bottom="0.75" header="0.3" footer="0.3"/>
  <pageSetup scale="7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2:T119"/>
  <sheetViews>
    <sheetView showGridLines="0" zoomScale="80" zoomScaleNormal="80" zoomScaleSheetLayoutView="80" workbookViewId="0">
      <selection activeCell="A60" sqref="A60"/>
    </sheetView>
  </sheetViews>
  <sheetFormatPr defaultRowHeight="15" x14ac:dyDescent="0.25"/>
  <cols>
    <col min="1" max="1" width="1.85546875" customWidth="1"/>
    <col min="2" max="2" width="29.140625" bestFit="1" customWidth="1"/>
    <col min="3" max="12" width="13.7109375" customWidth="1"/>
    <col min="15" max="19" width="10.28515625" bestFit="1" customWidth="1"/>
    <col min="20" max="20" width="6.5703125" bestFit="1" customWidth="1"/>
  </cols>
  <sheetData>
    <row r="2" spans="1:15" ht="11.25" customHeight="1" x14ac:dyDescent="0.25">
      <c r="B2" s="152"/>
      <c r="C2" s="152"/>
      <c r="D2" s="152"/>
      <c r="E2" s="152"/>
      <c r="F2" s="152"/>
      <c r="G2" s="152"/>
      <c r="H2" s="152"/>
      <c r="I2" s="152"/>
      <c r="J2" s="152"/>
      <c r="K2" s="152"/>
      <c r="L2" s="152"/>
    </row>
    <row r="7" spans="1:15" x14ac:dyDescent="0.25">
      <c r="B7" s="198"/>
      <c r="C7" s="198"/>
      <c r="D7" s="198"/>
      <c r="E7" s="198"/>
      <c r="F7" s="198"/>
      <c r="G7" s="198"/>
      <c r="H7" s="198"/>
      <c r="I7" s="198"/>
      <c r="J7" s="198"/>
      <c r="K7" s="198"/>
      <c r="L7" s="198"/>
    </row>
    <row r="8" spans="1:15" x14ac:dyDescent="0.25">
      <c r="B8" s="27"/>
      <c r="C8" s="27"/>
      <c r="D8" s="27"/>
      <c r="E8" s="27"/>
      <c r="F8" s="27"/>
      <c r="G8" s="27"/>
      <c r="H8" s="27"/>
      <c r="I8" s="27"/>
      <c r="J8" s="27"/>
      <c r="K8" s="27"/>
      <c r="L8" s="27"/>
    </row>
    <row r="9" spans="1:15" x14ac:dyDescent="0.25">
      <c r="B9" s="322" t="str">
        <f>"Financial Statements"&amp;" - "&amp;'Data Sheet'!B1</f>
        <v>Financial Statements - ULTRATECH CEMENT LTD</v>
      </c>
      <c r="C9" s="322"/>
      <c r="D9" s="322"/>
      <c r="E9" s="322"/>
      <c r="F9" s="322"/>
      <c r="G9" s="322"/>
      <c r="H9" s="322"/>
      <c r="I9" s="322"/>
      <c r="J9" s="322"/>
      <c r="K9" s="322"/>
      <c r="L9" s="322"/>
    </row>
    <row r="10" spans="1:15" x14ac:dyDescent="0.25">
      <c r="B10" s="91" t="s">
        <v>54</v>
      </c>
      <c r="C10" s="92">
        <f>'Data Sheet'!B16</f>
        <v>42460</v>
      </c>
      <c r="D10" s="92">
        <f>'Data Sheet'!C16</f>
        <v>42825</v>
      </c>
      <c r="E10" s="92">
        <f>'Data Sheet'!D16</f>
        <v>43190</v>
      </c>
      <c r="F10" s="92">
        <f>'Data Sheet'!E16</f>
        <v>43555</v>
      </c>
      <c r="G10" s="92">
        <f>'Data Sheet'!F16</f>
        <v>43921</v>
      </c>
      <c r="H10" s="92">
        <f>'Data Sheet'!G16</f>
        <v>44286</v>
      </c>
      <c r="I10" s="92">
        <f>'Data Sheet'!H16</f>
        <v>44651</v>
      </c>
      <c r="J10" s="92">
        <f>'Data Sheet'!I16</f>
        <v>45016</v>
      </c>
      <c r="K10" s="92">
        <f>'Data Sheet'!J16</f>
        <v>45382</v>
      </c>
      <c r="L10" s="92">
        <f>'Data Sheet'!K16</f>
        <v>45747</v>
      </c>
    </row>
    <row r="11" spans="1:15" s="27" customFormat="1" x14ac:dyDescent="0.25">
      <c r="A11" s="27" t="s">
        <v>56</v>
      </c>
      <c r="B11" s="93" t="s">
        <v>55</v>
      </c>
      <c r="C11" s="94"/>
      <c r="D11" s="94"/>
      <c r="E11" s="94"/>
      <c r="F11" s="94"/>
      <c r="G11" s="94"/>
      <c r="H11" s="94"/>
      <c r="I11" s="94"/>
      <c r="J11" s="94"/>
      <c r="K11" s="94"/>
      <c r="L11" s="94"/>
    </row>
    <row r="12" spans="1:15" x14ac:dyDescent="0.25">
      <c r="B12" s="19" t="s">
        <v>1</v>
      </c>
      <c r="C12" s="23">
        <f>IFERROR('Data Sheet'!B17,0)</f>
        <v>25153.24</v>
      </c>
      <c r="D12" s="23">
        <f>IFERROR('Data Sheet'!C17,0)</f>
        <v>25374.94</v>
      </c>
      <c r="E12" s="23">
        <f>IFERROR('Data Sheet'!D17,0)</f>
        <v>30978.62</v>
      </c>
      <c r="F12" s="23">
        <f>IFERROR('Data Sheet'!E17,0)</f>
        <v>41462.26</v>
      </c>
      <c r="G12" s="23">
        <f>IFERROR('Data Sheet'!F17,0)</f>
        <v>42429.89</v>
      </c>
      <c r="H12" s="23">
        <f>IFERROR('Data Sheet'!G17,0)</f>
        <v>44725.8</v>
      </c>
      <c r="I12" s="23">
        <f>IFERROR('Data Sheet'!H17,0)</f>
        <v>52598.83</v>
      </c>
      <c r="J12" s="23">
        <f>IFERROR('Data Sheet'!I17,0)</f>
        <v>63239.98</v>
      </c>
      <c r="K12" s="23">
        <f>IFERROR('Data Sheet'!J17,0)</f>
        <v>70908.14</v>
      </c>
      <c r="L12" s="23">
        <f>IFERROR('Data Sheet'!K17,0)</f>
        <v>75955.13</v>
      </c>
      <c r="O12" s="290"/>
    </row>
    <row r="13" spans="1:15" x14ac:dyDescent="0.25">
      <c r="B13" s="9" t="str">
        <f>B12&amp;" Growth"</f>
        <v>Sales Growth</v>
      </c>
      <c r="C13" s="10" t="str">
        <f>IFERROR((C12/B12)-1,"-")</f>
        <v>-</v>
      </c>
      <c r="D13" s="11">
        <f t="shared" ref="D13:L13" si="0">IFERROR((D12/C12)-1,"-")</f>
        <v>8.8139738657921907E-3</v>
      </c>
      <c r="E13" s="11">
        <f t="shared" si="0"/>
        <v>0.22083520197486184</v>
      </c>
      <c r="F13" s="11">
        <f t="shared" si="0"/>
        <v>0.33841533289733383</v>
      </c>
      <c r="G13" s="11">
        <f t="shared" si="0"/>
        <v>2.3337608707291846E-2</v>
      </c>
      <c r="H13" s="11">
        <f t="shared" si="0"/>
        <v>5.4110675281034304E-2</v>
      </c>
      <c r="I13" s="11">
        <f t="shared" si="0"/>
        <v>0.17602882452633595</v>
      </c>
      <c r="J13" s="11">
        <f t="shared" si="0"/>
        <v>0.20230773194004503</v>
      </c>
      <c r="K13" s="11">
        <f t="shared" si="0"/>
        <v>0.12125494030833028</v>
      </c>
      <c r="L13" s="11">
        <f t="shared" si="0"/>
        <v>7.117645449450527E-2</v>
      </c>
    </row>
    <row r="14" spans="1:15" x14ac:dyDescent="0.25">
      <c r="B14" s="9"/>
      <c r="C14" s="10"/>
      <c r="D14" s="11"/>
      <c r="E14" s="11"/>
      <c r="F14" s="11"/>
      <c r="G14" s="11"/>
      <c r="H14" s="11"/>
      <c r="I14" s="11"/>
      <c r="J14" s="11"/>
      <c r="K14" s="11"/>
      <c r="L14" s="11"/>
    </row>
    <row r="15" spans="1:15" x14ac:dyDescent="0.25">
      <c r="B15" s="20" t="s">
        <v>4</v>
      </c>
      <c r="C15" s="24">
        <f>IFERROR('Data Sheet'!B25,0)</f>
        <v>463.81</v>
      </c>
      <c r="D15" s="24">
        <f>IFERROR('Data Sheet'!C25,0)</f>
        <v>648.12</v>
      </c>
      <c r="E15" s="24">
        <f>IFERROR('Data Sheet'!D25,0)</f>
        <v>241.97</v>
      </c>
      <c r="F15" s="24">
        <f>IFERROR('Data Sheet'!E25,0)</f>
        <v>350.1</v>
      </c>
      <c r="G15" s="24">
        <f>IFERROR('Data Sheet'!F25,0)</f>
        <v>651.05999999999995</v>
      </c>
      <c r="H15" s="24">
        <f>IFERROR('Data Sheet'!G25,0)</f>
        <v>618.52</v>
      </c>
      <c r="I15" s="24">
        <f>IFERROR('Data Sheet'!H25,0)</f>
        <v>669.43</v>
      </c>
      <c r="J15" s="24">
        <f>IFERROR('Data Sheet'!I25,0)</f>
        <v>507.11</v>
      </c>
      <c r="K15" s="24">
        <f>IFERROR('Data Sheet'!J25,0)</f>
        <v>556.96</v>
      </c>
      <c r="L15" s="24">
        <f>IFERROR('Data Sheet'!K25,0)</f>
        <v>396.74</v>
      </c>
    </row>
    <row r="16" spans="1:15" x14ac:dyDescent="0.25">
      <c r="B16" s="9" t="str">
        <f>B15&amp;" % Sales"</f>
        <v>Other Income % Sales</v>
      </c>
      <c r="C16" s="11">
        <f>IFERROR(C15/C$12,0)</f>
        <v>1.8439374013049611E-2</v>
      </c>
      <c r="D16" s="11">
        <f t="shared" ref="D16:L16" si="1">IFERROR(D15/D$12,0)</f>
        <v>2.5541735271098178E-2</v>
      </c>
      <c r="E16" s="11">
        <f t="shared" si="1"/>
        <v>7.8108708522200152E-3</v>
      </c>
      <c r="F16" s="11">
        <f t="shared" si="1"/>
        <v>8.4438233709402243E-3</v>
      </c>
      <c r="G16" s="11">
        <f t="shared" si="1"/>
        <v>1.5344371621043561E-2</v>
      </c>
      <c r="H16" s="11">
        <f t="shared" si="1"/>
        <v>1.3829154537202239E-2</v>
      </c>
      <c r="I16" s="11">
        <f t="shared" si="1"/>
        <v>1.2727089176698415E-2</v>
      </c>
      <c r="J16" s="11">
        <f t="shared" si="1"/>
        <v>8.0188197402971985E-3</v>
      </c>
      <c r="K16" s="11">
        <f t="shared" si="1"/>
        <v>7.8546694356952541E-3</v>
      </c>
      <c r="L16" s="11">
        <f t="shared" si="1"/>
        <v>5.223346994468971E-3</v>
      </c>
    </row>
    <row r="17" spans="2:15" x14ac:dyDescent="0.25">
      <c r="B17" s="9"/>
      <c r="C17" s="10"/>
      <c r="D17" s="11"/>
      <c r="E17" s="11"/>
      <c r="F17" s="11"/>
      <c r="G17" s="11"/>
      <c r="H17" s="11"/>
      <c r="I17" s="11"/>
      <c r="J17" s="11"/>
      <c r="K17" s="11"/>
      <c r="L17" s="11"/>
    </row>
    <row r="18" spans="2:15" x14ac:dyDescent="0.25">
      <c r="B18" t="s">
        <v>57</v>
      </c>
      <c r="C18" s="22">
        <f>IFERROR(SUM('Data Sheet'!B18,'Data Sheet'!B20:B22)-1*('Data Sheet'!B19),0)</f>
        <v>12397.13</v>
      </c>
      <c r="D18" s="22">
        <f>IFERROR(SUM('Data Sheet'!C18,'Data Sheet'!C20:C22)-1*('Data Sheet'!C19),0)</f>
        <v>12303.62</v>
      </c>
      <c r="E18" s="22">
        <f>IFERROR(SUM('Data Sheet'!D18,'Data Sheet'!D20:D22)-1*('Data Sheet'!D19),0)</f>
        <v>15744.189999999999</v>
      </c>
      <c r="F18" s="22">
        <f>IFERROR(SUM('Data Sheet'!E18,'Data Sheet'!E20:E22)-1*('Data Sheet'!E19),0)</f>
        <v>21729.719999999998</v>
      </c>
      <c r="G18" s="22">
        <f>IFERROR(SUM('Data Sheet'!F18,'Data Sheet'!F20:F22)-1*('Data Sheet'!F19),0)</f>
        <v>20600.87</v>
      </c>
      <c r="H18" s="22">
        <f>IFERROR(SUM('Data Sheet'!G18,'Data Sheet'!G20:G22)-1*('Data Sheet'!G19),0)</f>
        <v>20847.700000000004</v>
      </c>
      <c r="I18" s="22">
        <f>IFERROR(SUM('Data Sheet'!H18,'Data Sheet'!H20:H22)-1*('Data Sheet'!H19),0)</f>
        <v>26536.920000000002</v>
      </c>
      <c r="J18" s="22">
        <f>IFERROR(SUM('Data Sheet'!I18,'Data Sheet'!I20:I22)-1*('Data Sheet'!I19),0)</f>
        <v>35301.93</v>
      </c>
      <c r="K18" s="22">
        <f>IFERROR(SUM('Data Sheet'!J18,'Data Sheet'!J20:J22)-1*('Data Sheet'!J19),0)</f>
        <v>38136.400000000001</v>
      </c>
      <c r="L18" s="22">
        <f>IFERROR(SUM('Data Sheet'!K18,'Data Sheet'!K20:K22)-1*('Data Sheet'!K19),0)</f>
        <v>41216.74</v>
      </c>
    </row>
    <row r="19" spans="2:15" x14ac:dyDescent="0.25">
      <c r="B19" s="9" t="str">
        <f>B18&amp;" % Sales"</f>
        <v>COGS % Sales</v>
      </c>
      <c r="C19" s="11">
        <f t="shared" ref="C19:L19" si="2">IFERROR(C18/C12,0)</f>
        <v>0.49286413996765421</v>
      </c>
      <c r="D19" s="11">
        <f t="shared" si="2"/>
        <v>0.48487287063535922</v>
      </c>
      <c r="E19" s="11">
        <f t="shared" si="2"/>
        <v>0.50822760988062088</v>
      </c>
      <c r="F19" s="11">
        <f t="shared" si="2"/>
        <v>0.5240843118537194</v>
      </c>
      <c r="G19" s="11">
        <f t="shared" si="2"/>
        <v>0.48552730162628277</v>
      </c>
      <c r="H19" s="11">
        <f t="shared" si="2"/>
        <v>0.46612246175585464</v>
      </c>
      <c r="I19" s="11">
        <f t="shared" si="2"/>
        <v>0.50451540462021682</v>
      </c>
      <c r="J19" s="11">
        <f t="shared" si="2"/>
        <v>0.55822171354260386</v>
      </c>
      <c r="K19" s="11">
        <f t="shared" si="2"/>
        <v>0.53782823805560265</v>
      </c>
      <c r="L19" s="11">
        <f t="shared" si="2"/>
        <v>0.54264590160006299</v>
      </c>
    </row>
    <row r="20" spans="2:15" x14ac:dyDescent="0.25">
      <c r="B20" s="9"/>
      <c r="C20" s="11"/>
      <c r="D20" s="11"/>
      <c r="E20" s="11"/>
      <c r="F20" s="11"/>
      <c r="G20" s="11"/>
      <c r="H20" s="11"/>
      <c r="I20" s="11"/>
      <c r="J20" s="11"/>
      <c r="K20" s="11"/>
      <c r="L20" s="11"/>
    </row>
    <row r="21" spans="2:15" x14ac:dyDescent="0.25">
      <c r="B21" s="19" t="s">
        <v>58</v>
      </c>
      <c r="C21" s="23">
        <f>IFERROR(C12+C15-C18,0)</f>
        <v>13219.920000000004</v>
      </c>
      <c r="D21" s="23">
        <f t="shared" ref="D21:L21" si="3">IFERROR(D12+D15-D18,0)</f>
        <v>13719.439999999997</v>
      </c>
      <c r="E21" s="23">
        <f t="shared" si="3"/>
        <v>15476.400000000001</v>
      </c>
      <c r="F21" s="23">
        <f t="shared" si="3"/>
        <v>20082.640000000003</v>
      </c>
      <c r="G21" s="23">
        <f t="shared" si="3"/>
        <v>22480.079999999998</v>
      </c>
      <c r="H21" s="23">
        <f t="shared" si="3"/>
        <v>24496.619999999995</v>
      </c>
      <c r="I21" s="23">
        <f t="shared" si="3"/>
        <v>26731.34</v>
      </c>
      <c r="J21" s="23">
        <f t="shared" si="3"/>
        <v>28445.160000000003</v>
      </c>
      <c r="K21" s="23">
        <f t="shared" si="3"/>
        <v>33328.700000000004</v>
      </c>
      <c r="L21" s="23">
        <f t="shared" si="3"/>
        <v>35135.130000000012</v>
      </c>
      <c r="O21" s="290"/>
    </row>
    <row r="22" spans="2:15" x14ac:dyDescent="0.25">
      <c r="B22" s="9" t="str">
        <f>B21&amp;" % Sales"</f>
        <v>Gross Profit % Sales</v>
      </c>
      <c r="C22" s="11">
        <f t="shared" ref="C22:L22" si="4">IFERROR(C21/C12,0)</f>
        <v>0.52557523404539541</v>
      </c>
      <c r="D22" s="11">
        <f t="shared" si="4"/>
        <v>0.54066886463573893</v>
      </c>
      <c r="E22" s="11">
        <f t="shared" si="4"/>
        <v>0.49958326097159916</v>
      </c>
      <c r="F22" s="11">
        <f t="shared" si="4"/>
        <v>0.48435951151722079</v>
      </c>
      <c r="G22" s="11">
        <f t="shared" si="4"/>
        <v>0.52981706999476075</v>
      </c>
      <c r="H22" s="11">
        <f t="shared" si="4"/>
        <v>0.54770669278134754</v>
      </c>
      <c r="I22" s="11">
        <f t="shared" si="4"/>
        <v>0.50821168455648158</v>
      </c>
      <c r="J22" s="11">
        <f t="shared" si="4"/>
        <v>0.44979710619769331</v>
      </c>
      <c r="K22" s="11">
        <f t="shared" si="4"/>
        <v>0.4700264313800927</v>
      </c>
      <c r="L22" s="11">
        <f t="shared" si="4"/>
        <v>0.46257744539440598</v>
      </c>
    </row>
    <row r="23" spans="2:15" x14ac:dyDescent="0.25">
      <c r="B23" s="9"/>
      <c r="C23" s="11"/>
      <c r="D23" s="11"/>
      <c r="E23" s="11"/>
      <c r="F23" s="11"/>
      <c r="G23" s="11"/>
      <c r="H23" s="11"/>
      <c r="I23" s="11"/>
      <c r="J23" s="11"/>
      <c r="K23" s="11"/>
      <c r="L23" s="11"/>
    </row>
    <row r="24" spans="2:15" x14ac:dyDescent="0.25">
      <c r="B24" t="s">
        <v>59</v>
      </c>
      <c r="C24" s="22">
        <f>IFERROR(SUM('Data Sheet'!B23:B24),0)</f>
        <v>7855.14</v>
      </c>
      <c r="D24" s="22">
        <f>IFERROR(SUM('Data Sheet'!C23:C24),0)</f>
        <v>7858.88</v>
      </c>
      <c r="E24" s="22">
        <f>IFERROR(SUM('Data Sheet'!D23:D24),0)</f>
        <v>9089.4000000000015</v>
      </c>
      <c r="F24" s="22">
        <f>IFERROR(SUM('Data Sheet'!E23:E24),0)</f>
        <v>12385.599999999999</v>
      </c>
      <c r="G24" s="22">
        <f>IFERROR(SUM('Data Sheet'!F23:F24),0)</f>
        <v>12583.05</v>
      </c>
      <c r="H24" s="22">
        <f>IFERROR(SUM('Data Sheet'!G23:G24),0)</f>
        <v>12310.19</v>
      </c>
      <c r="I24" s="22">
        <f>IFERROR(SUM('Data Sheet'!H23:H24),0)</f>
        <v>14547.56</v>
      </c>
      <c r="J24" s="22">
        <f>IFERROR(SUM('Data Sheet'!I23:I24),0)</f>
        <v>17318.2</v>
      </c>
      <c r="K24" s="22">
        <f>IFERROR(SUM('Data Sheet'!J23:J24),0)</f>
        <v>19793.18</v>
      </c>
      <c r="L24" s="22">
        <f>IFERROR(SUM('Data Sheet'!K23:K24),0)</f>
        <v>21941.510000000002</v>
      </c>
    </row>
    <row r="25" spans="2:15" x14ac:dyDescent="0.25">
      <c r="B25" s="9" t="str">
        <f>B24&amp;" % Sales"</f>
        <v>Selling &amp; Other Exp. % Sales</v>
      </c>
      <c r="C25" s="11">
        <f t="shared" ref="C25:L25" si="5">IFERROR(C24/C12,0)</f>
        <v>0.31229137876472374</v>
      </c>
      <c r="D25" s="11">
        <f t="shared" si="5"/>
        <v>0.30971028897014141</v>
      </c>
      <c r="E25" s="11">
        <f t="shared" si="5"/>
        <v>0.29340880904314015</v>
      </c>
      <c r="F25" s="11">
        <f t="shared" si="5"/>
        <v>0.29871984788094036</v>
      </c>
      <c r="G25" s="11">
        <f t="shared" si="5"/>
        <v>0.29656098566364419</v>
      </c>
      <c r="H25" s="11">
        <f t="shared" si="5"/>
        <v>0.27523688788126766</v>
      </c>
      <c r="I25" s="11">
        <f t="shared" si="5"/>
        <v>0.27657573371879185</v>
      </c>
      <c r="J25" s="11">
        <f t="shared" si="5"/>
        <v>0.27384891646075787</v>
      </c>
      <c r="K25" s="11">
        <f t="shared" si="5"/>
        <v>0.27913833306021002</v>
      </c>
      <c r="L25" s="11">
        <f t="shared" si="5"/>
        <v>0.28887462900794192</v>
      </c>
    </row>
    <row r="26" spans="2:15" x14ac:dyDescent="0.25">
      <c r="B26" s="9"/>
      <c r="C26" s="11"/>
      <c r="D26" s="11"/>
      <c r="E26" s="11"/>
      <c r="F26" s="11"/>
      <c r="G26" s="11"/>
      <c r="H26" s="11"/>
      <c r="I26" s="11"/>
      <c r="J26" s="11"/>
      <c r="K26" s="11"/>
      <c r="L26" s="11"/>
    </row>
    <row r="27" spans="2:15" x14ac:dyDescent="0.25">
      <c r="B27" s="20" t="s">
        <v>60</v>
      </c>
      <c r="C27" s="24">
        <f>IFERROR(C21-C24,0)</f>
        <v>5364.7800000000034</v>
      </c>
      <c r="D27" s="24">
        <f t="shared" ref="D27:L27" si="6">IFERROR(D21-D24,0)</f>
        <v>5860.5599999999968</v>
      </c>
      <c r="E27" s="24">
        <f t="shared" si="6"/>
        <v>6387</v>
      </c>
      <c r="F27" s="24">
        <f t="shared" si="6"/>
        <v>7697.0400000000045</v>
      </c>
      <c r="G27" s="24">
        <f t="shared" si="6"/>
        <v>9897.0299999999988</v>
      </c>
      <c r="H27" s="24">
        <f t="shared" si="6"/>
        <v>12186.429999999995</v>
      </c>
      <c r="I27" s="24">
        <f t="shared" si="6"/>
        <v>12183.78</v>
      </c>
      <c r="J27" s="24">
        <f t="shared" si="6"/>
        <v>11126.960000000003</v>
      </c>
      <c r="K27" s="24">
        <f t="shared" si="6"/>
        <v>13535.520000000004</v>
      </c>
      <c r="L27" s="24">
        <f t="shared" si="6"/>
        <v>13193.62000000001</v>
      </c>
    </row>
    <row r="28" spans="2:15" x14ac:dyDescent="0.25">
      <c r="B28" s="9" t="str">
        <f>B27&amp;" % Sales"</f>
        <v>EBITDA % Sales</v>
      </c>
      <c r="C28" s="11">
        <f t="shared" ref="C28:L28" si="7">IFERROR(C27/C12,0)</f>
        <v>0.2132838552806717</v>
      </c>
      <c r="D28" s="11">
        <f t="shared" si="7"/>
        <v>0.23095857566559752</v>
      </c>
      <c r="E28" s="11">
        <f t="shared" si="7"/>
        <v>0.20617445192845904</v>
      </c>
      <c r="F28" s="11">
        <f t="shared" si="7"/>
        <v>0.18563966363628043</v>
      </c>
      <c r="G28" s="11">
        <f t="shared" si="7"/>
        <v>0.23325608433111655</v>
      </c>
      <c r="H28" s="11">
        <f t="shared" si="7"/>
        <v>0.27246980490007994</v>
      </c>
      <c r="I28" s="11">
        <f t="shared" si="7"/>
        <v>0.23163595083768973</v>
      </c>
      <c r="J28" s="11">
        <f t="shared" si="7"/>
        <v>0.17594818973693543</v>
      </c>
      <c r="K28" s="11">
        <f t="shared" si="7"/>
        <v>0.19088809831988265</v>
      </c>
      <c r="L28" s="11">
        <f t="shared" si="7"/>
        <v>0.17370281638646407</v>
      </c>
    </row>
    <row r="29" spans="2:15" x14ac:dyDescent="0.25">
      <c r="B29" s="9"/>
      <c r="C29" s="11"/>
      <c r="D29" s="11"/>
      <c r="E29" s="11"/>
      <c r="F29" s="11"/>
      <c r="G29" s="11"/>
      <c r="H29" s="11"/>
      <c r="I29" s="11"/>
      <c r="J29" s="11"/>
      <c r="K29" s="11"/>
      <c r="L29" s="11"/>
    </row>
    <row r="30" spans="2:15" x14ac:dyDescent="0.25">
      <c r="B30" t="s">
        <v>5</v>
      </c>
      <c r="C30" s="22">
        <f>IFERROR('Data Sheet'!B26,0)</f>
        <v>1377.17</v>
      </c>
      <c r="D30" s="22">
        <f>IFERROR('Data Sheet'!C26,0)</f>
        <v>1348.41</v>
      </c>
      <c r="E30" s="22">
        <f>IFERROR('Data Sheet'!D26,0)</f>
        <v>1847.93</v>
      </c>
      <c r="F30" s="22">
        <f>IFERROR('Data Sheet'!E26,0)</f>
        <v>2450.73</v>
      </c>
      <c r="G30" s="22">
        <f>IFERROR('Data Sheet'!F26,0)</f>
        <v>2722.66</v>
      </c>
      <c r="H30" s="22">
        <f>IFERROR('Data Sheet'!G26,0)</f>
        <v>2700.23</v>
      </c>
      <c r="I30" s="22">
        <f>IFERROR('Data Sheet'!H26,0)</f>
        <v>2714.75</v>
      </c>
      <c r="J30" s="22">
        <f>IFERROR('Data Sheet'!I26,0)</f>
        <v>2887.99</v>
      </c>
      <c r="K30" s="22">
        <f>IFERROR('Data Sheet'!J26,0)</f>
        <v>3145.3</v>
      </c>
      <c r="L30" s="22">
        <f>IFERROR('Data Sheet'!K26,0)</f>
        <v>4014.95</v>
      </c>
    </row>
    <row r="31" spans="2:15" x14ac:dyDescent="0.25">
      <c r="B31" s="9" t="str">
        <f>B30&amp;" % Sales"</f>
        <v>Depreciation % Sales</v>
      </c>
      <c r="C31" s="11">
        <f t="shared" ref="C31:L31" si="8">IFERROR(C30/C12,0)</f>
        <v>5.4751197062485789E-2</v>
      </c>
      <c r="D31" s="11">
        <f t="shared" si="8"/>
        <v>5.3139435994725509E-2</v>
      </c>
      <c r="E31" s="11">
        <f t="shared" si="8"/>
        <v>5.9651785650877934E-2</v>
      </c>
      <c r="F31" s="11">
        <f t="shared" si="8"/>
        <v>5.9107487146142057E-2</v>
      </c>
      <c r="G31" s="11">
        <f t="shared" si="8"/>
        <v>6.4168443519415197E-2</v>
      </c>
      <c r="H31" s="11">
        <f t="shared" si="8"/>
        <v>6.0372983825890202E-2</v>
      </c>
      <c r="I31" s="11">
        <f t="shared" si="8"/>
        <v>5.161236476172569E-2</v>
      </c>
      <c r="J31" s="11">
        <f t="shared" si="8"/>
        <v>4.566715549245904E-2</v>
      </c>
      <c r="K31" s="11">
        <f t="shared" si="8"/>
        <v>4.4357389715764653E-2</v>
      </c>
      <c r="L31" s="11">
        <f t="shared" si="8"/>
        <v>5.285949744276653E-2</v>
      </c>
    </row>
    <row r="32" spans="2:15" x14ac:dyDescent="0.25">
      <c r="B32" s="9"/>
      <c r="C32" s="11"/>
      <c r="D32" s="11"/>
      <c r="E32" s="11"/>
      <c r="F32" s="11"/>
      <c r="G32" s="11"/>
      <c r="H32" s="11"/>
      <c r="I32" s="11"/>
      <c r="J32" s="11"/>
      <c r="K32" s="11"/>
      <c r="L32" s="11"/>
    </row>
    <row r="33" spans="2:12" x14ac:dyDescent="0.25">
      <c r="B33" s="19" t="s">
        <v>99</v>
      </c>
      <c r="C33" s="23">
        <f>IFERROR(C27-C30,0)</f>
        <v>3987.6100000000033</v>
      </c>
      <c r="D33" s="23">
        <f t="shared" ref="D33:L33" si="9">IFERROR(D27-D30,0)</f>
        <v>4512.1499999999969</v>
      </c>
      <c r="E33" s="23">
        <f t="shared" si="9"/>
        <v>4539.07</v>
      </c>
      <c r="F33" s="23">
        <f t="shared" si="9"/>
        <v>5246.3100000000049</v>
      </c>
      <c r="G33" s="23">
        <f t="shared" si="9"/>
        <v>7174.369999999999</v>
      </c>
      <c r="H33" s="23">
        <f t="shared" si="9"/>
        <v>9486.1999999999953</v>
      </c>
      <c r="I33" s="23">
        <f t="shared" si="9"/>
        <v>9469.0300000000007</v>
      </c>
      <c r="J33" s="23">
        <f t="shared" si="9"/>
        <v>8238.970000000003</v>
      </c>
      <c r="K33" s="23">
        <f t="shared" si="9"/>
        <v>10390.220000000005</v>
      </c>
      <c r="L33" s="23">
        <f t="shared" si="9"/>
        <v>9178.6700000000092</v>
      </c>
    </row>
    <row r="34" spans="2:12" x14ac:dyDescent="0.25">
      <c r="B34" s="9" t="str">
        <f>B33&amp;" % Sales"</f>
        <v>EBIT % Sales</v>
      </c>
      <c r="C34" s="11">
        <f t="shared" ref="C34:L34" si="10">IFERROR(C33/C12,0)</f>
        <v>0.15853265821818593</v>
      </c>
      <c r="D34" s="11">
        <f t="shared" si="10"/>
        <v>0.17781913967087201</v>
      </c>
      <c r="E34" s="11">
        <f t="shared" si="10"/>
        <v>0.14652266627758112</v>
      </c>
      <c r="F34" s="11">
        <f t="shared" si="10"/>
        <v>0.12653217649013837</v>
      </c>
      <c r="G34" s="11">
        <f t="shared" si="10"/>
        <v>0.16908764081170136</v>
      </c>
      <c r="H34" s="11">
        <f t="shared" si="10"/>
        <v>0.21209682107418973</v>
      </c>
      <c r="I34" s="11">
        <f t="shared" si="10"/>
        <v>0.18002358607596405</v>
      </c>
      <c r="J34" s="11">
        <f t="shared" si="10"/>
        <v>0.1302810342444764</v>
      </c>
      <c r="K34" s="11">
        <f t="shared" si="10"/>
        <v>0.14653070860411802</v>
      </c>
      <c r="L34" s="11">
        <f t="shared" si="10"/>
        <v>0.12084331894369753</v>
      </c>
    </row>
    <row r="35" spans="2:12" x14ac:dyDescent="0.25">
      <c r="B35" s="9"/>
      <c r="C35" s="11"/>
      <c r="D35" s="11"/>
      <c r="E35" s="11"/>
      <c r="F35" s="11"/>
      <c r="G35" s="11"/>
      <c r="H35" s="11"/>
      <c r="I35" s="11"/>
      <c r="J35" s="11"/>
      <c r="K35" s="11"/>
      <c r="L35" s="11"/>
    </row>
    <row r="36" spans="2:12" x14ac:dyDescent="0.25">
      <c r="B36" t="s">
        <v>6</v>
      </c>
      <c r="C36" s="22">
        <f>IFERROR('Data Sheet'!B27,0)</f>
        <v>566.29999999999995</v>
      </c>
      <c r="D36" s="22">
        <f>IFERROR('Data Sheet'!C27,0)</f>
        <v>640.1</v>
      </c>
      <c r="E36" s="22">
        <f>IFERROR('Data Sheet'!D27,0)</f>
        <v>1237.5999999999999</v>
      </c>
      <c r="F36" s="22">
        <f>IFERROR('Data Sheet'!E27,0)</f>
        <v>1777.86</v>
      </c>
      <c r="G36" s="22">
        <f>IFERROR('Data Sheet'!F27,0)</f>
        <v>1991.65</v>
      </c>
      <c r="H36" s="22">
        <f>IFERROR('Data Sheet'!G27,0)</f>
        <v>1485.65</v>
      </c>
      <c r="I36" s="22">
        <f>IFERROR('Data Sheet'!H27,0)</f>
        <v>944.71</v>
      </c>
      <c r="J36" s="22">
        <f>IFERROR('Data Sheet'!I27,0)</f>
        <v>822.72</v>
      </c>
      <c r="K36" s="22">
        <f>IFERROR('Data Sheet'!J27,0)</f>
        <v>968</v>
      </c>
      <c r="L36" s="22">
        <f>IFERROR('Data Sheet'!K27,0)</f>
        <v>1650.54</v>
      </c>
    </row>
    <row r="37" spans="2:12" x14ac:dyDescent="0.25">
      <c r="B37" s="9" t="str">
        <f>B36&amp;" % Sales"</f>
        <v>Interest % Sales</v>
      </c>
      <c r="C37" s="11">
        <f t="shared" ref="C37:L37" si="11">IFERROR(C36/C12,0)</f>
        <v>2.2513998196653787E-2</v>
      </c>
      <c r="D37" s="11">
        <f t="shared" si="11"/>
        <v>2.5225675410464027E-2</v>
      </c>
      <c r="E37" s="11">
        <f t="shared" si="11"/>
        <v>3.9950133350033022E-2</v>
      </c>
      <c r="F37" s="11">
        <f t="shared" si="11"/>
        <v>4.2878994053869704E-2</v>
      </c>
      <c r="G37" s="11">
        <f t="shared" si="11"/>
        <v>4.6939787022780406E-2</v>
      </c>
      <c r="H37" s="11">
        <f t="shared" si="11"/>
        <v>3.3216845757929429E-2</v>
      </c>
      <c r="I37" s="11">
        <f t="shared" si="11"/>
        <v>1.7960665664996732E-2</v>
      </c>
      <c r="J37" s="11">
        <f t="shared" si="11"/>
        <v>1.3009491780357931E-2</v>
      </c>
      <c r="K37" s="11">
        <f t="shared" si="11"/>
        <v>1.3651465120929698E-2</v>
      </c>
      <c r="L37" s="11">
        <f t="shared" si="11"/>
        <v>2.1730461128826976E-2</v>
      </c>
    </row>
    <row r="38" spans="2:12" x14ac:dyDescent="0.25">
      <c r="B38" s="9"/>
      <c r="C38" s="11"/>
      <c r="D38" s="11"/>
      <c r="E38" s="11"/>
      <c r="F38" s="11"/>
      <c r="G38" s="11"/>
      <c r="H38" s="11"/>
      <c r="I38" s="11"/>
      <c r="J38" s="11"/>
      <c r="K38" s="11"/>
      <c r="L38" s="11"/>
    </row>
    <row r="39" spans="2:12" x14ac:dyDescent="0.25">
      <c r="B39" s="20" t="s">
        <v>61</v>
      </c>
      <c r="C39" s="22">
        <f>IFERROR(C33-C36,0)</f>
        <v>3421.3100000000031</v>
      </c>
      <c r="D39" s="22">
        <f t="shared" ref="D39:L39" si="12">IFERROR(D33-D36,0)</f>
        <v>3872.049999999997</v>
      </c>
      <c r="E39" s="22">
        <f t="shared" si="12"/>
        <v>3301.47</v>
      </c>
      <c r="F39" s="22">
        <f t="shared" si="12"/>
        <v>3468.4500000000053</v>
      </c>
      <c r="G39" s="22">
        <f t="shared" si="12"/>
        <v>5182.7199999999993</v>
      </c>
      <c r="H39" s="22">
        <f t="shared" si="12"/>
        <v>8000.5499999999956</v>
      </c>
      <c r="I39" s="22">
        <f t="shared" si="12"/>
        <v>8524.32</v>
      </c>
      <c r="J39" s="22">
        <f t="shared" si="12"/>
        <v>7416.2500000000027</v>
      </c>
      <c r="K39" s="22">
        <f t="shared" si="12"/>
        <v>9422.2200000000048</v>
      </c>
      <c r="L39" s="22">
        <f t="shared" si="12"/>
        <v>7528.1300000000092</v>
      </c>
    </row>
    <row r="40" spans="2:12" x14ac:dyDescent="0.25">
      <c r="B40" s="9" t="str">
        <f>B39&amp;" % Sales"</f>
        <v>EBT % Sales</v>
      </c>
      <c r="C40" s="11">
        <f t="shared" ref="C40:L40" si="13">IFERROR(C39/C12,0)</f>
        <v>0.13601866002153212</v>
      </c>
      <c r="D40" s="11">
        <f t="shared" si="13"/>
        <v>0.15259346426040798</v>
      </c>
      <c r="E40" s="11">
        <f t="shared" si="13"/>
        <v>0.10657253292754809</v>
      </c>
      <c r="F40" s="11">
        <f t="shared" si="13"/>
        <v>8.3653182436268667E-2</v>
      </c>
      <c r="G40" s="11">
        <f t="shared" si="13"/>
        <v>0.12214785378892096</v>
      </c>
      <c r="H40" s="11">
        <f t="shared" si="13"/>
        <v>0.17887997531626029</v>
      </c>
      <c r="I40" s="11">
        <f t="shared" si="13"/>
        <v>0.16206292041096731</v>
      </c>
      <c r="J40" s="11">
        <f t="shared" si="13"/>
        <v>0.11727154246411846</v>
      </c>
      <c r="K40" s="11">
        <f t="shared" si="13"/>
        <v>0.13287924348318833</v>
      </c>
      <c r="L40" s="11">
        <f t="shared" si="13"/>
        <v>9.9112857814870559E-2</v>
      </c>
    </row>
    <row r="41" spans="2:12" x14ac:dyDescent="0.25">
      <c r="B41" s="9"/>
      <c r="C41" s="11"/>
      <c r="D41" s="11"/>
      <c r="E41" s="11"/>
      <c r="F41" s="11"/>
      <c r="G41" s="11"/>
      <c r="H41" s="11"/>
      <c r="I41" s="11"/>
      <c r="J41" s="11"/>
      <c r="K41" s="11"/>
      <c r="L41" s="11"/>
    </row>
    <row r="42" spans="2:12" x14ac:dyDescent="0.25">
      <c r="B42" t="s">
        <v>8</v>
      </c>
      <c r="C42" s="22">
        <f>IFERROR('Data Sheet'!B29,0)</f>
        <v>941.69</v>
      </c>
      <c r="D42" s="22">
        <f>IFERROR('Data Sheet'!C29,0)</f>
        <v>1158.54</v>
      </c>
      <c r="E42" s="22">
        <f>IFERROR('Data Sheet'!D29,0)</f>
        <v>1077.01</v>
      </c>
      <c r="F42" s="22">
        <f>IFERROR('Data Sheet'!E29,0)</f>
        <v>1068.07</v>
      </c>
      <c r="G42" s="22">
        <f>IFERROR('Data Sheet'!F29,0)</f>
        <v>-568.16</v>
      </c>
      <c r="H42" s="22">
        <f>IFERROR('Data Sheet'!G29,0)</f>
        <v>2538.6999999999998</v>
      </c>
      <c r="I42" s="22">
        <f>IFERROR('Data Sheet'!H29,0)</f>
        <v>1190.06</v>
      </c>
      <c r="J42" s="22">
        <f>IFERROR('Data Sheet'!I29,0)</f>
        <v>2342.85</v>
      </c>
      <c r="K42" s="22">
        <f>IFERROR('Data Sheet'!J29,0)</f>
        <v>2418.2600000000002</v>
      </c>
      <c r="L42" s="22">
        <f>IFERROR('Data Sheet'!K29,0)</f>
        <v>1488.49</v>
      </c>
    </row>
    <row r="43" spans="2:12" x14ac:dyDescent="0.25">
      <c r="B43" s="9" t="s">
        <v>62</v>
      </c>
      <c r="C43" s="11">
        <f>IFERROR(C42/C39,0)</f>
        <v>0.27524252406242028</v>
      </c>
      <c r="D43" s="11">
        <f t="shared" ref="D43:L43" si="14">IFERROR(D42/D39,0)</f>
        <v>0.2992058470319342</v>
      </c>
      <c r="E43" s="11">
        <f t="shared" si="14"/>
        <v>0.32622134988353674</v>
      </c>
      <c r="F43" s="11">
        <f t="shared" si="14"/>
        <v>0.30793870460868639</v>
      </c>
      <c r="G43" s="11">
        <f t="shared" si="14"/>
        <v>-0.10962583353914547</v>
      </c>
      <c r="H43" s="11">
        <f t="shared" si="14"/>
        <v>0.31731568454668757</v>
      </c>
      <c r="I43" s="11">
        <f t="shared" si="14"/>
        <v>0.13960761679523997</v>
      </c>
      <c r="J43" s="11">
        <f t="shared" si="14"/>
        <v>0.31590763526040777</v>
      </c>
      <c r="K43" s="11">
        <f t="shared" si="14"/>
        <v>0.25665501336203134</v>
      </c>
      <c r="L43" s="11">
        <f t="shared" si="14"/>
        <v>0.19772373750187605</v>
      </c>
    </row>
    <row r="44" spans="2:12" x14ac:dyDescent="0.25">
      <c r="B44" s="9"/>
      <c r="C44" s="11"/>
      <c r="D44" s="11"/>
      <c r="E44" s="11"/>
      <c r="F44" s="11"/>
      <c r="G44" s="11"/>
      <c r="H44" s="11"/>
      <c r="I44" s="11"/>
      <c r="J44" s="11"/>
      <c r="K44" s="11"/>
      <c r="L44" s="11"/>
    </row>
    <row r="45" spans="2:12" x14ac:dyDescent="0.25">
      <c r="B45" s="19" t="s">
        <v>63</v>
      </c>
      <c r="C45" s="23">
        <f t="shared" ref="C45:L45" si="15">IFERROR(C39-C42,0)</f>
        <v>2479.6200000000031</v>
      </c>
      <c r="D45" s="23">
        <f t="shared" si="15"/>
        <v>2713.509999999997</v>
      </c>
      <c r="E45" s="23">
        <f t="shared" si="15"/>
        <v>2224.46</v>
      </c>
      <c r="F45" s="23">
        <f t="shared" si="15"/>
        <v>2400.3800000000056</v>
      </c>
      <c r="G45" s="23">
        <f t="shared" si="15"/>
        <v>5750.8799999999992</v>
      </c>
      <c r="H45" s="23">
        <f t="shared" si="15"/>
        <v>5461.8499999999958</v>
      </c>
      <c r="I45" s="23">
        <f t="shared" si="15"/>
        <v>7334.26</v>
      </c>
      <c r="J45" s="23">
        <f t="shared" si="15"/>
        <v>5073.4000000000033</v>
      </c>
      <c r="K45" s="23">
        <f t="shared" si="15"/>
        <v>7003.9600000000046</v>
      </c>
      <c r="L45" s="23">
        <f t="shared" si="15"/>
        <v>6039.6400000000094</v>
      </c>
    </row>
    <row r="46" spans="2:12" x14ac:dyDescent="0.25">
      <c r="B46" s="9" t="str">
        <f>B45&amp;" % Sales"</f>
        <v>Net Profit % Sales</v>
      </c>
      <c r="C46" s="11">
        <f t="shared" ref="C46:L46" si="16">IFERROR(C45/C12,0)</f>
        <v>9.8580540717617404E-2</v>
      </c>
      <c r="D46" s="11">
        <f t="shared" si="16"/>
        <v>0.10693660753483544</v>
      </c>
      <c r="E46" s="11">
        <f t="shared" si="16"/>
        <v>7.180629737541569E-2</v>
      </c>
      <c r="F46" s="11">
        <f t="shared" si="16"/>
        <v>5.7893129800449986E-2</v>
      </c>
      <c r="G46" s="11">
        <f t="shared" si="16"/>
        <v>0.13553841407554909</v>
      </c>
      <c r="H46" s="11">
        <f t="shared" si="16"/>
        <v>0.12211855349708658</v>
      </c>
      <c r="I46" s="11">
        <f t="shared" si="16"/>
        <v>0.13943770232151551</v>
      </c>
      <c r="J46" s="11">
        <f t="shared" si="16"/>
        <v>8.0224566800938313E-2</v>
      </c>
      <c r="K46" s="11">
        <f t="shared" si="16"/>
        <v>9.8775119471474007E-2</v>
      </c>
      <c r="L46" s="11">
        <f t="shared" si="16"/>
        <v>7.9515893133222326E-2</v>
      </c>
    </row>
    <row r="47" spans="2:12" x14ac:dyDescent="0.25">
      <c r="B47" s="9"/>
      <c r="C47" s="12"/>
      <c r="D47" s="12"/>
      <c r="E47" s="12"/>
      <c r="F47" s="12"/>
      <c r="G47" s="12"/>
      <c r="H47" s="12"/>
      <c r="I47" s="12"/>
      <c r="J47" s="12"/>
      <c r="K47" s="12"/>
      <c r="L47" s="12"/>
    </row>
    <row r="48" spans="2:12" x14ac:dyDescent="0.25">
      <c r="B48" t="s">
        <v>38</v>
      </c>
      <c r="C48" s="14">
        <f>IFERROR('Data Sheet'!B93,0)</f>
        <v>27.44</v>
      </c>
      <c r="D48">
        <f>IFERROR('Data Sheet'!C93,0)</f>
        <v>27.45</v>
      </c>
      <c r="E48">
        <f>IFERROR('Data Sheet'!D93,0)</f>
        <v>27.46</v>
      </c>
      <c r="F48">
        <f>IFERROR('Data Sheet'!E93,0)</f>
        <v>27.46</v>
      </c>
      <c r="G48">
        <f>IFERROR('Data Sheet'!F93,0)</f>
        <v>28.86</v>
      </c>
      <c r="H48">
        <f>IFERROR('Data Sheet'!G93,0)</f>
        <v>28.87</v>
      </c>
      <c r="I48">
        <f>IFERROR('Data Sheet'!H93,0)</f>
        <v>28.87</v>
      </c>
      <c r="J48">
        <f>IFERROR('Data Sheet'!I93,0)</f>
        <v>28.87</v>
      </c>
      <c r="K48">
        <f>IFERROR('Data Sheet'!J93,0)</f>
        <v>28.87</v>
      </c>
      <c r="L48">
        <f>IFERROR('Data Sheet'!K93,0)</f>
        <v>29.47</v>
      </c>
    </row>
    <row r="50" spans="1:14" x14ac:dyDescent="0.25">
      <c r="B50" t="s">
        <v>64</v>
      </c>
      <c r="C50" s="24">
        <f>IFERROR(C45/C48,0)</f>
        <v>90.365160349854335</v>
      </c>
      <c r="D50" s="24">
        <f t="shared" ref="D50" si="17">IFERROR(D45/D48,0)</f>
        <v>98.852823315118286</v>
      </c>
      <c r="E50" s="24">
        <f t="shared" ref="E50:L50" si="18">IFERROR(E45/E48,0)</f>
        <v>81.007283321194464</v>
      </c>
      <c r="F50" s="24">
        <f t="shared" si="18"/>
        <v>87.413692643845792</v>
      </c>
      <c r="G50" s="24">
        <f t="shared" si="18"/>
        <v>199.26819126819123</v>
      </c>
      <c r="H50" s="24">
        <f t="shared" si="18"/>
        <v>189.18773813647368</v>
      </c>
      <c r="I50" s="24">
        <f t="shared" si="18"/>
        <v>254.04433668167647</v>
      </c>
      <c r="J50" s="24">
        <f t="shared" si="18"/>
        <v>175.73259438863883</v>
      </c>
      <c r="K50" s="24">
        <f t="shared" si="18"/>
        <v>242.603394527191</v>
      </c>
      <c r="L50" s="24">
        <f t="shared" si="18"/>
        <v>204.94197488971869</v>
      </c>
      <c r="N50" s="291"/>
    </row>
    <row r="51" spans="1:14" x14ac:dyDescent="0.25">
      <c r="B51" s="9" t="str">
        <f>B50&amp;" Growth"</f>
        <v>Earnings Per Share Growth</v>
      </c>
      <c r="C51" s="11" t="str">
        <f>IFERROR(C50/ABS(B50)-1,"-")</f>
        <v>-</v>
      </c>
      <c r="D51" s="11">
        <f t="shared" ref="D51:L51" si="19">IFERROR(D50/ABS(C50)-1,"-")</f>
        <v>9.3926275706294637E-2</v>
      </c>
      <c r="E51" s="11">
        <f t="shared" si="19"/>
        <v>-0.18052635620771973</v>
      </c>
      <c r="F51" s="11">
        <f t="shared" si="19"/>
        <v>7.9084362047420642E-2</v>
      </c>
      <c r="G51" s="11">
        <f t="shared" si="19"/>
        <v>1.2795992852067251</v>
      </c>
      <c r="H51" s="11">
        <f t="shared" si="19"/>
        <v>-5.0587367043194886E-2</v>
      </c>
      <c r="I51" s="11">
        <f t="shared" si="19"/>
        <v>0.34281607880113985</v>
      </c>
      <c r="J51" s="11">
        <f t="shared" si="19"/>
        <v>-0.30826013803710217</v>
      </c>
      <c r="K51" s="11">
        <f t="shared" si="19"/>
        <v>0.38052588008041943</v>
      </c>
      <c r="L51" s="11">
        <f t="shared" si="19"/>
        <v>-0.15523863427744089</v>
      </c>
    </row>
    <row r="52" spans="1:14" x14ac:dyDescent="0.25">
      <c r="B52" s="9"/>
      <c r="C52" s="11"/>
      <c r="D52" s="11" t="str">
        <f>IFERROR(IF(AND(C50&lt;0,D50&gt;0),"Profit Swing",IF(AND(C50&gt;0,D50&lt;0),"Loss-Making",IF(C50=0,"-","-"))),0)</f>
        <v>-</v>
      </c>
      <c r="E52" s="11" t="str">
        <f t="shared" ref="E52:L52" si="20">IFERROR(IF(AND(D50&lt;0,E50&gt;0),"Profit Swing",IF(AND(D50&gt;0,E50&lt;0),"Loss-Making",IF(D50=0,"-","-"))),0)</f>
        <v>-</v>
      </c>
      <c r="F52" s="11" t="str">
        <f t="shared" si="20"/>
        <v>-</v>
      </c>
      <c r="G52" s="11" t="str">
        <f t="shared" si="20"/>
        <v>-</v>
      </c>
      <c r="H52" s="11" t="str">
        <f t="shared" si="20"/>
        <v>-</v>
      </c>
      <c r="I52" s="11" t="str">
        <f t="shared" si="20"/>
        <v>-</v>
      </c>
      <c r="J52" s="11" t="str">
        <f t="shared" si="20"/>
        <v>-</v>
      </c>
      <c r="K52" s="11" t="str">
        <f t="shared" si="20"/>
        <v>-</v>
      </c>
      <c r="L52" s="11" t="str">
        <f t="shared" si="20"/>
        <v>-</v>
      </c>
    </row>
    <row r="53" spans="1:14" x14ac:dyDescent="0.25">
      <c r="C53" s="14"/>
      <c r="D53" s="14"/>
      <c r="E53" s="14"/>
      <c r="F53" s="14"/>
      <c r="G53" s="14"/>
      <c r="H53" s="14"/>
      <c r="I53" s="14"/>
      <c r="J53" s="14"/>
      <c r="K53" s="14"/>
      <c r="L53" s="14"/>
    </row>
    <row r="54" spans="1:14" x14ac:dyDescent="0.25">
      <c r="B54" t="s">
        <v>65</v>
      </c>
      <c r="C54" s="21">
        <f>IFERROR('Data Sheet'!B31/Historical_FS!C48,0)</f>
        <v>9.5010932944606399</v>
      </c>
      <c r="D54" s="21">
        <f>IFERROR('Data Sheet'!C31/Historical_FS!D48,0)</f>
        <v>10.000364298724955</v>
      </c>
      <c r="E54" s="21">
        <f>IFERROR('Data Sheet'!D31/Historical_FS!E48,0)</f>
        <v>10.500364166059722</v>
      </c>
      <c r="F54" s="21">
        <f>IFERROR('Data Sheet'!E31/Historical_FS!F48,0)</f>
        <v>11.501820830298614</v>
      </c>
      <c r="G54" s="21">
        <f>IFERROR('Data Sheet'!F31/Historical_FS!G48,0)</f>
        <v>13.001386001386003</v>
      </c>
      <c r="H54" s="21">
        <f>IFERROR('Data Sheet'!G31/Historical_FS!H48,0)</f>
        <v>36.993418773813644</v>
      </c>
      <c r="I54" s="21">
        <f>IFERROR('Data Sheet'!H31/Historical_FS!I48,0)</f>
        <v>37.996189816418429</v>
      </c>
      <c r="J54" s="21">
        <f>IFERROR('Data Sheet'!I31/Historical_FS!J48,0)</f>
        <v>37.998614478697611</v>
      </c>
      <c r="K54" s="21">
        <f>IFERROR('Data Sheet'!J31/Historical_FS!K48,0)</f>
        <v>69.997575337720818</v>
      </c>
      <c r="L54" s="21">
        <f>IFERROR('Data Sheet'!K31/Historical_FS!L48,0)</f>
        <v>77.494740413980324</v>
      </c>
    </row>
    <row r="55" spans="1:14" x14ac:dyDescent="0.25">
      <c r="B55" s="9" t="s">
        <v>435</v>
      </c>
      <c r="C55" s="11" t="str">
        <f>IFERROR(C54/ABS(B54)-1,"-")</f>
        <v>-</v>
      </c>
      <c r="D55" s="11">
        <f t="shared" ref="D55:L55" si="21">IFERROR(D54/ABS(C54)-1,"-")</f>
        <v>5.254879504818688E-2</v>
      </c>
      <c r="E55" s="11">
        <f t="shared" si="21"/>
        <v>4.9998165306689435E-2</v>
      </c>
      <c r="F55" s="11">
        <f t="shared" si="21"/>
        <v>9.5373517375320738E-2</v>
      </c>
      <c r="G55" s="11">
        <f t="shared" si="21"/>
        <v>0.13037632851462666</v>
      </c>
      <c r="H55" s="11">
        <f t="shared" si="21"/>
        <v>1.8453442402117735</v>
      </c>
      <c r="I55" s="11">
        <f t="shared" si="21"/>
        <v>2.7106741573033943E-2</v>
      </c>
      <c r="J55" s="11">
        <f t="shared" si="21"/>
        <v>6.381330051508094E-5</v>
      </c>
      <c r="K55" s="11">
        <f t="shared" si="21"/>
        <v>0.84210862153834931</v>
      </c>
      <c r="L55" s="11">
        <f t="shared" si="21"/>
        <v>0.10710606817575541</v>
      </c>
    </row>
    <row r="56" spans="1:14" x14ac:dyDescent="0.25">
      <c r="B56" s="9" t="s">
        <v>66</v>
      </c>
      <c r="C56" s="12">
        <f>IFERROR(C54/C50,0)</f>
        <v>0.10514111033142161</v>
      </c>
      <c r="D56" s="12">
        <f t="shared" ref="D56" si="22">IFERROR(D54/D50,0)</f>
        <v>0.1011641748141707</v>
      </c>
      <c r="E56" s="12">
        <f t="shared" ref="E56:L56" si="23">IFERROR(E54/E50,0)</f>
        <v>0.12962247017253625</v>
      </c>
      <c r="F56" s="12">
        <f t="shared" si="23"/>
        <v>0.13157916663194963</v>
      </c>
      <c r="G56" s="12">
        <f t="shared" si="23"/>
        <v>6.5245666750132172E-2</v>
      </c>
      <c r="H56" s="12">
        <f t="shared" si="23"/>
        <v>0.19553814183838825</v>
      </c>
      <c r="I56" s="12">
        <f t="shared" si="23"/>
        <v>0.14956519130764387</v>
      </c>
      <c r="J56" s="12">
        <f t="shared" si="23"/>
        <v>0.21622974730949646</v>
      </c>
      <c r="K56" s="12">
        <f t="shared" si="23"/>
        <v>0.28852677628084666</v>
      </c>
      <c r="L56" s="12">
        <f t="shared" si="23"/>
        <v>0.37813015345285422</v>
      </c>
    </row>
    <row r="57" spans="1:14" x14ac:dyDescent="0.25">
      <c r="B57" s="9" t="s">
        <v>67</v>
      </c>
      <c r="C57" s="12">
        <f t="shared" ref="C57:L57" si="24">IFERROR(IF(C50&gt;C54,1-C56,0),0)</f>
        <v>0.89485888966857841</v>
      </c>
      <c r="D57" s="12">
        <f t="shared" si="24"/>
        <v>0.89883582518582927</v>
      </c>
      <c r="E57" s="12">
        <f t="shared" si="24"/>
        <v>0.87037752982746375</v>
      </c>
      <c r="F57" s="12">
        <f t="shared" si="24"/>
        <v>0.86842083336805032</v>
      </c>
      <c r="G57" s="12">
        <f t="shared" si="24"/>
        <v>0.93475433324986779</v>
      </c>
      <c r="H57" s="12">
        <f t="shared" si="24"/>
        <v>0.80446185816161175</v>
      </c>
      <c r="I57" s="12">
        <f t="shared" si="24"/>
        <v>0.8504348086923561</v>
      </c>
      <c r="J57" s="12">
        <f t="shared" si="24"/>
        <v>0.78377025269050349</v>
      </c>
      <c r="K57" s="12">
        <f t="shared" si="24"/>
        <v>0.71147322371915334</v>
      </c>
      <c r="L57" s="12">
        <f t="shared" si="24"/>
        <v>0.62186984654714572</v>
      </c>
    </row>
    <row r="59" spans="1:14" s="27" customFormat="1" x14ac:dyDescent="0.25">
      <c r="A59" s="27" t="s">
        <v>56</v>
      </c>
      <c r="B59" s="93" t="s">
        <v>68</v>
      </c>
      <c r="C59" s="94"/>
      <c r="D59" s="94"/>
      <c r="E59" s="94"/>
      <c r="F59" s="94"/>
      <c r="G59" s="94"/>
      <c r="H59" s="94"/>
      <c r="I59" s="94"/>
      <c r="J59" s="94"/>
      <c r="K59" s="94"/>
      <c r="L59" s="94"/>
    </row>
    <row r="60" spans="1:14" s="15" customFormat="1" x14ac:dyDescent="0.25">
      <c r="B60" s="16" t="s">
        <v>70</v>
      </c>
    </row>
    <row r="61" spans="1:14" x14ac:dyDescent="0.25">
      <c r="B61" s="46" t="s">
        <v>10</v>
      </c>
      <c r="C61" s="13">
        <f>IFERROR('Data Sheet'!B57,0)</f>
        <v>274.43</v>
      </c>
      <c r="D61" s="13">
        <f>IFERROR('Data Sheet'!C57,0)</f>
        <v>274.51</v>
      </c>
      <c r="E61" s="13">
        <f>IFERROR('Data Sheet'!D57,0)</f>
        <v>274.61</v>
      </c>
      <c r="F61" s="13">
        <f>IFERROR('Data Sheet'!E57,0)</f>
        <v>274.64</v>
      </c>
      <c r="G61" s="13">
        <f>IFERROR('Data Sheet'!F57,0)</f>
        <v>288.63</v>
      </c>
      <c r="H61" s="13">
        <f>IFERROR('Data Sheet'!G57,0)</f>
        <v>288.64999999999998</v>
      </c>
      <c r="I61" s="13">
        <f>IFERROR('Data Sheet'!H57,0)</f>
        <v>288.67</v>
      </c>
      <c r="J61" s="13">
        <f>IFERROR('Data Sheet'!I57,0)</f>
        <v>288.69</v>
      </c>
      <c r="K61" s="13">
        <f>IFERROR('Data Sheet'!J57,0)</f>
        <v>288.69</v>
      </c>
      <c r="L61" s="13">
        <f>IFERROR('Data Sheet'!K57,0)</f>
        <v>294.68</v>
      </c>
      <c r="N61" s="290"/>
    </row>
    <row r="62" spans="1:14" x14ac:dyDescent="0.25">
      <c r="B62" s="46" t="s">
        <v>11</v>
      </c>
      <c r="C62" s="13">
        <f>IFERROR('Data Sheet'!B58,0)</f>
        <v>21671.200000000001</v>
      </c>
      <c r="D62" s="13">
        <f>IFERROR('Data Sheet'!C58,0)</f>
        <v>24117.38</v>
      </c>
      <c r="E62" s="13">
        <f>IFERROR('Data Sheet'!D58,0)</f>
        <v>26106.55</v>
      </c>
      <c r="F62" s="13">
        <f>IFERROR('Data Sheet'!E58,0)</f>
        <v>33476.01</v>
      </c>
      <c r="G62" s="13">
        <f>IFERROR('Data Sheet'!F58,0)</f>
        <v>38755.129999999997</v>
      </c>
      <c r="H62" s="13">
        <f>IFERROR('Data Sheet'!G58,0)</f>
        <v>43886.03</v>
      </c>
      <c r="I62" s="13">
        <f>IFERROR('Data Sheet'!H58,0)</f>
        <v>50146.6</v>
      </c>
      <c r="J62" s="13">
        <f>IFERROR('Data Sheet'!I58,0)</f>
        <v>54035.85</v>
      </c>
      <c r="K62" s="13">
        <f>IFERROR('Data Sheet'!J58,0)</f>
        <v>59938.79</v>
      </c>
      <c r="L62" s="13">
        <f>IFERROR('Data Sheet'!K58,0)</f>
        <v>70412.09</v>
      </c>
    </row>
    <row r="63" spans="1:14" x14ac:dyDescent="0.25">
      <c r="B63" s="46" t="s">
        <v>35</v>
      </c>
      <c r="C63" s="13">
        <f>IFERROR('Data Sheet'!B59,0)</f>
        <v>10615.99</v>
      </c>
      <c r="D63" s="13">
        <f>IFERROR('Data Sheet'!C59,0)</f>
        <v>8474.49</v>
      </c>
      <c r="E63" s="13">
        <f>IFERROR('Data Sheet'!D59,0)</f>
        <v>19480.22</v>
      </c>
      <c r="F63" s="13">
        <f>IFERROR('Data Sheet'!E59,0)</f>
        <v>25337</v>
      </c>
      <c r="G63" s="13">
        <f>IFERROR('Data Sheet'!F59,0)</f>
        <v>23018.959999999999</v>
      </c>
      <c r="H63" s="13">
        <f>IFERROR('Data Sheet'!G59,0)</f>
        <v>21719.39</v>
      </c>
      <c r="I63" s="13">
        <f>IFERROR('Data Sheet'!H59,0)</f>
        <v>11298.8</v>
      </c>
      <c r="J63" s="13">
        <f>IFERROR('Data Sheet'!I59,0)</f>
        <v>11057.74</v>
      </c>
      <c r="K63" s="13">
        <f>IFERROR('Data Sheet'!J59,0)</f>
        <v>11402.95</v>
      </c>
      <c r="L63" s="13">
        <f>IFERROR('Data Sheet'!K59,0)</f>
        <v>24102.18</v>
      </c>
    </row>
    <row r="64" spans="1:14" x14ac:dyDescent="0.25">
      <c r="B64" s="46" t="s">
        <v>36</v>
      </c>
      <c r="C64" s="13">
        <f>IFERROR('Data Sheet'!B60,0)</f>
        <v>8631.49</v>
      </c>
      <c r="D64" s="13">
        <f>IFERROR('Data Sheet'!C60,0)</f>
        <v>9342.73</v>
      </c>
      <c r="E64" s="13">
        <f>IFERROR('Data Sheet'!D60,0)</f>
        <v>11279.71</v>
      </c>
      <c r="F64" s="13">
        <f>IFERROR('Data Sheet'!E60,0)</f>
        <v>17437.72</v>
      </c>
      <c r="G64" s="13">
        <f>IFERROR('Data Sheet'!F60,0)</f>
        <v>17151.09</v>
      </c>
      <c r="H64" s="13">
        <f>IFERROR('Data Sheet'!G60,0)</f>
        <v>20282.28</v>
      </c>
      <c r="I64" s="13">
        <f>IFERROR('Data Sheet'!H60,0)</f>
        <v>22077.37</v>
      </c>
      <c r="J64" s="13">
        <f>IFERROR('Data Sheet'!I60,0)</f>
        <v>25998.12</v>
      </c>
      <c r="K64" s="13">
        <f>IFERROR('Data Sheet'!J60,0)</f>
        <v>29166.68</v>
      </c>
      <c r="L64" s="13">
        <f>IFERROR('Data Sheet'!K60,0)</f>
        <v>38823.11</v>
      </c>
    </row>
    <row r="65" spans="2:12" x14ac:dyDescent="0.25">
      <c r="B65" s="49" t="s">
        <v>69</v>
      </c>
      <c r="C65" s="50">
        <f>IFERROR(SUM(C61:C64),0)</f>
        <v>41193.11</v>
      </c>
      <c r="D65" s="50">
        <f t="shared" ref="D65:L65" si="25">IFERROR(SUM(D61:D64),0)</f>
        <v>42209.11</v>
      </c>
      <c r="E65" s="50">
        <f t="shared" si="25"/>
        <v>57141.090000000004</v>
      </c>
      <c r="F65" s="50">
        <f t="shared" si="25"/>
        <v>76525.37</v>
      </c>
      <c r="G65" s="50">
        <f t="shared" si="25"/>
        <v>79213.81</v>
      </c>
      <c r="H65" s="50">
        <f t="shared" si="25"/>
        <v>86176.35</v>
      </c>
      <c r="I65" s="50">
        <f t="shared" si="25"/>
        <v>83811.439999999988</v>
      </c>
      <c r="J65" s="50">
        <f t="shared" si="25"/>
        <v>91380.4</v>
      </c>
      <c r="K65" s="50">
        <f t="shared" si="25"/>
        <v>100797.11000000002</v>
      </c>
      <c r="L65" s="50">
        <f t="shared" si="25"/>
        <v>133632.06</v>
      </c>
    </row>
    <row r="67" spans="2:12" x14ac:dyDescent="0.25">
      <c r="B67" s="17" t="s">
        <v>71</v>
      </c>
    </row>
    <row r="68" spans="2:12" x14ac:dyDescent="0.25">
      <c r="B68" s="18" t="s">
        <v>13</v>
      </c>
      <c r="C68" s="13">
        <f>IFERROR('Data Sheet'!B62,0)</f>
        <v>25309.42</v>
      </c>
      <c r="D68" s="13">
        <f>IFERROR('Data Sheet'!C62,0)</f>
        <v>25903.75</v>
      </c>
      <c r="E68" s="13">
        <f>IFERROR('Data Sheet'!D62,0)</f>
        <v>39715.300000000003</v>
      </c>
      <c r="F68" s="13">
        <f>IFERROR('Data Sheet'!E62,0)</f>
        <v>56644.62</v>
      </c>
      <c r="G68" s="13">
        <f>IFERROR('Data Sheet'!F62,0)</f>
        <v>57150.96</v>
      </c>
      <c r="H68" s="13">
        <f>IFERROR('Data Sheet'!G62,0)</f>
        <v>55411.61</v>
      </c>
      <c r="I68" s="13">
        <f>IFERROR('Data Sheet'!H62,0)</f>
        <v>55487.57</v>
      </c>
      <c r="J68" s="13">
        <f>IFERROR('Data Sheet'!I62,0)</f>
        <v>59579</v>
      </c>
      <c r="K68" s="13">
        <f>IFERROR('Data Sheet'!J62,0)</f>
        <v>62877.61</v>
      </c>
      <c r="L68" s="13">
        <f>IFERROR('Data Sheet'!K62,0)</f>
        <v>94564.22</v>
      </c>
    </row>
    <row r="69" spans="2:12" x14ac:dyDescent="0.25">
      <c r="B69" s="18" t="s">
        <v>14</v>
      </c>
      <c r="C69" s="13">
        <f>IFERROR('Data Sheet'!B63,0)</f>
        <v>1469.09</v>
      </c>
      <c r="D69" s="13">
        <f>IFERROR('Data Sheet'!C63,0)</f>
        <v>921.48</v>
      </c>
      <c r="E69" s="13">
        <f>IFERROR('Data Sheet'!D63,0)</f>
        <v>1511.21</v>
      </c>
      <c r="F69" s="13">
        <f>IFERROR('Data Sheet'!E63,0)</f>
        <v>1153.32</v>
      </c>
      <c r="G69" s="13">
        <f>IFERROR('Data Sheet'!F63,0)</f>
        <v>919.59</v>
      </c>
      <c r="H69" s="13">
        <f>IFERROR('Data Sheet'!G63,0)</f>
        <v>1686.68</v>
      </c>
      <c r="I69" s="13">
        <f>IFERROR('Data Sheet'!H63,0)</f>
        <v>4784.67</v>
      </c>
      <c r="J69" s="13">
        <f>IFERROR('Data Sheet'!I63,0)</f>
        <v>4040.39</v>
      </c>
      <c r="K69" s="13">
        <f>IFERROR('Data Sheet'!J63,0)</f>
        <v>6811.18</v>
      </c>
      <c r="L69" s="13">
        <f>IFERROR('Data Sheet'!K63,0)</f>
        <v>6234.19</v>
      </c>
    </row>
    <row r="70" spans="2:12" x14ac:dyDescent="0.25">
      <c r="B70" s="18" t="s">
        <v>15</v>
      </c>
      <c r="C70" s="13">
        <f>IFERROR('Data Sheet'!B64,0)</f>
        <v>5095.18</v>
      </c>
      <c r="D70" s="13">
        <f>IFERROR('Data Sheet'!C64,0)</f>
        <v>6690.51</v>
      </c>
      <c r="E70" s="13">
        <f>IFERROR('Data Sheet'!D64,0)</f>
        <v>5446.9</v>
      </c>
      <c r="F70" s="13">
        <f>IFERROR('Data Sheet'!E64,0)</f>
        <v>2921.33</v>
      </c>
      <c r="G70" s="13">
        <f>IFERROR('Data Sheet'!F64,0)</f>
        <v>5928.69</v>
      </c>
      <c r="H70" s="13">
        <f>IFERROR('Data Sheet'!G64,0)</f>
        <v>12178.11</v>
      </c>
      <c r="I70" s="13">
        <f>IFERROR('Data Sheet'!H64,0)</f>
        <v>6335.77</v>
      </c>
      <c r="J70" s="13">
        <f>IFERROR('Data Sheet'!I64,0)</f>
        <v>7296.95</v>
      </c>
      <c r="K70" s="13">
        <f>IFERROR('Data Sheet'!J64,0)</f>
        <v>8248.9500000000007</v>
      </c>
      <c r="L70" s="13">
        <f>IFERROR('Data Sheet'!K64,0)</f>
        <v>5156.47</v>
      </c>
    </row>
    <row r="71" spans="2:12" x14ac:dyDescent="0.25">
      <c r="B71" s="18" t="s">
        <v>37</v>
      </c>
      <c r="C71" s="13">
        <f>IFERROR('Data Sheet'!B65-SUM('Data Sheet'!B67:B69),0)</f>
        <v>2669.67</v>
      </c>
      <c r="D71" s="13">
        <f>IFERROR('Data Sheet'!C65-SUM('Data Sheet'!C67:C69),0)</f>
        <v>2286.8600000000006</v>
      </c>
      <c r="E71" s="13">
        <f>IFERROR('Data Sheet'!D65-SUM('Data Sheet'!D67:D69),0)</f>
        <v>4760.3900000000003</v>
      </c>
      <c r="F71" s="13">
        <f>IFERROR('Data Sheet'!E65-SUM('Data Sheet'!E67:E69),0)</f>
        <v>8180.43</v>
      </c>
      <c r="G71" s="13">
        <f>IFERROR('Data Sheet'!F65-SUM('Data Sheet'!F67:F69),0)</f>
        <v>8108.09</v>
      </c>
      <c r="H71" s="13">
        <f>IFERROR('Data Sheet'!G65-SUM('Data Sheet'!G67:G69),0)</f>
        <v>8302.7000000000007</v>
      </c>
      <c r="I71" s="13">
        <f>IFERROR('Data Sheet'!H65-SUM('Data Sheet'!H67:H69),0)</f>
        <v>8177.0599999999995</v>
      </c>
      <c r="J71" s="13">
        <f>IFERROR('Data Sheet'!I65-SUM('Data Sheet'!I67:I69),0)</f>
        <v>8835.6200000000008</v>
      </c>
      <c r="K71" s="13">
        <f>IFERROR('Data Sheet'!J65-SUM('Data Sheet'!J67:J69),0)</f>
        <v>9468.2599999999984</v>
      </c>
      <c r="L71" s="13">
        <f>IFERROR('Data Sheet'!K65-SUM('Data Sheet'!K67:K69),0)</f>
        <v>10550.630000000001</v>
      </c>
    </row>
    <row r="72" spans="2:12" x14ac:dyDescent="0.25">
      <c r="B72" s="49" t="s">
        <v>72</v>
      </c>
      <c r="C72" s="50">
        <f>IFERROR(SUM(C68:C71),0)</f>
        <v>34543.360000000001</v>
      </c>
      <c r="D72" s="50">
        <f t="shared" ref="D72:L72" si="26">IFERROR(SUM(D68:D71),0)</f>
        <v>35802.6</v>
      </c>
      <c r="E72" s="50">
        <f t="shared" si="26"/>
        <v>51433.8</v>
      </c>
      <c r="F72" s="50">
        <f t="shared" si="26"/>
        <v>68899.700000000012</v>
      </c>
      <c r="G72" s="50">
        <f t="shared" si="26"/>
        <v>72107.33</v>
      </c>
      <c r="H72" s="50">
        <f t="shared" si="26"/>
        <v>77579.099999999991</v>
      </c>
      <c r="I72" s="50">
        <f t="shared" si="26"/>
        <v>74785.069999999992</v>
      </c>
      <c r="J72" s="50">
        <f t="shared" si="26"/>
        <v>79751.959999999992</v>
      </c>
      <c r="K72" s="50">
        <f t="shared" si="26"/>
        <v>87406</v>
      </c>
      <c r="L72" s="50">
        <f t="shared" si="26"/>
        <v>116505.51000000001</v>
      </c>
    </row>
    <row r="73" spans="2:12" x14ac:dyDescent="0.25">
      <c r="D73" s="32"/>
    </row>
    <row r="74" spans="2:12" x14ac:dyDescent="0.25">
      <c r="B74" s="17" t="s">
        <v>73</v>
      </c>
    </row>
    <row r="75" spans="2:12" x14ac:dyDescent="0.25">
      <c r="B75" s="18" t="s">
        <v>42</v>
      </c>
      <c r="C75" s="13">
        <f>IFERROR('Data Sheet'!B67,0)</f>
        <v>1928.21</v>
      </c>
      <c r="D75" s="13">
        <f>IFERROR('Data Sheet'!C67,0)</f>
        <v>1757.09</v>
      </c>
      <c r="E75" s="13">
        <f>IFERROR('Data Sheet'!D67,0)</f>
        <v>2220.63</v>
      </c>
      <c r="F75" s="13">
        <f>IFERROR('Data Sheet'!E67,0)</f>
        <v>2787.03</v>
      </c>
      <c r="G75" s="13">
        <f>IFERROR('Data Sheet'!F67,0)</f>
        <v>2383.2199999999998</v>
      </c>
      <c r="H75" s="13">
        <f>IFERROR('Data Sheet'!G67,0)</f>
        <v>2571.73</v>
      </c>
      <c r="I75" s="13">
        <f>IFERROR('Data Sheet'!H67,0)</f>
        <v>3071.61</v>
      </c>
      <c r="J75" s="13">
        <f>IFERROR('Data Sheet'!I67,0)</f>
        <v>3867.02</v>
      </c>
      <c r="K75" s="13">
        <f>IFERROR('Data Sheet'!J67,0)</f>
        <v>4278.16</v>
      </c>
      <c r="L75" s="13">
        <f>IFERROR('Data Sheet'!K67,0)</f>
        <v>5890.25</v>
      </c>
    </row>
    <row r="76" spans="2:12" x14ac:dyDescent="0.25">
      <c r="B76" s="18" t="s">
        <v>29</v>
      </c>
      <c r="C76" s="13">
        <f>IFERROR('Data Sheet'!B68,0)</f>
        <v>2454.58</v>
      </c>
      <c r="D76" s="13">
        <f>IFERROR('Data Sheet'!C68,0)</f>
        <v>2400.64</v>
      </c>
      <c r="E76" s="13">
        <f>IFERROR('Data Sheet'!D68,0)</f>
        <v>3267.59</v>
      </c>
      <c r="F76" s="13">
        <f>IFERROR('Data Sheet'!E68,0)</f>
        <v>4098.96</v>
      </c>
      <c r="G76" s="13">
        <f>IFERROR('Data Sheet'!F68,0)</f>
        <v>4183.3500000000004</v>
      </c>
      <c r="H76" s="13">
        <f>IFERROR('Data Sheet'!G68,0)</f>
        <v>4017.97</v>
      </c>
      <c r="I76" s="13">
        <f>IFERROR('Data Sheet'!H68,0)</f>
        <v>5595.58</v>
      </c>
      <c r="J76" s="13">
        <f>IFERROR('Data Sheet'!I68,0)</f>
        <v>6611.83</v>
      </c>
      <c r="K76" s="13">
        <f>IFERROR('Data Sheet'!J68,0)</f>
        <v>8329.74</v>
      </c>
      <c r="L76" s="13">
        <f>IFERROR('Data Sheet'!K68,0)</f>
        <v>9562.98</v>
      </c>
    </row>
    <row r="77" spans="2:12" x14ac:dyDescent="0.25">
      <c r="B77" s="18" t="s">
        <v>51</v>
      </c>
      <c r="C77" s="13">
        <f>IFERROR('Data Sheet'!B69,0)</f>
        <v>2266.96</v>
      </c>
      <c r="D77" s="13">
        <f>IFERROR('Data Sheet'!C69,0)</f>
        <v>2248.7800000000002</v>
      </c>
      <c r="E77" s="13">
        <f>IFERROR('Data Sheet'!D69,0)</f>
        <v>219.07</v>
      </c>
      <c r="F77" s="13">
        <f>IFERROR('Data Sheet'!E69,0)</f>
        <v>739.68</v>
      </c>
      <c r="G77" s="13">
        <f>IFERROR('Data Sheet'!F69,0)</f>
        <v>539.91</v>
      </c>
      <c r="H77" s="13">
        <f>IFERROR('Data Sheet'!G69,0)</f>
        <v>2007.55</v>
      </c>
      <c r="I77" s="13">
        <f>IFERROR('Data Sheet'!H69,0)</f>
        <v>359.18</v>
      </c>
      <c r="J77" s="13">
        <f>IFERROR('Data Sheet'!I69,0)</f>
        <v>1149.5899999999999</v>
      </c>
      <c r="K77" s="13">
        <f>IFERROR('Data Sheet'!J69,0)</f>
        <v>783.21</v>
      </c>
      <c r="L77" s="13">
        <f>IFERROR('Data Sheet'!K69,0)</f>
        <v>1673.32</v>
      </c>
    </row>
    <row r="78" spans="2:12" x14ac:dyDescent="0.25">
      <c r="B78" s="49" t="s">
        <v>74</v>
      </c>
      <c r="C78" s="50">
        <f>IFERROR(SUM(C75:C77),0)</f>
        <v>6649.75</v>
      </c>
      <c r="D78" s="50">
        <f t="shared" ref="D78:L78" si="27">IFERROR(SUM(D75:D77),0)</f>
        <v>6406.51</v>
      </c>
      <c r="E78" s="50">
        <f t="shared" si="27"/>
        <v>5707.29</v>
      </c>
      <c r="F78" s="50">
        <f t="shared" si="27"/>
        <v>7625.67</v>
      </c>
      <c r="G78" s="50">
        <f t="shared" si="27"/>
        <v>7106.48</v>
      </c>
      <c r="H78" s="50">
        <f t="shared" si="27"/>
        <v>8597.25</v>
      </c>
      <c r="I78" s="50">
        <f t="shared" si="27"/>
        <v>9026.3700000000008</v>
      </c>
      <c r="J78" s="50">
        <f t="shared" si="27"/>
        <v>11628.44</v>
      </c>
      <c r="K78" s="50">
        <f t="shared" si="27"/>
        <v>13391.11</v>
      </c>
      <c r="L78" s="50">
        <f t="shared" si="27"/>
        <v>17126.55</v>
      </c>
    </row>
    <row r="79" spans="2:12" x14ac:dyDescent="0.25">
      <c r="C79" s="13"/>
      <c r="D79" s="13"/>
      <c r="E79" s="13"/>
      <c r="F79" s="13"/>
      <c r="G79" s="13"/>
      <c r="H79" s="13"/>
      <c r="I79" s="13"/>
      <c r="J79" s="13"/>
      <c r="K79" s="13"/>
      <c r="L79" s="13"/>
    </row>
    <row r="80" spans="2:12" x14ac:dyDescent="0.25">
      <c r="B80" s="61" t="s">
        <v>75</v>
      </c>
      <c r="C80" s="62">
        <f>IFERROR(C72+C78,0)</f>
        <v>41193.11</v>
      </c>
      <c r="D80" s="62">
        <f t="shared" ref="D80:L80" si="28">IFERROR(D72+D78,0)</f>
        <v>42209.11</v>
      </c>
      <c r="E80" s="62">
        <f t="shared" si="28"/>
        <v>57141.090000000004</v>
      </c>
      <c r="F80" s="62">
        <f t="shared" si="28"/>
        <v>76525.37000000001</v>
      </c>
      <c r="G80" s="62">
        <f t="shared" si="28"/>
        <v>79213.81</v>
      </c>
      <c r="H80" s="62">
        <f t="shared" si="28"/>
        <v>86176.349999999991</v>
      </c>
      <c r="I80" s="62">
        <f t="shared" si="28"/>
        <v>83811.439999999988</v>
      </c>
      <c r="J80" s="62">
        <f t="shared" si="28"/>
        <v>91380.4</v>
      </c>
      <c r="K80" s="62">
        <f t="shared" si="28"/>
        <v>100797.11</v>
      </c>
      <c r="L80" s="62">
        <f t="shared" si="28"/>
        <v>133632.06</v>
      </c>
    </row>
    <row r="82" spans="1:12" x14ac:dyDescent="0.25">
      <c r="B82" s="34" t="s">
        <v>76</v>
      </c>
      <c r="C82" s="34" t="b">
        <f>C65=C80</f>
        <v>1</v>
      </c>
      <c r="D82" s="34" t="b">
        <f t="shared" ref="D82:L82" si="29">D65=D80</f>
        <v>1</v>
      </c>
      <c r="E82" s="34" t="b">
        <f t="shared" si="29"/>
        <v>1</v>
      </c>
      <c r="F82" s="34" t="b">
        <f t="shared" si="29"/>
        <v>1</v>
      </c>
      <c r="G82" s="34" t="b">
        <f t="shared" si="29"/>
        <v>1</v>
      </c>
      <c r="H82" s="34" t="b">
        <f t="shared" si="29"/>
        <v>1</v>
      </c>
      <c r="I82" s="34" t="b">
        <f t="shared" si="29"/>
        <v>1</v>
      </c>
      <c r="J82" s="34" t="b">
        <f t="shared" si="29"/>
        <v>1</v>
      </c>
      <c r="K82" s="34" t="b">
        <f t="shared" si="29"/>
        <v>1</v>
      </c>
      <c r="L82" s="34" t="b">
        <f t="shared" si="29"/>
        <v>1</v>
      </c>
    </row>
    <row r="84" spans="1:12" x14ac:dyDescent="0.25">
      <c r="A84" t="s">
        <v>56</v>
      </c>
      <c r="B84" s="93" t="s">
        <v>77</v>
      </c>
      <c r="C84" s="94"/>
      <c r="D84" s="94"/>
      <c r="E84" s="94"/>
      <c r="F84" s="94"/>
      <c r="G84" s="94"/>
      <c r="H84" s="94"/>
      <c r="I84" s="94"/>
      <c r="J84" s="94"/>
      <c r="K84" s="94"/>
      <c r="L84" s="94"/>
    </row>
    <row r="85" spans="1:12" s="15" customFormat="1" x14ac:dyDescent="0.25">
      <c r="B85" s="55"/>
      <c r="C85" s="56"/>
      <c r="D85" s="56"/>
      <c r="E85" s="56"/>
      <c r="F85" s="56"/>
      <c r="G85" s="56"/>
      <c r="H85" s="56"/>
      <c r="I85" s="56"/>
      <c r="J85" s="56"/>
      <c r="K85" s="56"/>
      <c r="L85" s="56"/>
    </row>
    <row r="86" spans="1:12" x14ac:dyDescent="0.25">
      <c r="B86" s="119" t="s">
        <v>17</v>
      </c>
      <c r="C86" s="62">
        <f>C87+C93+C94</f>
        <v>4525</v>
      </c>
      <c r="D86" s="62">
        <f t="shared" ref="D86:L86" si="30">D87+D93+D94</f>
        <v>5005</v>
      </c>
      <c r="E86" s="62">
        <f t="shared" si="30"/>
        <v>3888</v>
      </c>
      <c r="F86" s="62">
        <f t="shared" si="30"/>
        <v>5956</v>
      </c>
      <c r="G86" s="62">
        <f t="shared" si="30"/>
        <v>8973</v>
      </c>
      <c r="H86" s="62">
        <f t="shared" si="30"/>
        <v>12500</v>
      </c>
      <c r="I86" s="62">
        <f t="shared" si="30"/>
        <v>9283</v>
      </c>
      <c r="J86" s="62">
        <f t="shared" si="30"/>
        <v>9069</v>
      </c>
      <c r="K86" s="62">
        <f t="shared" si="30"/>
        <v>10897</v>
      </c>
      <c r="L86" s="62">
        <f t="shared" si="30"/>
        <v>10673</v>
      </c>
    </row>
    <row r="87" spans="1:12" x14ac:dyDescent="0.25">
      <c r="B87" s="57" t="s">
        <v>127</v>
      </c>
      <c r="C87" s="180">
        <f>'Raw FS'!C57</f>
        <v>4948</v>
      </c>
      <c r="D87" s="180">
        <f>'Raw FS'!D57</f>
        <v>5220</v>
      </c>
      <c r="E87" s="180">
        <f>'Raw FS'!E57</f>
        <v>5986</v>
      </c>
      <c r="F87" s="180">
        <f>'Raw FS'!F57</f>
        <v>7362</v>
      </c>
      <c r="G87" s="180">
        <f>'Raw FS'!G57</f>
        <v>9348</v>
      </c>
      <c r="H87" s="180">
        <f>'Raw FS'!H57</f>
        <v>11465</v>
      </c>
      <c r="I87" s="180">
        <f>'Raw FS'!I57</f>
        <v>11311</v>
      </c>
      <c r="J87" s="180">
        <f>'Raw FS'!J57</f>
        <v>10530</v>
      </c>
      <c r="K87" s="180">
        <f>'Raw FS'!K57</f>
        <v>13029</v>
      </c>
      <c r="L87" s="180">
        <f>'Raw FS'!L57</f>
        <v>12645</v>
      </c>
    </row>
    <row r="88" spans="1:12" x14ac:dyDescent="0.25">
      <c r="B88" s="58" t="s">
        <v>42</v>
      </c>
      <c r="C88" s="181">
        <f>'Raw FS'!C58</f>
        <v>-287</v>
      </c>
      <c r="D88" s="181">
        <f>'Raw FS'!D58</f>
        <v>156</v>
      </c>
      <c r="E88" s="181">
        <f>'Raw FS'!E58</f>
        <v>-454</v>
      </c>
      <c r="F88" s="181">
        <f>'Raw FS'!F58</f>
        <v>-279</v>
      </c>
      <c r="G88" s="181">
        <f>'Raw FS'!G58</f>
        <v>473</v>
      </c>
      <c r="H88" s="181">
        <f>'Raw FS'!H58</f>
        <v>-201</v>
      </c>
      <c r="I88" s="181">
        <f>'Raw FS'!I58</f>
        <v>-495</v>
      </c>
      <c r="J88" s="181">
        <f>'Raw FS'!J58</f>
        <v>-752</v>
      </c>
      <c r="K88" s="181">
        <f>'Raw FS'!K58</f>
        <v>-421</v>
      </c>
      <c r="L88" s="181">
        <f>'Raw FS'!L58</f>
        <v>-608</v>
      </c>
    </row>
    <row r="89" spans="1:12" x14ac:dyDescent="0.25">
      <c r="B89" s="58" t="s">
        <v>29</v>
      </c>
      <c r="C89" s="181">
        <f>'Raw FS'!C59</f>
        <v>374</v>
      </c>
      <c r="D89" s="181">
        <f>'Raw FS'!D59</f>
        <v>54</v>
      </c>
      <c r="E89" s="181">
        <f>'Raw FS'!E59</f>
        <v>-623</v>
      </c>
      <c r="F89" s="181">
        <f>'Raw FS'!F59</f>
        <v>-15</v>
      </c>
      <c r="G89" s="181">
        <f>'Raw FS'!G59</f>
        <v>-64</v>
      </c>
      <c r="H89" s="181">
        <f>'Raw FS'!H59</f>
        <v>165</v>
      </c>
      <c r="I89" s="181">
        <f>'Raw FS'!I59</f>
        <v>-1579</v>
      </c>
      <c r="J89" s="181">
        <f>'Raw FS'!J59</f>
        <v>-992</v>
      </c>
      <c r="K89" s="181">
        <f>'Raw FS'!K59</f>
        <v>-1712</v>
      </c>
      <c r="L89" s="181">
        <f>'Raw FS'!L59</f>
        <v>-317</v>
      </c>
    </row>
    <row r="90" spans="1:12" x14ac:dyDescent="0.25">
      <c r="B90" s="58" t="s">
        <v>128</v>
      </c>
      <c r="C90" s="181">
        <f>'Raw FS'!C60</f>
        <v>310</v>
      </c>
      <c r="D90" s="181">
        <f>'Raw FS'!D60</f>
        <v>482</v>
      </c>
      <c r="E90" s="181">
        <f>'Raw FS'!E60</f>
        <v>346</v>
      </c>
      <c r="F90" s="181">
        <f>'Raw FS'!F60</f>
        <v>766</v>
      </c>
      <c r="G90" s="181">
        <f>'Raw FS'!G60</f>
        <v>279</v>
      </c>
      <c r="H90" s="181">
        <f>'Raw FS'!H60</f>
        <v>2868</v>
      </c>
      <c r="I90" s="181">
        <f>'Raw FS'!I60</f>
        <v>2077</v>
      </c>
      <c r="J90" s="181">
        <f>'Raw FS'!J60</f>
        <v>1869</v>
      </c>
      <c r="K90" s="181">
        <f>'Raw FS'!K60</f>
        <v>1959</v>
      </c>
      <c r="L90" s="181">
        <f>'Raw FS'!L60</f>
        <v>-476</v>
      </c>
    </row>
    <row r="91" spans="1:12" x14ac:dyDescent="0.25">
      <c r="B91" s="58" t="s">
        <v>129</v>
      </c>
      <c r="C91" s="181">
        <f>'Raw FS'!C61</f>
        <v>0</v>
      </c>
      <c r="D91" s="181">
        <f>'Raw FS'!D61</f>
        <v>0</v>
      </c>
      <c r="E91" s="181">
        <f>'Raw FS'!E61</f>
        <v>0</v>
      </c>
      <c r="F91" s="181">
        <f>'Raw FS'!F61</f>
        <v>0</v>
      </c>
      <c r="G91" s="181">
        <f>'Raw FS'!G61</f>
        <v>0</v>
      </c>
      <c r="H91" s="181">
        <f>'Raw FS'!H61</f>
        <v>0</v>
      </c>
      <c r="I91" s="181">
        <f>'Raw FS'!I61</f>
        <v>0</v>
      </c>
      <c r="J91" s="181">
        <f>'Raw FS'!J61</f>
        <v>0</v>
      </c>
      <c r="K91" s="181">
        <f>'Raw FS'!K61</f>
        <v>0</v>
      </c>
      <c r="L91" s="181">
        <f>'Raw FS'!L61</f>
        <v>0</v>
      </c>
    </row>
    <row r="92" spans="1:12" x14ac:dyDescent="0.25">
      <c r="B92" s="59" t="s">
        <v>130</v>
      </c>
      <c r="C92" s="181">
        <f>'Raw FS'!C62</f>
        <v>32</v>
      </c>
      <c r="D92" s="181">
        <f>'Raw FS'!D62</f>
        <v>-162</v>
      </c>
      <c r="E92" s="181">
        <f>'Raw FS'!E62</f>
        <v>-525</v>
      </c>
      <c r="F92" s="181">
        <f>'Raw FS'!F62</f>
        <v>-1167</v>
      </c>
      <c r="G92" s="181">
        <f>'Raw FS'!G62</f>
        <v>-172</v>
      </c>
      <c r="H92" s="181">
        <f>'Raw FS'!H62</f>
        <v>-505</v>
      </c>
      <c r="I92" s="181">
        <f>'Raw FS'!I62</f>
        <v>-476</v>
      </c>
      <c r="J92" s="181">
        <f>'Raw FS'!J62</f>
        <v>-461</v>
      </c>
      <c r="K92" s="181">
        <f>'Raw FS'!K62</f>
        <v>-308</v>
      </c>
      <c r="L92" s="181">
        <f>'Raw FS'!L62</f>
        <v>729</v>
      </c>
    </row>
    <row r="93" spans="1:12" x14ac:dyDescent="0.25">
      <c r="B93" s="57" t="s">
        <v>131</v>
      </c>
      <c r="C93" s="180">
        <f>'Raw FS'!C63</f>
        <v>429</v>
      </c>
      <c r="D93" s="180">
        <f>'Raw FS'!D63</f>
        <v>529</v>
      </c>
      <c r="E93" s="180">
        <f>'Raw FS'!E63</f>
        <v>-1255</v>
      </c>
      <c r="F93" s="180">
        <f>'Raw FS'!F63</f>
        <v>-696</v>
      </c>
      <c r="G93" s="180">
        <f>'Raw FS'!G63</f>
        <v>516</v>
      </c>
      <c r="H93" s="180">
        <f>'Raw FS'!H63</f>
        <v>2326</v>
      </c>
      <c r="I93" s="180">
        <f>'Raw FS'!I63</f>
        <v>-473</v>
      </c>
      <c r="J93" s="180">
        <f>'Raw FS'!J63</f>
        <v>-337</v>
      </c>
      <c r="K93" s="180">
        <f>'Raw FS'!K63</f>
        <v>-481</v>
      </c>
      <c r="L93" s="180">
        <f>'Raw FS'!L63</f>
        <v>-671</v>
      </c>
    </row>
    <row r="94" spans="1:12" x14ac:dyDescent="0.25">
      <c r="B94" s="60" t="s">
        <v>132</v>
      </c>
      <c r="C94" s="180">
        <f>'Raw FS'!C64</f>
        <v>-852</v>
      </c>
      <c r="D94" s="180">
        <f>'Raw FS'!D64</f>
        <v>-744</v>
      </c>
      <c r="E94" s="180">
        <f>'Raw FS'!E64</f>
        <v>-843</v>
      </c>
      <c r="F94" s="180">
        <f>'Raw FS'!F64</f>
        <v>-710</v>
      </c>
      <c r="G94" s="180">
        <f>'Raw FS'!G64</f>
        <v>-891</v>
      </c>
      <c r="H94" s="180">
        <f>'Raw FS'!H64</f>
        <v>-1291</v>
      </c>
      <c r="I94" s="180">
        <f>'Raw FS'!I64</f>
        <v>-1555</v>
      </c>
      <c r="J94" s="180">
        <f>'Raw FS'!J64</f>
        <v>-1124</v>
      </c>
      <c r="K94" s="180">
        <f>'Raw FS'!K64</f>
        <v>-1651</v>
      </c>
      <c r="L94" s="180">
        <f>'Raw FS'!L64</f>
        <v>-1301</v>
      </c>
    </row>
    <row r="95" spans="1:12" x14ac:dyDescent="0.25">
      <c r="B95" s="58" t="s">
        <v>213</v>
      </c>
      <c r="C95" s="181">
        <f>'Raw FS'!C65</f>
        <v>0</v>
      </c>
      <c r="D95" s="181">
        <f>'Raw FS'!D65</f>
        <v>0</v>
      </c>
      <c r="E95" s="181">
        <f>'Raw FS'!E65</f>
        <v>0</v>
      </c>
      <c r="F95" s="181">
        <f>'Raw FS'!F65</f>
        <v>0</v>
      </c>
      <c r="G95" s="181">
        <f>'Raw FS'!G65</f>
        <v>0</v>
      </c>
      <c r="H95" s="181">
        <f>'Raw FS'!H65</f>
        <v>0</v>
      </c>
      <c r="I95" s="181">
        <f>'Raw FS'!I65</f>
        <v>0</v>
      </c>
      <c r="J95" s="181">
        <f>'Raw FS'!J65</f>
        <v>0</v>
      </c>
      <c r="K95" s="181">
        <f>'Raw FS'!K65</f>
        <v>0</v>
      </c>
      <c r="L95" s="181">
        <f>'Raw FS'!L65</f>
        <v>0</v>
      </c>
    </row>
    <row r="96" spans="1:12" x14ac:dyDescent="0.25">
      <c r="B96" s="58"/>
      <c r="C96" s="181"/>
      <c r="D96" s="181"/>
      <c r="E96" s="181"/>
      <c r="F96" s="181"/>
      <c r="G96" s="181"/>
      <c r="H96" s="181"/>
      <c r="I96" s="181"/>
      <c r="J96" s="181"/>
      <c r="K96" s="181"/>
      <c r="L96" s="181"/>
    </row>
    <row r="97" spans="2:20" x14ac:dyDescent="0.25">
      <c r="B97" s="119" t="s">
        <v>18</v>
      </c>
      <c r="C97" s="62">
        <f>SUM(C98:C108)</f>
        <v>-3675</v>
      </c>
      <c r="D97" s="62">
        <f t="shared" ref="D97:L97" si="31">SUM(D98:D108)</f>
        <v>-2501</v>
      </c>
      <c r="E97" s="62">
        <f t="shared" si="31"/>
        <v>1866</v>
      </c>
      <c r="F97" s="62">
        <f t="shared" si="31"/>
        <v>1164</v>
      </c>
      <c r="G97" s="62">
        <f t="shared" si="31"/>
        <v>-4193</v>
      </c>
      <c r="H97" s="62">
        <f t="shared" si="31"/>
        <v>-8856</v>
      </c>
      <c r="I97" s="62">
        <f t="shared" si="31"/>
        <v>2322</v>
      </c>
      <c r="J97" s="62">
        <f t="shared" si="31"/>
        <v>-7187</v>
      </c>
      <c r="K97" s="62">
        <f t="shared" si="31"/>
        <v>-8788</v>
      </c>
      <c r="L97" s="62">
        <f t="shared" si="31"/>
        <v>-15835</v>
      </c>
    </row>
    <row r="98" spans="2:20" x14ac:dyDescent="0.25">
      <c r="B98" t="s">
        <v>133</v>
      </c>
      <c r="C98" s="181">
        <f>'Raw FS'!C67</f>
        <v>-2150</v>
      </c>
      <c r="D98" s="181">
        <f>'Raw FS'!D67</f>
        <v>-1402</v>
      </c>
      <c r="E98" s="181">
        <f>'Raw FS'!E67</f>
        <v>-2103</v>
      </c>
      <c r="F98" s="181">
        <f>'Raw FS'!F67</f>
        <v>-1808</v>
      </c>
      <c r="G98" s="181">
        <f>'Raw FS'!G67</f>
        <v>-1766</v>
      </c>
      <c r="H98" s="181">
        <f>'Raw FS'!H67</f>
        <v>-1925</v>
      </c>
      <c r="I98" s="181">
        <f>'Raw FS'!I67</f>
        <v>-5613</v>
      </c>
      <c r="J98" s="181">
        <f>'Raw FS'!J67</f>
        <v>-6200</v>
      </c>
      <c r="K98" s="181">
        <f>'Raw FS'!K67</f>
        <v>-9006</v>
      </c>
      <c r="L98" s="181">
        <f>'Raw FS'!L67</f>
        <v>-9129</v>
      </c>
      <c r="O98" s="8"/>
      <c r="P98" s="8"/>
      <c r="Q98" s="8"/>
      <c r="R98" s="8"/>
      <c r="S98" s="8"/>
      <c r="T98" s="8"/>
    </row>
    <row r="99" spans="2:20" x14ac:dyDescent="0.25">
      <c r="B99" t="s">
        <v>134</v>
      </c>
      <c r="C99" s="181">
        <f>'Raw FS'!C68</f>
        <v>18</v>
      </c>
      <c r="D99" s="181">
        <f>'Raw FS'!D68</f>
        <v>35</v>
      </c>
      <c r="E99" s="181">
        <f>'Raw FS'!E68</f>
        <v>220</v>
      </c>
      <c r="F99" s="181">
        <f>'Raw FS'!F68</f>
        <v>160</v>
      </c>
      <c r="G99" s="181">
        <f>'Raw FS'!G68</f>
        <v>79</v>
      </c>
      <c r="H99" s="181">
        <f>'Raw FS'!H68</f>
        <v>86</v>
      </c>
      <c r="I99" s="181">
        <f>'Raw FS'!I68</f>
        <v>73</v>
      </c>
      <c r="J99" s="181">
        <f>'Raw FS'!J68</f>
        <v>95</v>
      </c>
      <c r="K99" s="181">
        <f>'Raw FS'!K68</f>
        <v>122</v>
      </c>
      <c r="L99" s="181">
        <f>'Raw FS'!L68</f>
        <v>179</v>
      </c>
    </row>
    <row r="100" spans="2:20" x14ac:dyDescent="0.25">
      <c r="B100" t="s">
        <v>135</v>
      </c>
      <c r="C100" s="181">
        <f>'Raw FS'!C69</f>
        <v>-2698</v>
      </c>
      <c r="D100" s="181">
        <f>'Raw FS'!D69</f>
        <v>-3377</v>
      </c>
      <c r="E100" s="181">
        <f>'Raw FS'!E69</f>
        <v>-3960</v>
      </c>
      <c r="F100" s="181">
        <f>'Raw FS'!F69</f>
        <v>-1700</v>
      </c>
      <c r="G100" s="181">
        <f>'Raw FS'!G69</f>
        <v>-6086</v>
      </c>
      <c r="H100" s="181">
        <f>'Raw FS'!H69</f>
        <v>-12689</v>
      </c>
      <c r="I100" s="181">
        <f>'Raw FS'!I69</f>
        <v>-7795</v>
      </c>
      <c r="J100" s="181">
        <f>'Raw FS'!J69</f>
        <v>-7260</v>
      </c>
      <c r="K100" s="181">
        <f>'Raw FS'!K69</f>
        <v>-7750</v>
      </c>
      <c r="L100" s="181">
        <f>'Raw FS'!L69</f>
        <v>-15885</v>
      </c>
    </row>
    <row r="101" spans="2:20" x14ac:dyDescent="0.25">
      <c r="B101" t="s">
        <v>136</v>
      </c>
      <c r="C101" s="181">
        <f>'Raw FS'!C70</f>
        <v>2948</v>
      </c>
      <c r="D101" s="181">
        <f>'Raw FS'!D70</f>
        <v>2228</v>
      </c>
      <c r="E101" s="181">
        <f>'Raw FS'!E70</f>
        <v>5588</v>
      </c>
      <c r="F101" s="181">
        <f>'Raw FS'!F70</f>
        <v>4478</v>
      </c>
      <c r="G101" s="181">
        <f>'Raw FS'!G70</f>
        <v>3443</v>
      </c>
      <c r="H101" s="181">
        <f>'Raw FS'!H70</f>
        <v>7101</v>
      </c>
      <c r="I101" s="181">
        <f>'Raw FS'!I70</f>
        <v>13965</v>
      </c>
      <c r="J101" s="181">
        <f>'Raw FS'!J70</f>
        <v>7156</v>
      </c>
      <c r="K101" s="181">
        <f>'Raw FS'!K70</f>
        <v>7164</v>
      </c>
      <c r="L101" s="181">
        <f>'Raw FS'!L70</f>
        <v>19115</v>
      </c>
    </row>
    <row r="102" spans="2:20" x14ac:dyDescent="0.25">
      <c r="B102" t="s">
        <v>137</v>
      </c>
      <c r="C102" s="181">
        <f>'Raw FS'!C71</f>
        <v>59</v>
      </c>
      <c r="D102" s="181">
        <f>'Raw FS'!D71</f>
        <v>47</v>
      </c>
      <c r="E102" s="181">
        <f>'Raw FS'!E71</f>
        <v>67</v>
      </c>
      <c r="F102" s="181">
        <f>'Raw FS'!F71</f>
        <v>78</v>
      </c>
      <c r="G102" s="181">
        <f>'Raw FS'!G71</f>
        <v>89</v>
      </c>
      <c r="H102" s="181">
        <f>'Raw FS'!H71</f>
        <v>77</v>
      </c>
      <c r="I102" s="181">
        <f>'Raw FS'!I71</f>
        <v>174</v>
      </c>
      <c r="J102" s="181">
        <f>'Raw FS'!J71</f>
        <v>283</v>
      </c>
      <c r="K102" s="181">
        <f>'Raw FS'!K71</f>
        <v>161</v>
      </c>
      <c r="L102" s="181">
        <f>'Raw FS'!L71</f>
        <v>342</v>
      </c>
    </row>
    <row r="103" spans="2:20" x14ac:dyDescent="0.25">
      <c r="B103" t="s">
        <v>138</v>
      </c>
      <c r="C103" s="181">
        <f>'Raw FS'!C72</f>
        <v>0</v>
      </c>
      <c r="D103" s="181">
        <f>'Raw FS'!D72</f>
        <v>0</v>
      </c>
      <c r="E103" s="181">
        <f>'Raw FS'!E72</f>
        <v>0</v>
      </c>
      <c r="F103" s="181">
        <f>'Raw FS'!F72</f>
        <v>22</v>
      </c>
      <c r="G103" s="181">
        <f>'Raw FS'!G72</f>
        <v>32</v>
      </c>
      <c r="H103" s="181">
        <f>'Raw FS'!H72</f>
        <v>0</v>
      </c>
      <c r="I103" s="181">
        <f>'Raw FS'!I72</f>
        <v>0</v>
      </c>
      <c r="J103" s="181">
        <f>'Raw FS'!J72</f>
        <v>0</v>
      </c>
      <c r="K103" s="181">
        <f>'Raw FS'!K72</f>
        <v>0</v>
      </c>
      <c r="L103" s="181">
        <f>'Raw FS'!L72</f>
        <v>1</v>
      </c>
    </row>
    <row r="104" spans="2:20" x14ac:dyDescent="0.25">
      <c r="B104" t="s">
        <v>139</v>
      </c>
      <c r="C104" s="181">
        <f>'Raw FS'!C73</f>
        <v>-13</v>
      </c>
      <c r="D104" s="181">
        <f>'Raw FS'!D73</f>
        <v>0</v>
      </c>
      <c r="E104" s="181">
        <f>'Raw FS'!E73</f>
        <v>0</v>
      </c>
      <c r="F104" s="181">
        <f>'Raw FS'!F73</f>
        <v>0</v>
      </c>
      <c r="G104" s="181">
        <f>'Raw FS'!G73</f>
        <v>0</v>
      </c>
      <c r="H104" s="181">
        <f>'Raw FS'!H73</f>
        <v>0</v>
      </c>
      <c r="I104" s="181">
        <f>'Raw FS'!I73</f>
        <v>0</v>
      </c>
      <c r="J104" s="181">
        <f>'Raw FS'!J73</f>
        <v>0</v>
      </c>
      <c r="K104" s="181">
        <f>'Raw FS'!K73</f>
        <v>0</v>
      </c>
      <c r="L104" s="181">
        <f>'Raw FS'!L73</f>
        <v>0</v>
      </c>
    </row>
    <row r="105" spans="2:20" x14ac:dyDescent="0.25">
      <c r="B105" t="s">
        <v>214</v>
      </c>
      <c r="C105" s="181">
        <f>'Raw FS'!C74</f>
        <v>0</v>
      </c>
      <c r="D105" s="181">
        <f>'Raw FS'!D74</f>
        <v>0</v>
      </c>
      <c r="E105" s="181">
        <f>'Raw FS'!E74</f>
        <v>-1</v>
      </c>
      <c r="F105" s="181">
        <f>'Raw FS'!F74</f>
        <v>-8</v>
      </c>
      <c r="G105" s="181">
        <f>'Raw FS'!G74</f>
        <v>-6</v>
      </c>
      <c r="H105" s="181">
        <f>'Raw FS'!H74</f>
        <v>-3</v>
      </c>
      <c r="I105" s="181">
        <f>'Raw FS'!I74</f>
        <v>0</v>
      </c>
      <c r="J105" s="181">
        <f>'Raw FS'!J74</f>
        <v>0</v>
      </c>
      <c r="K105" s="181">
        <f>'Raw FS'!K74</f>
        <v>0</v>
      </c>
      <c r="L105" s="181">
        <f>'Raw FS'!L74</f>
        <v>0</v>
      </c>
    </row>
    <row r="106" spans="2:20" x14ac:dyDescent="0.25">
      <c r="B106" t="s">
        <v>215</v>
      </c>
      <c r="C106" s="181">
        <f>'Raw FS'!C75</f>
        <v>0</v>
      </c>
      <c r="D106" s="181">
        <f>'Raw FS'!D75</f>
        <v>0</v>
      </c>
      <c r="E106" s="181">
        <f>'Raw FS'!E75</f>
        <v>0</v>
      </c>
      <c r="F106" s="181">
        <f>'Raw FS'!F75</f>
        <v>0</v>
      </c>
      <c r="G106" s="181">
        <f>'Raw FS'!G75</f>
        <v>0</v>
      </c>
      <c r="H106" s="181">
        <f>'Raw FS'!H75</f>
        <v>0</v>
      </c>
      <c r="I106" s="181">
        <f>'Raw FS'!I75</f>
        <v>0</v>
      </c>
      <c r="J106" s="181">
        <f>'Raw FS'!J75</f>
        <v>3</v>
      </c>
      <c r="K106" s="181">
        <f>'Raw FS'!K75</f>
        <v>0</v>
      </c>
      <c r="L106" s="181">
        <f>'Raw FS'!L75</f>
        <v>36</v>
      </c>
    </row>
    <row r="107" spans="2:20" x14ac:dyDescent="0.25">
      <c r="B107" t="s">
        <v>216</v>
      </c>
      <c r="C107" s="181">
        <f>'Raw FS'!C76</f>
        <v>0</v>
      </c>
      <c r="D107" s="181">
        <f>'Raw FS'!D76</f>
        <v>0</v>
      </c>
      <c r="E107" s="181">
        <f>'Raw FS'!E76</f>
        <v>0</v>
      </c>
      <c r="F107" s="181">
        <f>'Raw FS'!F76</f>
        <v>0</v>
      </c>
      <c r="G107" s="181">
        <f>'Raw FS'!G76</f>
        <v>0</v>
      </c>
      <c r="H107" s="181">
        <f>'Raw FS'!H76</f>
        <v>0</v>
      </c>
      <c r="I107" s="181">
        <f>'Raw FS'!I76</f>
        <v>0</v>
      </c>
      <c r="J107" s="181">
        <f>'Raw FS'!J76</f>
        <v>-847</v>
      </c>
      <c r="K107" s="181">
        <f>'Raw FS'!K76</f>
        <v>-60</v>
      </c>
      <c r="L107" s="181">
        <f>'Raw FS'!L76</f>
        <v>-10262</v>
      </c>
    </row>
    <row r="108" spans="2:20" x14ac:dyDescent="0.25">
      <c r="B108" t="s">
        <v>140</v>
      </c>
      <c r="C108" s="181">
        <f>'Raw FS'!C77</f>
        <v>-1839</v>
      </c>
      <c r="D108" s="181">
        <f>'Raw FS'!D77</f>
        <v>-32</v>
      </c>
      <c r="E108" s="181">
        <f>'Raw FS'!E77</f>
        <v>2055</v>
      </c>
      <c r="F108" s="181">
        <f>'Raw FS'!F77</f>
        <v>-58</v>
      </c>
      <c r="G108" s="181">
        <f>'Raw FS'!G77</f>
        <v>22</v>
      </c>
      <c r="H108" s="181">
        <f>'Raw FS'!H77</f>
        <v>-1503</v>
      </c>
      <c r="I108" s="181">
        <f>'Raw FS'!I77</f>
        <v>1518</v>
      </c>
      <c r="J108" s="181">
        <f>'Raw FS'!J77</f>
        <v>-417</v>
      </c>
      <c r="K108" s="181">
        <f>'Raw FS'!K77</f>
        <v>581</v>
      </c>
      <c r="L108" s="181">
        <f>'Raw FS'!L77</f>
        <v>-232</v>
      </c>
    </row>
    <row r="109" spans="2:20" x14ac:dyDescent="0.25">
      <c r="C109" s="181"/>
      <c r="D109" s="181"/>
      <c r="E109" s="181"/>
      <c r="F109" s="181"/>
      <c r="G109" s="181"/>
      <c r="H109" s="181"/>
      <c r="I109" s="181"/>
      <c r="J109" s="181"/>
      <c r="K109" s="181"/>
      <c r="L109" s="181"/>
    </row>
    <row r="110" spans="2:20" x14ac:dyDescent="0.25">
      <c r="B110" s="119" t="s">
        <v>19</v>
      </c>
      <c r="C110" s="62">
        <f>SUM(C111:C117)</f>
        <v>-843</v>
      </c>
      <c r="D110" s="62">
        <f t="shared" ref="D110:L110" si="32">SUM(D111:D117)</f>
        <v>-2535</v>
      </c>
      <c r="E110" s="62">
        <f t="shared" si="32"/>
        <v>-5735</v>
      </c>
      <c r="F110" s="62">
        <f t="shared" si="32"/>
        <v>-6757</v>
      </c>
      <c r="G110" s="62">
        <f t="shared" si="32"/>
        <v>-5076</v>
      </c>
      <c r="H110" s="62">
        <f t="shared" si="32"/>
        <v>-4356</v>
      </c>
      <c r="I110" s="62">
        <f t="shared" si="32"/>
        <v>-12497</v>
      </c>
      <c r="J110" s="62">
        <f t="shared" si="32"/>
        <v>-1631</v>
      </c>
      <c r="K110" s="62">
        <f t="shared" si="32"/>
        <v>-1925</v>
      </c>
      <c r="L110" s="62">
        <f t="shared" si="32"/>
        <v>5076</v>
      </c>
    </row>
    <row r="111" spans="2:20" x14ac:dyDescent="0.25">
      <c r="B111" s="58" t="s">
        <v>141</v>
      </c>
      <c r="C111" s="181">
        <f>'Raw FS'!C79</f>
        <v>3</v>
      </c>
      <c r="D111" s="181">
        <f>'Raw FS'!D79</f>
        <v>7</v>
      </c>
      <c r="E111" s="181">
        <f>'Raw FS'!E79</f>
        <v>16</v>
      </c>
      <c r="F111" s="181">
        <f>'Raw FS'!F79</f>
        <v>5</v>
      </c>
      <c r="G111" s="181">
        <f>'Raw FS'!G79</f>
        <v>3</v>
      </c>
      <c r="H111" s="181">
        <f>'Raw FS'!H79</f>
        <v>14</v>
      </c>
      <c r="I111" s="181">
        <f>'Raw FS'!I79</f>
        <v>13</v>
      </c>
      <c r="J111" s="181">
        <f>'Raw FS'!J79</f>
        <v>13</v>
      </c>
      <c r="K111" s="181">
        <f>'Raw FS'!K79</f>
        <v>18</v>
      </c>
      <c r="L111" s="181">
        <f>'Raw FS'!L79</f>
        <v>33</v>
      </c>
    </row>
    <row r="112" spans="2:20" x14ac:dyDescent="0.25">
      <c r="B112" s="58" t="s">
        <v>142</v>
      </c>
      <c r="C112" s="181">
        <f>'Raw FS'!C80</f>
        <v>2821</v>
      </c>
      <c r="D112" s="181">
        <f>'Raw FS'!D80</f>
        <v>3656</v>
      </c>
      <c r="E112" s="181">
        <f>'Raw FS'!E80</f>
        <v>15775</v>
      </c>
      <c r="F112" s="181">
        <f>'Raw FS'!F80</f>
        <v>9772</v>
      </c>
      <c r="G112" s="181">
        <f>'Raw FS'!G80</f>
        <v>1510</v>
      </c>
      <c r="H112" s="181">
        <f>'Raw FS'!H80</f>
        <v>4103</v>
      </c>
      <c r="I112" s="181">
        <f>'Raw FS'!I80</f>
        <v>175</v>
      </c>
      <c r="J112" s="181">
        <f>'Raw FS'!J80</f>
        <v>1032</v>
      </c>
      <c r="K112" s="181">
        <f>'Raw FS'!K80</f>
        <v>1399</v>
      </c>
      <c r="L112" s="181">
        <f>'Raw FS'!L80</f>
        <v>9410</v>
      </c>
    </row>
    <row r="113" spans="2:12" x14ac:dyDescent="0.25">
      <c r="B113" s="58" t="s">
        <v>143</v>
      </c>
      <c r="C113" s="181">
        <f>'Raw FS'!C81</f>
        <v>-2775</v>
      </c>
      <c r="D113" s="181">
        <f>'Raw FS'!D81</f>
        <v>-5272</v>
      </c>
      <c r="E113" s="181">
        <f>'Raw FS'!E81</f>
        <v>-19982</v>
      </c>
      <c r="F113" s="181">
        <f>'Raw FS'!F81</f>
        <v>-14420</v>
      </c>
      <c r="G113" s="181">
        <f>'Raw FS'!G81</f>
        <v>-4154</v>
      </c>
      <c r="H113" s="181">
        <f>'Raw FS'!H81</f>
        <v>-6499</v>
      </c>
      <c r="I113" s="181">
        <f>'Raw FS'!I81</f>
        <v>-10346</v>
      </c>
      <c r="J113" s="181">
        <f>'Raw FS'!J81</f>
        <v>-579</v>
      </c>
      <c r="K113" s="181">
        <f>'Raw FS'!K81</f>
        <v>-1069</v>
      </c>
      <c r="L113" s="181">
        <f>'Raw FS'!L81</f>
        <v>-550</v>
      </c>
    </row>
    <row r="114" spans="2:12" x14ac:dyDescent="0.25">
      <c r="B114" s="58" t="s">
        <v>144</v>
      </c>
      <c r="C114" s="181">
        <f>'Raw FS'!C82</f>
        <v>-596</v>
      </c>
      <c r="D114" s="181">
        <f>'Raw FS'!D82</f>
        <v>-614</v>
      </c>
      <c r="E114" s="181">
        <f>'Raw FS'!E82</f>
        <v>-1210</v>
      </c>
      <c r="F114" s="181">
        <f>'Raw FS'!F82</f>
        <v>-1685</v>
      </c>
      <c r="G114" s="181">
        <f>'Raw FS'!G82</f>
        <v>-1950</v>
      </c>
      <c r="H114" s="181">
        <f>'Raw FS'!H82</f>
        <v>-1481</v>
      </c>
      <c r="I114" s="181">
        <f>'Raw FS'!I82</f>
        <v>-1026</v>
      </c>
      <c r="J114" s="181">
        <f>'Raw FS'!J82</f>
        <v>-765</v>
      </c>
      <c r="K114" s="181">
        <f>'Raw FS'!K82</f>
        <v>-917</v>
      </c>
      <c r="L114" s="181">
        <f>'Raw FS'!L82</f>
        <v>-1540</v>
      </c>
    </row>
    <row r="115" spans="2:12" x14ac:dyDescent="0.25">
      <c r="B115" s="58" t="s">
        <v>145</v>
      </c>
      <c r="C115" s="181">
        <f>'Raw FS'!C83</f>
        <v>-297</v>
      </c>
      <c r="D115" s="181">
        <f>'Raw FS'!D83</f>
        <v>-312</v>
      </c>
      <c r="E115" s="181">
        <f>'Raw FS'!E83</f>
        <v>-334</v>
      </c>
      <c r="F115" s="181">
        <f>'Raw FS'!F83</f>
        <v>-346</v>
      </c>
      <c r="G115" s="181">
        <f>'Raw FS'!G83</f>
        <v>-380</v>
      </c>
      <c r="H115" s="181">
        <f>'Raw FS'!H83</f>
        <v>-375</v>
      </c>
      <c r="I115" s="181">
        <f>'Raw FS'!I83</f>
        <v>-1065</v>
      </c>
      <c r="J115" s="181">
        <f>'Raw FS'!J83</f>
        <v>-1091</v>
      </c>
      <c r="K115" s="181">
        <f>'Raw FS'!K83</f>
        <v>-1094</v>
      </c>
      <c r="L115" s="181">
        <f>'Raw FS'!L83</f>
        <v>-2012</v>
      </c>
    </row>
    <row r="116" spans="2:12" x14ac:dyDescent="0.25">
      <c r="B116" s="58" t="s">
        <v>146</v>
      </c>
      <c r="C116" s="181">
        <f>'Raw FS'!C84</f>
        <v>0</v>
      </c>
      <c r="D116" s="181">
        <f>'Raw FS'!D84</f>
        <v>0</v>
      </c>
      <c r="E116" s="181">
        <f>'Raw FS'!E84</f>
        <v>0</v>
      </c>
      <c r="F116" s="181">
        <f>'Raw FS'!F84</f>
        <v>0</v>
      </c>
      <c r="G116" s="181">
        <f>'Raw FS'!G84</f>
        <v>-101</v>
      </c>
      <c r="H116" s="181">
        <f>'Raw FS'!H84</f>
        <v>-118</v>
      </c>
      <c r="I116" s="181">
        <f>'Raw FS'!I84</f>
        <v>-157</v>
      </c>
      <c r="J116" s="181">
        <f>'Raw FS'!J84</f>
        <v>-126</v>
      </c>
      <c r="K116" s="181">
        <f>'Raw FS'!K84</f>
        <v>-162</v>
      </c>
      <c r="L116" s="181">
        <f>'Raw FS'!L84</f>
        <v>-165</v>
      </c>
    </row>
    <row r="117" spans="2:12" x14ac:dyDescent="0.25">
      <c r="B117" s="58" t="s">
        <v>147</v>
      </c>
      <c r="C117" s="181">
        <f>'Raw FS'!C85</f>
        <v>1</v>
      </c>
      <c r="D117" s="181">
        <f>'Raw FS'!D85</f>
        <v>0</v>
      </c>
      <c r="E117" s="181">
        <f>'Raw FS'!E85</f>
        <v>0</v>
      </c>
      <c r="F117" s="181">
        <f>'Raw FS'!F85</f>
        <v>-83</v>
      </c>
      <c r="G117" s="181">
        <f>'Raw FS'!G85</f>
        <v>-4</v>
      </c>
      <c r="H117" s="181">
        <f>'Raw FS'!H85</f>
        <v>0</v>
      </c>
      <c r="I117" s="181">
        <f>'Raw FS'!I85</f>
        <v>-91</v>
      </c>
      <c r="J117" s="181">
        <f>'Raw FS'!J85</f>
        <v>-115</v>
      </c>
      <c r="K117" s="181">
        <f>'Raw FS'!K85</f>
        <v>-100</v>
      </c>
      <c r="L117" s="181">
        <f>'Raw FS'!L85</f>
        <v>-100</v>
      </c>
    </row>
    <row r="118" spans="2:12" x14ac:dyDescent="0.25">
      <c r="B118" s="58"/>
      <c r="C118" s="181"/>
      <c r="D118" s="181"/>
      <c r="E118" s="181"/>
      <c r="F118" s="181"/>
      <c r="G118" s="181"/>
      <c r="H118" s="181"/>
      <c r="I118" s="181"/>
      <c r="J118" s="181"/>
      <c r="K118" s="181"/>
      <c r="L118" s="181"/>
    </row>
    <row r="119" spans="2:12" x14ac:dyDescent="0.25">
      <c r="B119" s="63" t="s">
        <v>20</v>
      </c>
      <c r="C119" s="50">
        <f t="shared" ref="C119:L119" si="33">C110+C97+C86</f>
        <v>7</v>
      </c>
      <c r="D119" s="50">
        <f t="shared" si="33"/>
        <v>-31</v>
      </c>
      <c r="E119" s="50">
        <f t="shared" si="33"/>
        <v>19</v>
      </c>
      <c r="F119" s="50">
        <f t="shared" si="33"/>
        <v>363</v>
      </c>
      <c r="G119" s="50">
        <f t="shared" si="33"/>
        <v>-296</v>
      </c>
      <c r="H119" s="50">
        <f t="shared" si="33"/>
        <v>-712</v>
      </c>
      <c r="I119" s="50">
        <f t="shared" si="33"/>
        <v>-892</v>
      </c>
      <c r="J119" s="50">
        <f t="shared" si="33"/>
        <v>251</v>
      </c>
      <c r="K119" s="50">
        <f t="shared" si="33"/>
        <v>184</v>
      </c>
      <c r="L119" s="50">
        <f t="shared" si="33"/>
        <v>-86</v>
      </c>
    </row>
  </sheetData>
  <mergeCells count="1">
    <mergeCell ref="B9:L9"/>
  </mergeCells>
  <pageMargins left="0.25" right="0.25" top="0.75" bottom="0.75" header="0.3" footer="0.3"/>
  <pageSetup scale="29" orientation="landscape" r:id="rId1"/>
  <ignoredErrors>
    <ignoredError sqref="C24:L24" formulaRange="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B2:M58"/>
  <sheetViews>
    <sheetView showGridLines="0" topLeftCell="A4" zoomScale="80" zoomScaleNormal="80" workbookViewId="0">
      <selection activeCell="D4" sqref="D4"/>
    </sheetView>
  </sheetViews>
  <sheetFormatPr defaultRowHeight="15" x14ac:dyDescent="0.25"/>
  <cols>
    <col min="1" max="1" width="1.85546875" customWidth="1"/>
    <col min="2" max="2" width="28.85546875" bestFit="1" customWidth="1"/>
    <col min="3" max="12" width="13.7109375" customWidth="1"/>
    <col min="13" max="13" width="17.140625" customWidth="1"/>
  </cols>
  <sheetData>
    <row r="2" spans="2:13" ht="11.25" customHeight="1" x14ac:dyDescent="0.25">
      <c r="B2" s="152"/>
      <c r="C2" s="152"/>
      <c r="D2" s="152"/>
      <c r="E2" s="152"/>
      <c r="F2" s="152"/>
      <c r="G2" s="152"/>
      <c r="H2" s="152"/>
      <c r="I2" s="152"/>
      <c r="J2" s="152"/>
      <c r="K2" s="152"/>
      <c r="L2" s="152"/>
      <c r="M2" s="152"/>
    </row>
    <row r="7" spans="2:13" x14ac:dyDescent="0.25">
      <c r="B7" s="198"/>
      <c r="C7" s="198"/>
      <c r="D7" s="198"/>
      <c r="E7" s="198"/>
      <c r="F7" s="198"/>
      <c r="G7" s="198"/>
      <c r="H7" s="198"/>
      <c r="I7" s="198"/>
      <c r="J7" s="198"/>
      <c r="K7" s="198"/>
      <c r="L7" s="198"/>
      <c r="M7" s="198"/>
    </row>
    <row r="8" spans="2:13" x14ac:dyDescent="0.25">
      <c r="B8" s="27"/>
      <c r="C8" s="27"/>
      <c r="D8" s="27"/>
      <c r="E8" s="27"/>
      <c r="F8" s="27"/>
      <c r="G8" s="27"/>
      <c r="H8" s="27"/>
      <c r="I8" s="27"/>
      <c r="J8" s="27"/>
      <c r="K8" s="27"/>
      <c r="L8" s="27"/>
    </row>
    <row r="9" spans="2:13" x14ac:dyDescent="0.25">
      <c r="B9" s="322" t="str">
        <f>"Ratio Analysis"&amp;" - "&amp;'Data Sheet'!B1</f>
        <v>Ratio Analysis - ULTRATECH CEMENT LTD</v>
      </c>
      <c r="C9" s="322"/>
      <c r="D9" s="322"/>
      <c r="E9" s="322"/>
      <c r="F9" s="322"/>
      <c r="G9" s="322"/>
      <c r="H9" s="322"/>
      <c r="I9" s="322"/>
      <c r="J9" s="322"/>
      <c r="K9" s="322"/>
      <c r="L9" s="322"/>
      <c r="M9" s="322"/>
    </row>
    <row r="10" spans="2:13" x14ac:dyDescent="0.25">
      <c r="B10" s="210" t="s">
        <v>54</v>
      </c>
      <c r="C10" s="211">
        <f>'Data Sheet'!B16</f>
        <v>42460</v>
      </c>
      <c r="D10" s="211">
        <f>'Data Sheet'!C16</f>
        <v>42825</v>
      </c>
      <c r="E10" s="211">
        <f>'Data Sheet'!D16</f>
        <v>43190</v>
      </c>
      <c r="F10" s="211">
        <f>'Data Sheet'!E16</f>
        <v>43555</v>
      </c>
      <c r="G10" s="211">
        <f>'Data Sheet'!F16</f>
        <v>43921</v>
      </c>
      <c r="H10" s="211">
        <f>'Data Sheet'!G16</f>
        <v>44286</v>
      </c>
      <c r="I10" s="211">
        <f>'Data Sheet'!H16</f>
        <v>44651</v>
      </c>
      <c r="J10" s="211">
        <f>'Data Sheet'!I16</f>
        <v>45016</v>
      </c>
      <c r="K10" s="211">
        <f>'Data Sheet'!J16</f>
        <v>45382</v>
      </c>
      <c r="L10" s="211">
        <f>'Data Sheet'!K16</f>
        <v>45747</v>
      </c>
      <c r="M10" s="212" t="s">
        <v>115</v>
      </c>
    </row>
    <row r="11" spans="2:13" x14ac:dyDescent="0.25">
      <c r="D11" s="25"/>
      <c r="E11" s="25"/>
      <c r="F11" s="25"/>
      <c r="G11" s="25"/>
      <c r="H11" s="25"/>
      <c r="I11" s="25"/>
      <c r="J11" s="25"/>
      <c r="K11" s="25"/>
      <c r="L11" s="25"/>
    </row>
    <row r="12" spans="2:13" x14ac:dyDescent="0.25">
      <c r="B12" s="213" t="s">
        <v>108</v>
      </c>
      <c r="C12" s="214">
        <f>IFERROR(Historical_FS!C22,0)</f>
        <v>0.52557523404539541</v>
      </c>
      <c r="D12" s="214">
        <f>IFERROR(Historical_FS!D22,0)</f>
        <v>0.54066886463573893</v>
      </c>
      <c r="E12" s="214">
        <f>IFERROR(Historical_FS!E22,0)</f>
        <v>0.49958326097159916</v>
      </c>
      <c r="F12" s="214">
        <f>IFERROR(Historical_FS!F22,0)</f>
        <v>0.48435951151722079</v>
      </c>
      <c r="G12" s="214">
        <f>IFERROR(Historical_FS!G22,0)</f>
        <v>0.52981706999476075</v>
      </c>
      <c r="H12" s="214">
        <f>IFERROR(Historical_FS!H22,0)</f>
        <v>0.54770669278134754</v>
      </c>
      <c r="I12" s="214">
        <f>IFERROR(Historical_FS!I22,0)</f>
        <v>0.50821168455648158</v>
      </c>
      <c r="J12" s="214">
        <f>IFERROR(Historical_FS!J22,0)</f>
        <v>0.44979710619769331</v>
      </c>
      <c r="K12" s="214">
        <f>IFERROR(Historical_FS!K22,0)</f>
        <v>0.4700264313800927</v>
      </c>
      <c r="L12" s="214">
        <f>IFERROR(Historical_FS!L22,0)</f>
        <v>0.46257744539440598</v>
      </c>
      <c r="M12" s="213"/>
    </row>
    <row r="13" spans="2:13" x14ac:dyDescent="0.25">
      <c r="B13" s="215" t="s">
        <v>78</v>
      </c>
      <c r="C13" s="216">
        <f>IFERROR(Historical_FS!C28,0)</f>
        <v>0.2132838552806717</v>
      </c>
      <c r="D13" s="216">
        <f>IFERROR(Historical_FS!D28,0)</f>
        <v>0.23095857566559752</v>
      </c>
      <c r="E13" s="216">
        <f>IFERROR(Historical_FS!E28,0)</f>
        <v>0.20617445192845904</v>
      </c>
      <c r="F13" s="216">
        <f>IFERROR(Historical_FS!F28,0)</f>
        <v>0.18563966363628043</v>
      </c>
      <c r="G13" s="216">
        <f>IFERROR(Historical_FS!G28,0)</f>
        <v>0.23325608433111655</v>
      </c>
      <c r="H13" s="216">
        <f>IFERROR(Historical_FS!H28,0)</f>
        <v>0.27246980490007994</v>
      </c>
      <c r="I13" s="216">
        <f>IFERROR(Historical_FS!I28,0)</f>
        <v>0.23163595083768973</v>
      </c>
      <c r="J13" s="216">
        <f>IFERROR(Historical_FS!J28,0)</f>
        <v>0.17594818973693543</v>
      </c>
      <c r="K13" s="216">
        <f>IFERROR(Historical_FS!K28,0)</f>
        <v>0.19088809831988265</v>
      </c>
      <c r="L13" s="216">
        <f>IFERROR(Historical_FS!L28,0)</f>
        <v>0.17370281638646407</v>
      </c>
      <c r="M13" s="215"/>
    </row>
    <row r="14" spans="2:13" x14ac:dyDescent="0.25">
      <c r="B14" s="215" t="s">
        <v>79</v>
      </c>
      <c r="C14" s="216">
        <f>IFERROR(Historical_FS!C34,)</f>
        <v>0.15853265821818593</v>
      </c>
      <c r="D14" s="216">
        <f>IFERROR(Historical_FS!D34,)</f>
        <v>0.17781913967087201</v>
      </c>
      <c r="E14" s="216">
        <f>IFERROR(Historical_FS!E34,)</f>
        <v>0.14652266627758112</v>
      </c>
      <c r="F14" s="216">
        <f>IFERROR(Historical_FS!F34,)</f>
        <v>0.12653217649013837</v>
      </c>
      <c r="G14" s="216">
        <f>IFERROR(Historical_FS!G34,)</f>
        <v>0.16908764081170136</v>
      </c>
      <c r="H14" s="216">
        <f>IFERROR(Historical_FS!H34,)</f>
        <v>0.21209682107418973</v>
      </c>
      <c r="I14" s="216">
        <f>IFERROR(Historical_FS!I34,)</f>
        <v>0.18002358607596405</v>
      </c>
      <c r="J14" s="216">
        <f>IFERROR(Historical_FS!J34,)</f>
        <v>0.1302810342444764</v>
      </c>
      <c r="K14" s="216">
        <f>IFERROR(Historical_FS!K34,)</f>
        <v>0.14653070860411802</v>
      </c>
      <c r="L14" s="216">
        <f>IFERROR(Historical_FS!L34,)</f>
        <v>0.12084331894369753</v>
      </c>
      <c r="M14" s="215"/>
    </row>
    <row r="15" spans="2:13" x14ac:dyDescent="0.25">
      <c r="B15" s="215" t="s">
        <v>80</v>
      </c>
      <c r="C15" s="216">
        <f>IFERROR(Historical_FS!C40,0)</f>
        <v>0.13601866002153212</v>
      </c>
      <c r="D15" s="216">
        <f>IFERROR(Historical_FS!D40,0)</f>
        <v>0.15259346426040798</v>
      </c>
      <c r="E15" s="216">
        <f>IFERROR(Historical_FS!E40,0)</f>
        <v>0.10657253292754809</v>
      </c>
      <c r="F15" s="216">
        <f>IFERROR(Historical_FS!F40,0)</f>
        <v>8.3653182436268667E-2</v>
      </c>
      <c r="G15" s="216">
        <f>IFERROR(Historical_FS!G40,0)</f>
        <v>0.12214785378892096</v>
      </c>
      <c r="H15" s="216">
        <f>IFERROR(Historical_FS!H40,0)</f>
        <v>0.17887997531626029</v>
      </c>
      <c r="I15" s="216">
        <f>IFERROR(Historical_FS!I40,0)</f>
        <v>0.16206292041096731</v>
      </c>
      <c r="J15" s="216">
        <f>IFERROR(Historical_FS!J40,0)</f>
        <v>0.11727154246411846</v>
      </c>
      <c r="K15" s="216">
        <f>IFERROR(Historical_FS!K40,0)</f>
        <v>0.13287924348318833</v>
      </c>
      <c r="L15" s="216">
        <f>IFERROR(Historical_FS!L40,0)</f>
        <v>9.9112857814870559E-2</v>
      </c>
      <c r="M15" s="215"/>
    </row>
    <row r="16" spans="2:13" x14ac:dyDescent="0.25">
      <c r="B16" s="217" t="s">
        <v>81</v>
      </c>
      <c r="C16" s="218">
        <f>IFERROR(Historical_FS!C46,)</f>
        <v>9.8580540717617404E-2</v>
      </c>
      <c r="D16" s="218">
        <f>IFERROR(Historical_FS!D46,)</f>
        <v>0.10693660753483544</v>
      </c>
      <c r="E16" s="218">
        <f>IFERROR(Historical_FS!E46,)</f>
        <v>7.180629737541569E-2</v>
      </c>
      <c r="F16" s="218">
        <f>IFERROR(Historical_FS!F46,)</f>
        <v>5.7893129800449986E-2</v>
      </c>
      <c r="G16" s="218">
        <f>IFERROR(Historical_FS!G46,)</f>
        <v>0.13553841407554909</v>
      </c>
      <c r="H16" s="218">
        <f>IFERROR(Historical_FS!H46,)</f>
        <v>0.12211855349708658</v>
      </c>
      <c r="I16" s="218">
        <f>IFERROR(Historical_FS!I46,)</f>
        <v>0.13943770232151551</v>
      </c>
      <c r="J16" s="218">
        <f>IFERROR(Historical_FS!J46,)</f>
        <v>8.0224566800938313E-2</v>
      </c>
      <c r="K16" s="218">
        <f>IFERROR(Historical_FS!K46,)</f>
        <v>9.8775119471474007E-2</v>
      </c>
      <c r="L16" s="218">
        <f>IFERROR(Historical_FS!L46,)</f>
        <v>7.9515893133222326E-2</v>
      </c>
      <c r="M16" s="217"/>
    </row>
    <row r="17" spans="2:13" x14ac:dyDescent="0.25">
      <c r="B17" s="27"/>
      <c r="C17" s="28"/>
      <c r="D17" s="28"/>
      <c r="E17" s="28"/>
      <c r="F17" s="28"/>
      <c r="G17" s="28"/>
      <c r="H17" s="28"/>
      <c r="I17" s="28"/>
      <c r="J17" s="28"/>
      <c r="K17" s="28"/>
      <c r="L17" s="28"/>
    </row>
    <row r="18" spans="2:13" x14ac:dyDescent="0.25">
      <c r="B18" s="219" t="s">
        <v>109</v>
      </c>
      <c r="C18" s="220">
        <f>IFERROR(Historical_FS!C78/Historical_FS!C64,0)</f>
        <v>0.77040580479152498</v>
      </c>
      <c r="D18" s="220">
        <f>IFERROR(Historical_FS!D78/Historical_FS!D64,0)</f>
        <v>0.68572141119351626</v>
      </c>
      <c r="E18" s="220">
        <f>IFERROR(Historical_FS!E78/Historical_FS!E64,0)</f>
        <v>0.50597843384271413</v>
      </c>
      <c r="F18" s="220">
        <f>IFERROR(Historical_FS!F78/Historical_FS!F64,0)</f>
        <v>0.43730889130000938</v>
      </c>
      <c r="G18" s="220">
        <f>IFERROR(Historical_FS!G78/Historical_FS!G64,0)</f>
        <v>0.41434567715521287</v>
      </c>
      <c r="H18" s="220">
        <f>IFERROR(Historical_FS!H78/Historical_FS!H64,0)</f>
        <v>0.4238798596607482</v>
      </c>
      <c r="I18" s="220">
        <f>IFERROR(Historical_FS!I78/Historical_FS!I64,0)</f>
        <v>0.40885168840310243</v>
      </c>
      <c r="J18" s="220">
        <f>IFERROR(Historical_FS!J78/Historical_FS!J64,0)</f>
        <v>0.44728003409477307</v>
      </c>
      <c r="K18" s="220">
        <f>IFERROR(Historical_FS!K78/Historical_FS!K64,0)</f>
        <v>0.45912356154351475</v>
      </c>
      <c r="L18" s="220">
        <f>IFERROR(Historical_FS!L78/Historical_FS!L64,0)</f>
        <v>0.44114317477399412</v>
      </c>
      <c r="M18" s="213"/>
    </row>
    <row r="19" spans="2:13" x14ac:dyDescent="0.25">
      <c r="B19" s="221" t="s">
        <v>110</v>
      </c>
      <c r="C19" s="222">
        <f>IFERROR((Historical_FS!C78-Historical_FS!C76)/Historical_FS!C64,0)</f>
        <v>0.48603080117106084</v>
      </c>
      <c r="D19" s="222">
        <f>IFERROR((Historical_FS!D78-Historical_FS!D76)/Historical_FS!D64,0)</f>
        <v>0.42876867896214493</v>
      </c>
      <c r="E19" s="222">
        <f>IFERROR((Historical_FS!E78-Historical_FS!E76)/Historical_FS!E64,0)</f>
        <v>0.21629102166633718</v>
      </c>
      <c r="F19" s="222">
        <f>IFERROR((Historical_FS!F78-Historical_FS!F76)/Historical_FS!F64,0)</f>
        <v>0.20224605051577843</v>
      </c>
      <c r="G19" s="222">
        <f>IFERROR((Historical_FS!G78-Historical_FS!G76)/Historical_FS!G64,0)</f>
        <v>0.17043406570661102</v>
      </c>
      <c r="H19" s="222">
        <f>IFERROR((Historical_FS!H78-Historical_FS!H76)/Historical_FS!H64,0)</f>
        <v>0.2257773780856985</v>
      </c>
      <c r="I19" s="222">
        <f>IFERROR((Historical_FS!I78-Historical_FS!I76)/Historical_FS!I64,0)</f>
        <v>0.15539849175875572</v>
      </c>
      <c r="J19" s="222">
        <f>IFERROR((Historical_FS!J78-Historical_FS!J76)/Historical_FS!J64,0)</f>
        <v>0.1929604909893485</v>
      </c>
      <c r="K19" s="222">
        <f>IFERROR((Historical_FS!K78-Historical_FS!K76)/Historical_FS!K64,0)</f>
        <v>0.17353260638509424</v>
      </c>
      <c r="L19" s="222">
        <f>IFERROR((Historical_FS!L78-Historical_FS!L76)/Historical_FS!L64,0)</f>
        <v>0.19482133193347981</v>
      </c>
      <c r="M19" s="215"/>
    </row>
    <row r="20" spans="2:13" x14ac:dyDescent="0.25">
      <c r="B20" s="223" t="s">
        <v>111</v>
      </c>
      <c r="C20" s="224">
        <f>IFERROR(Historical_FS!C77/Historical_FS!C64,0)</f>
        <v>0.26263831621191708</v>
      </c>
      <c r="D20" s="224">
        <f>IFERROR(Historical_FS!D77/Historical_FS!D64,0)</f>
        <v>0.24069838259266835</v>
      </c>
      <c r="E20" s="224">
        <f>IFERROR(Historical_FS!E77/Historical_FS!E64,0)</f>
        <v>1.9421598604928675E-2</v>
      </c>
      <c r="F20" s="224">
        <f>IFERROR(Historical_FS!F77/Historical_FS!F64,0)</f>
        <v>4.2418389560103034E-2</v>
      </c>
      <c r="G20" s="224">
        <f>IFERROR(Historical_FS!G77/Historical_FS!G64,0)</f>
        <v>3.1479631906776766E-2</v>
      </c>
      <c r="H20" s="224">
        <f>IFERROR(Historical_FS!H77/Historical_FS!H64,0)</f>
        <v>9.898048937298963E-2</v>
      </c>
      <c r="I20" s="224">
        <f>IFERROR(Historical_FS!I77/Historical_FS!I64,0)</f>
        <v>1.6269148000871481E-2</v>
      </c>
      <c r="J20" s="224">
        <f>IFERROR(Historical_FS!J77/Historical_FS!J64,0)</f>
        <v>4.421819731580591E-2</v>
      </c>
      <c r="K20" s="224">
        <f>IFERROR(Historical_FS!K77/Historical_FS!K64,0)</f>
        <v>2.6852902010101938E-2</v>
      </c>
      <c r="L20" s="224">
        <f>IFERROR(Historical_FS!L77/Historical_FS!L64,0)</f>
        <v>4.3101132289504886E-2</v>
      </c>
      <c r="M20" s="217"/>
    </row>
    <row r="21" spans="2:13" x14ac:dyDescent="0.25">
      <c r="B21" s="43"/>
      <c r="C21" s="28"/>
      <c r="D21" s="28"/>
      <c r="E21" s="28"/>
      <c r="F21" s="28"/>
      <c r="G21" s="28"/>
      <c r="H21" s="28"/>
      <c r="I21" s="28"/>
      <c r="J21" s="28"/>
      <c r="K21" s="28"/>
      <c r="L21" s="28"/>
    </row>
    <row r="22" spans="2:13" x14ac:dyDescent="0.25">
      <c r="B22" s="219" t="s">
        <v>113</v>
      </c>
      <c r="C22" s="225">
        <f>IFERROR(SUM(Historical_FS!C63:C64)/SUM(Historical_FS!C61:C62),0)</f>
        <v>0.8770529713660532</v>
      </c>
      <c r="D22" s="225">
        <f>IFERROR(SUM(Historical_FS!D63:D64)/SUM(Historical_FS!D61:D62),0)</f>
        <v>0.73045672147586771</v>
      </c>
      <c r="E22" s="225">
        <f>IFERROR(SUM(Historical_FS!E63:E64)/SUM(Historical_FS!E61:E62),0)</f>
        <v>1.1659809500416207</v>
      </c>
      <c r="F22" s="225">
        <f>IFERROR(SUM(Historical_FS!F63:F64)/SUM(Historical_FS!F61:F62),0)</f>
        <v>1.2673747024131388</v>
      </c>
      <c r="G22" s="225">
        <f>IFERROR(SUM(Historical_FS!G63:G64)/SUM(Historical_FS!G61:G62),0)</f>
        <v>1.0288468631094958</v>
      </c>
      <c r="H22" s="225">
        <f>IFERROR(SUM(Historical_FS!H63:H64)/SUM(Historical_FS!H61:H62),0)</f>
        <v>0.95080869855763528</v>
      </c>
      <c r="I22" s="225">
        <f>IFERROR(SUM(Historical_FS!I63:I64)/SUM(Historical_FS!I61:I62),0)</f>
        <v>0.66176249279522048</v>
      </c>
      <c r="J22" s="225">
        <f>IFERROR(SUM(Historical_FS!J63:J64)/SUM(Historical_FS!J61:J62),0)</f>
        <v>0.6821200879013426</v>
      </c>
      <c r="K22" s="225">
        <f>IFERROR(SUM(Historical_FS!K63:K64)/SUM(Historical_FS!K61:K62),0)</f>
        <v>0.67360663271981502</v>
      </c>
      <c r="L22" s="225">
        <f>IFERROR(SUM(Historical_FS!L63:L64)/SUM(Historical_FS!L61:L62),0)</f>
        <v>0.88994717196104434</v>
      </c>
      <c r="M22" s="213"/>
    </row>
    <row r="23" spans="2:13" x14ac:dyDescent="0.25">
      <c r="B23" s="221" t="s">
        <v>112</v>
      </c>
      <c r="C23" s="226">
        <f>IFERROR(SUM(Historical_FS!C63:C64)/Historical_FS!C80,0)</f>
        <v>0.46724998428135189</v>
      </c>
      <c r="D23" s="226">
        <f>IFERROR(SUM(Historical_FS!D63:D64)/Historical_FS!D80,0)</f>
        <v>0.42211787929193489</v>
      </c>
      <c r="E23" s="226">
        <f>IFERROR(SUM(Historical_FS!E63:E64)/Historical_FS!E80,0)</f>
        <v>0.53831542240443786</v>
      </c>
      <c r="F23" s="226">
        <f>IFERROR(SUM(Historical_FS!F63:F64)/Historical_FS!F80,0)</f>
        <v>0.55896129610350132</v>
      </c>
      <c r="G23" s="226">
        <f>IFERROR(SUM(Historical_FS!G63:G64)/Historical_FS!G80,0)</f>
        <v>0.50710917704879999</v>
      </c>
      <c r="H23" s="226">
        <f>IFERROR(SUM(Historical_FS!H63:H64)/Historical_FS!H80,0)</f>
        <v>0.48739207450768107</v>
      </c>
      <c r="I23" s="226">
        <f>IFERROR(SUM(Historical_FS!I63:I64)/Historical_FS!I80,0)</f>
        <v>0.39822928707584554</v>
      </c>
      <c r="J23" s="226">
        <f>IFERROR(SUM(Historical_FS!J63:J64)/Historical_FS!J80,0)</f>
        <v>0.40551212294977917</v>
      </c>
      <c r="K23" s="226">
        <f>IFERROR(SUM(Historical_FS!K63:K64)/Historical_FS!K80,0)</f>
        <v>0.40248802768253977</v>
      </c>
      <c r="L23" s="226">
        <f>IFERROR(SUM(Historical_FS!L63:L64)/Historical_FS!L80,0)</f>
        <v>0.47088468141552259</v>
      </c>
      <c r="M23" s="215"/>
    </row>
    <row r="24" spans="2:13" x14ac:dyDescent="0.25">
      <c r="B24" s="217" t="s">
        <v>86</v>
      </c>
      <c r="C24" s="227">
        <f>IFERROR(Historical_FS!C33/Historical_FS!C36,0)</f>
        <v>7.0415150980045977</v>
      </c>
      <c r="D24" s="227">
        <f>IFERROR(Historical_FS!D33/Historical_FS!D36,0)</f>
        <v>7.0491329479768732</v>
      </c>
      <c r="E24" s="227">
        <f>IFERROR(Historical_FS!E33/Historical_FS!E36,0)</f>
        <v>3.6676389786683905</v>
      </c>
      <c r="F24" s="227">
        <f>IFERROR(Historical_FS!F33/Historical_FS!F36,0)</f>
        <v>2.9509128952785963</v>
      </c>
      <c r="G24" s="227">
        <f>IFERROR(Historical_FS!G33/Historical_FS!G36,0)</f>
        <v>3.6022242863957015</v>
      </c>
      <c r="H24" s="227">
        <f>IFERROR(Historical_FS!H33/Historical_FS!H36,0)</f>
        <v>6.3852185911890382</v>
      </c>
      <c r="I24" s="227">
        <f>IFERROR(Historical_FS!I33/Historical_FS!I36,0)</f>
        <v>10.023213472917615</v>
      </c>
      <c r="J24" s="227">
        <f>IFERROR(Historical_FS!J33/Historical_FS!J36,0)</f>
        <v>10.014306203811749</v>
      </c>
      <c r="K24" s="227">
        <f>IFERROR(Historical_FS!K33/Historical_FS!K36,0)</f>
        <v>10.733698347107444</v>
      </c>
      <c r="L24" s="227">
        <f>IFERROR(Historical_FS!L33/Historical_FS!L36,0)</f>
        <v>5.5610103360112504</v>
      </c>
      <c r="M24" s="217"/>
    </row>
    <row r="25" spans="2:13" x14ac:dyDescent="0.25">
      <c r="E25" s="20"/>
    </row>
    <row r="26" spans="2:13" x14ac:dyDescent="0.25">
      <c r="B26" s="213" t="s">
        <v>82</v>
      </c>
      <c r="C26" s="214">
        <f>IFERROR(Historical_FS!C33/SUM(Historical_FS!C61:C63),0)</f>
        <v>0.12246350150883166</v>
      </c>
      <c r="D26" s="214">
        <f>IFERROR(Historical_FS!D33/SUM(Historical_FS!D61:D63),0)</f>
        <v>0.1372877085946185</v>
      </c>
      <c r="E26" s="214">
        <f>IFERROR(Historical_FS!E33/SUM(Historical_FS!E61:E63),0)</f>
        <v>9.8973689845355706E-2</v>
      </c>
      <c r="F26" s="214">
        <f>IFERROR(Historical_FS!F33/SUM(Historical_FS!F61:F63),0)</f>
        <v>8.8788604725353007E-2</v>
      </c>
      <c r="G26" s="214">
        <f>IFERROR(Historical_FS!G33/SUM(Historical_FS!G61:G63),0)</f>
        <v>0.11559870402070679</v>
      </c>
      <c r="H26" s="214">
        <f>IFERROR(Historical_FS!H33/SUM(Historical_FS!H61:H63),0)</f>
        <v>0.14396136101473159</v>
      </c>
      <c r="I26" s="214">
        <f>IFERROR(Historical_FS!I33/SUM(Historical_FS!I61:I63),0)</f>
        <v>0.15338418477835661</v>
      </c>
      <c r="J26" s="214">
        <f>IFERROR(Historical_FS!J33/SUM(Historical_FS!J61:J63),0)</f>
        <v>0.12601227733263512</v>
      </c>
      <c r="K26" s="214">
        <f>IFERROR(Historical_FS!K33/SUM(Historical_FS!K61:K63),0)</f>
        <v>0.14505315687760081</v>
      </c>
      <c r="L26" s="214">
        <f>IFERROR(Historical_FS!L33/SUM(Historical_FS!L61:L63),0)</f>
        <v>9.6812273524809742E-2</v>
      </c>
      <c r="M26" s="213"/>
    </row>
    <row r="27" spans="2:13" x14ac:dyDescent="0.25">
      <c r="B27" s="215" t="s">
        <v>83</v>
      </c>
      <c r="C27" s="216">
        <f>IFERROR(Historical_FS!C57,0)</f>
        <v>0.89485888966857841</v>
      </c>
      <c r="D27" s="216">
        <f>IFERROR(Historical_FS!D57,0)</f>
        <v>0.89883582518582927</v>
      </c>
      <c r="E27" s="216">
        <f>IFERROR(Historical_FS!E57,0)</f>
        <v>0.87037752982746375</v>
      </c>
      <c r="F27" s="216">
        <f>IFERROR(Historical_FS!F57,0)</f>
        <v>0.86842083336805032</v>
      </c>
      <c r="G27" s="216">
        <f>IFERROR(Historical_FS!G57,0)</f>
        <v>0.93475433324986779</v>
      </c>
      <c r="H27" s="216">
        <f>IFERROR(Historical_FS!H57,0)</f>
        <v>0.80446185816161175</v>
      </c>
      <c r="I27" s="216">
        <f>IFERROR(Historical_FS!I57,0)</f>
        <v>0.8504348086923561</v>
      </c>
      <c r="J27" s="216">
        <f>IFERROR(Historical_FS!J57,0)</f>
        <v>0.78377025269050349</v>
      </c>
      <c r="K27" s="216">
        <f>IFERROR(Historical_FS!K57,0)</f>
        <v>0.71147322371915334</v>
      </c>
      <c r="L27" s="216">
        <f>IFERROR(Historical_FS!L57,0)</f>
        <v>0.62186984654714572</v>
      </c>
      <c r="M27" s="215"/>
    </row>
    <row r="28" spans="2:13" x14ac:dyDescent="0.25">
      <c r="B28" s="215" t="s">
        <v>84</v>
      </c>
      <c r="C28" s="216">
        <f>IFERROR(Historical_FS!C45/SUM(Historical_FS!C61:C62),0)</f>
        <v>0.1129892374928404</v>
      </c>
      <c r="D28" s="216">
        <f>IFERROR(Historical_FS!D45/SUM(Historical_FS!D61:D62),0)</f>
        <v>0.11124640198033023</v>
      </c>
      <c r="E28" s="216">
        <f>IFERROR(Historical_FS!E45/SUM(Historical_FS!E61:E62),0)</f>
        <v>8.4320022318957924E-2</v>
      </c>
      <c r="F28" s="216">
        <f>IFERROR(Historical_FS!F45/SUM(Historical_FS!F61:F62),0)</f>
        <v>7.1121000632580575E-2</v>
      </c>
      <c r="G28" s="216">
        <f>IFERROR(Historical_FS!G45/SUM(Historical_FS!G61:G62),0)</f>
        <v>0.14729319102463492</v>
      </c>
      <c r="H28" s="216">
        <f>IFERROR(Historical_FS!H45/SUM(Historical_FS!H61:H62),0)</f>
        <v>0.12364209542661081</v>
      </c>
      <c r="I28" s="216">
        <f>IFERROR(Historical_FS!I45/SUM(Historical_FS!I61:I62),0)</f>
        <v>0.1454192671120825</v>
      </c>
      <c r="J28" s="216">
        <f>IFERROR(Historical_FS!J45/SUM(Historical_FS!J61:J62),0)</f>
        <v>9.3390574499112242E-2</v>
      </c>
      <c r="K28" s="216">
        <f>IFERROR(Historical_FS!K45/SUM(Historical_FS!K61:K62),0)</f>
        <v>0.11629176581852677</v>
      </c>
      <c r="L28" s="216">
        <f>IFERROR(Historical_FS!L45/SUM(Historical_FS!L61:L62),0)</f>
        <v>8.5418128985385838E-2</v>
      </c>
      <c r="M28" s="215"/>
    </row>
    <row r="29" spans="2:13" x14ac:dyDescent="0.25">
      <c r="B29" s="217" t="s">
        <v>85</v>
      </c>
      <c r="C29" s="218">
        <f>IFERROR(C28*C27,0)</f>
        <v>0.10110942360734247</v>
      </c>
      <c r="D29" s="218">
        <f t="shared" ref="D29:L29" si="0">IFERROR(D28*D27,0)</f>
        <v>9.9992251522944595E-2</v>
      </c>
      <c r="E29" s="218">
        <f t="shared" si="0"/>
        <v>7.3390252740971204E-2</v>
      </c>
      <c r="F29" s="218">
        <f t="shared" si="0"/>
        <v>6.1762958639315253E-2</v>
      </c>
      <c r="G29" s="218">
        <f t="shared" si="0"/>
        <v>0.13768294856847801</v>
      </c>
      <c r="H29" s="218">
        <f t="shared" si="0"/>
        <v>9.9465349833886649E-2</v>
      </c>
      <c r="I29" s="218">
        <f t="shared" si="0"/>
        <v>0.12366960660664651</v>
      </c>
      <c r="J29" s="218">
        <f t="shared" si="0"/>
        <v>7.3196754174080489E-2</v>
      </c>
      <c r="K29" s="218">
        <f t="shared" si="0"/>
        <v>8.273847751890008E-2</v>
      </c>
      <c r="L29" s="218">
        <f t="shared" si="0"/>
        <v>5.311895876448619E-2</v>
      </c>
      <c r="M29" s="217"/>
    </row>
    <row r="31" spans="2:13" x14ac:dyDescent="0.25">
      <c r="B31" s="213" t="s">
        <v>88</v>
      </c>
      <c r="C31" s="225">
        <f>IFERROR(Historical_FS!C12/Historical_FS!C75,0)</f>
        <v>13.044865445153796</v>
      </c>
      <c r="D31" s="225">
        <f>IFERROR(Historical_FS!D12/Historical_FS!D75,0)</f>
        <v>14.441457182045314</v>
      </c>
      <c r="E31" s="225">
        <f>IFERROR(Historical_FS!E12/Historical_FS!E75,0)</f>
        <v>13.950374443288615</v>
      </c>
      <c r="F31" s="225">
        <f>IFERROR(Historical_FS!F12/Historical_FS!F75,0)</f>
        <v>14.876861748886807</v>
      </c>
      <c r="G31" s="225">
        <f>IFERROR(Historical_FS!G12/Historical_FS!G75,0)</f>
        <v>17.803597653594718</v>
      </c>
      <c r="H31" s="225">
        <f>IFERROR(Historical_FS!H12/Historical_FS!H75,0)</f>
        <v>17.391328016549171</v>
      </c>
      <c r="I31" s="225">
        <f>IFERROR(Historical_FS!I12/Historical_FS!I75,0)</f>
        <v>17.124188943257771</v>
      </c>
      <c r="J31" s="225">
        <f>IFERROR(Historical_FS!J12/Historical_FS!J75,0)</f>
        <v>16.353672854032304</v>
      </c>
      <c r="K31" s="225">
        <f>IFERROR(Historical_FS!K12/Historical_FS!K75,0)</f>
        <v>16.574447893486919</v>
      </c>
      <c r="L31" s="225">
        <f>IFERROR(Historical_FS!L12/Historical_FS!L75,0)</f>
        <v>12.895060481303851</v>
      </c>
      <c r="M31" s="213"/>
    </row>
    <row r="32" spans="2:13" x14ac:dyDescent="0.25">
      <c r="B32" s="215" t="s">
        <v>87</v>
      </c>
      <c r="C32" s="226">
        <f>IFERROR((Historical_FS!C18+Historical_FS!C76)/Historical_FS!C64,0)</f>
        <v>1.7206426700372703</v>
      </c>
      <c r="D32" s="226">
        <f>IFERROR((Historical_FS!D18+Historical_FS!D76)/Historical_FS!D64,0)</f>
        <v>1.5738718768497004</v>
      </c>
      <c r="E32" s="226">
        <f>IFERROR((Historical_FS!E18+Historical_FS!E76)/Historical_FS!E64,0)</f>
        <v>1.685484821861555</v>
      </c>
      <c r="F32" s="226">
        <f>IFERROR((Historical_FS!F18+Historical_FS!F76)/Historical_FS!F64,0)</f>
        <v>1.4811959361659663</v>
      </c>
      <c r="G32" s="226">
        <f>IFERROR((Historical_FS!G18+Historical_FS!G76)/Historical_FS!G64,0)</f>
        <v>1.4450521803570502</v>
      </c>
      <c r="H32" s="226">
        <f>IFERROR((Historical_FS!H18+Historical_FS!H76)/Historical_FS!H64,0)</f>
        <v>1.2259800180255873</v>
      </c>
      <c r="I32" s="226">
        <f>IFERROR((Historical_FS!I18+Historical_FS!I76)/Historical_FS!I64,0)</f>
        <v>1.4554496300963384</v>
      </c>
      <c r="J32" s="226">
        <f>IFERROR((Historical_FS!J18+Historical_FS!J76)/Historical_FS!J64,0)</f>
        <v>1.6121842656315151</v>
      </c>
      <c r="K32" s="226">
        <f>IFERROR((Historical_FS!K18+Historical_FS!K76)/Historical_FS!K64,0)</f>
        <v>1.5931240717147099</v>
      </c>
      <c r="L32" s="226">
        <f>IFERROR((Historical_FS!L18+Historical_FS!L76)/Historical_FS!L64,0)</f>
        <v>1.307976614959492</v>
      </c>
      <c r="M32" s="215"/>
    </row>
    <row r="33" spans="2:13" x14ac:dyDescent="0.25">
      <c r="B33" s="215" t="s">
        <v>89</v>
      </c>
      <c r="C33" s="226">
        <f>IFERROR(Historical_FS!C18/Historical_FS!C76,0)</f>
        <v>5.0506115099120823</v>
      </c>
      <c r="D33" s="226">
        <f>IFERROR(Historical_FS!D18/Historical_FS!D76,0)</f>
        <v>5.1251416288989606</v>
      </c>
      <c r="E33" s="226">
        <f>IFERROR(Historical_FS!E18/Historical_FS!E76,0)</f>
        <v>4.8182880961197698</v>
      </c>
      <c r="F33" s="226">
        <f>IFERROR(Historical_FS!F18/Historical_FS!F76,0)</f>
        <v>5.3012764213361434</v>
      </c>
      <c r="G33" s="226">
        <f>IFERROR(Historical_FS!G18/Historical_FS!G76,0)</f>
        <v>4.9244911374855072</v>
      </c>
      <c r="H33" s="226">
        <f>IFERROR(Historical_FS!H18/Historical_FS!H76,0)</f>
        <v>5.1886151464545547</v>
      </c>
      <c r="I33" s="226">
        <f>IFERROR(Historical_FS!I18/Historical_FS!I76,0)</f>
        <v>4.7424788851200415</v>
      </c>
      <c r="J33" s="226">
        <f>IFERROR(Historical_FS!J18/Historical_FS!J76,0)</f>
        <v>5.339207148399157</v>
      </c>
      <c r="K33" s="226">
        <f>IFERROR(Historical_FS!K18/Historical_FS!K76,0)</f>
        <v>4.5783421811485114</v>
      </c>
      <c r="L33" s="226">
        <f>IFERROR(Historical_FS!L18/Historical_FS!L76,0)</f>
        <v>4.3100309736086446</v>
      </c>
      <c r="M33" s="215"/>
    </row>
    <row r="34" spans="2:13" x14ac:dyDescent="0.25">
      <c r="B34" s="215" t="s">
        <v>90</v>
      </c>
      <c r="C34" s="226">
        <f>IFERROR(Historical_FS!C12/SUM(Historical_FS!C68:C70),0)</f>
        <v>0.78915368757115989</v>
      </c>
      <c r="D34" s="226">
        <f>IFERROR(Historical_FS!D12/SUM(Historical_FS!D68:D70),0)</f>
        <v>0.75710516909368553</v>
      </c>
      <c r="E34" s="226">
        <f>IFERROR(Historical_FS!E12/SUM(Historical_FS!E68:E70),0)</f>
        <v>0.66373166220338298</v>
      </c>
      <c r="F34" s="226">
        <f>IFERROR(Historical_FS!F12/SUM(Historical_FS!F68:F70),0)</f>
        <v>0.68285175365250605</v>
      </c>
      <c r="G34" s="226">
        <f>IFERROR(Historical_FS!G12/SUM(Historical_FS!G68:G70),0)</f>
        <v>0.66297490407698589</v>
      </c>
      <c r="H34" s="226">
        <f>IFERROR(Historical_FS!H12/SUM(Historical_FS!H68:H70),0)</f>
        <v>0.64561380210288077</v>
      </c>
      <c r="I34" s="226">
        <f>IFERROR(Historical_FS!I12/SUM(Historical_FS!I68:I70),0)</f>
        <v>0.78967724752623603</v>
      </c>
      <c r="J34" s="226">
        <f>IFERROR(Historical_FS!J12/SUM(Historical_FS!J68:J70),0)</f>
        <v>0.89175470702520754</v>
      </c>
      <c r="K34" s="226">
        <f>IFERROR(Historical_FS!K12/SUM(Historical_FS!K68:K70),0)</f>
        <v>0.90980492890863907</v>
      </c>
      <c r="L34" s="226">
        <f>IFERROR(Historical_FS!L12/SUM(Historical_FS!L68:L70),0)</f>
        <v>0.71686297035115321</v>
      </c>
      <c r="M34" s="215"/>
    </row>
    <row r="35" spans="2:13" x14ac:dyDescent="0.25">
      <c r="B35" s="217" t="s">
        <v>91</v>
      </c>
      <c r="C35" s="227">
        <f>IFERROR(Historical_FS!C12/SUM(Historical_FS!C61:C63),0)</f>
        <v>0.77248122175739409</v>
      </c>
      <c r="D35" s="227">
        <f>IFERROR(Historical_FS!D12/SUM(Historical_FS!D61:D63),0)</f>
        <v>0.77206373199603973</v>
      </c>
      <c r="E35" s="227">
        <f>IFERROR(Historical_FS!E12/SUM(Historical_FS!E61:E63),0)</f>
        <v>0.67548381666665935</v>
      </c>
      <c r="F35" s="227">
        <f>IFERROR(Historical_FS!F12/SUM(Historical_FS!F61:F63),0)</f>
        <v>0.70170771726409831</v>
      </c>
      <c r="G35" s="227">
        <f>IFERROR(Historical_FS!G12/SUM(Historical_FS!G61:G63),0)</f>
        <v>0.68366146375795334</v>
      </c>
      <c r="H35" s="227">
        <f>IFERROR(Historical_FS!H12/SUM(Historical_FS!H61:H63),0)</f>
        <v>0.6787530349847869</v>
      </c>
      <c r="I35" s="227">
        <f>IFERROR(Historical_FS!I12/SUM(Historical_FS!I61:I63),0)</f>
        <v>0.85202271614361413</v>
      </c>
      <c r="J35" s="227">
        <f>IFERROR(Historical_FS!J12/SUM(Historical_FS!J61:J63),0)</f>
        <v>0.96723424144890635</v>
      </c>
      <c r="K35" s="227">
        <f>IFERROR(Historical_FS!K12/SUM(Historical_FS!K61:K63),0)</f>
        <v>0.9899164363525389</v>
      </c>
      <c r="L35" s="227">
        <f>IFERROR(Historical_FS!L12/SUM(Historical_FS!L61:L63),0)</f>
        <v>0.80113881653578078</v>
      </c>
      <c r="M35" s="217"/>
    </row>
    <row r="37" spans="2:13" x14ac:dyDescent="0.25">
      <c r="B37" s="213" t="s">
        <v>92</v>
      </c>
      <c r="C37" s="228">
        <f>IFERROR(365/C31,0)</f>
        <v>27.980357600054703</v>
      </c>
      <c r="D37" s="228">
        <f t="shared" ref="D37:L37" si="1">IFERROR(365/D31,0)</f>
        <v>25.27445779182138</v>
      </c>
      <c r="E37" s="228">
        <f t="shared" si="1"/>
        <v>26.164172258157404</v>
      </c>
      <c r="F37" s="228">
        <f t="shared" si="1"/>
        <v>24.534744367528447</v>
      </c>
      <c r="G37" s="228">
        <f t="shared" si="1"/>
        <v>20.501474314451439</v>
      </c>
      <c r="H37" s="228">
        <f t="shared" si="1"/>
        <v>20.987471437067644</v>
      </c>
      <c r="I37" s="228">
        <f t="shared" si="1"/>
        <v>21.314878106604272</v>
      </c>
      <c r="J37" s="228">
        <f t="shared" si="1"/>
        <v>22.319145262221777</v>
      </c>
      <c r="K37" s="228">
        <f t="shared" si="1"/>
        <v>22.021849677625166</v>
      </c>
      <c r="L37" s="228">
        <f t="shared" si="1"/>
        <v>28.305412024177954</v>
      </c>
      <c r="M37" s="213"/>
    </row>
    <row r="38" spans="2:13" x14ac:dyDescent="0.25">
      <c r="B38" s="215" t="s">
        <v>93</v>
      </c>
      <c r="C38" s="229">
        <f>IFERROR(365/C32,0)</f>
        <v>212.1300409178472</v>
      </c>
      <c r="D38" s="229">
        <f t="shared" ref="D38:L38" si="2">IFERROR(365/D32,0)</f>
        <v>231.91214314763201</v>
      </c>
      <c r="E38" s="229">
        <f t="shared" si="2"/>
        <v>216.55490175038844</v>
      </c>
      <c r="F38" s="229">
        <f t="shared" si="2"/>
        <v>246.42249623286986</v>
      </c>
      <c r="G38" s="229">
        <f t="shared" si="2"/>
        <v>252.58603458168142</v>
      </c>
      <c r="H38" s="229">
        <f t="shared" si="2"/>
        <v>297.72100249058229</v>
      </c>
      <c r="I38" s="229">
        <f t="shared" si="2"/>
        <v>250.78160896288804</v>
      </c>
      <c r="J38" s="229">
        <f t="shared" si="2"/>
        <v>226.40091941166813</v>
      </c>
      <c r="K38" s="229">
        <f t="shared" si="2"/>
        <v>229.10958818615021</v>
      </c>
      <c r="L38" s="229">
        <f t="shared" si="2"/>
        <v>279.05697687974646</v>
      </c>
      <c r="M38" s="215"/>
    </row>
    <row r="39" spans="2:13" x14ac:dyDescent="0.25">
      <c r="B39" s="215" t="s">
        <v>94</v>
      </c>
      <c r="C39" s="229">
        <f>IFERROR(365/C33,0)</f>
        <v>72.26847665548398</v>
      </c>
      <c r="D39" s="229">
        <f t="shared" ref="D39:L39" si="3">IFERROR(365/D33,0)</f>
        <v>71.217544104905713</v>
      </c>
      <c r="E39" s="229">
        <f t="shared" si="3"/>
        <v>75.753046044286819</v>
      </c>
      <c r="F39" s="229">
        <f t="shared" si="3"/>
        <v>68.851342769257968</v>
      </c>
      <c r="G39" s="229">
        <f t="shared" si="3"/>
        <v>74.119333309709745</v>
      </c>
      <c r="H39" s="229">
        <f t="shared" si="3"/>
        <v>70.346323575262474</v>
      </c>
      <c r="I39" s="229">
        <f t="shared" si="3"/>
        <v>76.963969443326505</v>
      </c>
      <c r="J39" s="229">
        <f t="shared" si="3"/>
        <v>68.362209941496118</v>
      </c>
      <c r="K39" s="229">
        <f t="shared" si="3"/>
        <v>79.723180478492978</v>
      </c>
      <c r="L39" s="229">
        <f t="shared" si="3"/>
        <v>84.686166348915521</v>
      </c>
      <c r="M39" s="215"/>
    </row>
    <row r="40" spans="2:13" x14ac:dyDescent="0.25">
      <c r="B40" s="230" t="s">
        <v>95</v>
      </c>
      <c r="C40" s="231">
        <f>IFERROR(C37+C39-C38,0)</f>
        <v>-111.88120666230851</v>
      </c>
      <c r="D40" s="231">
        <f t="shared" ref="D40:L40" si="4">IFERROR(D37+D39-D38,0)</f>
        <v>-135.42014125090492</v>
      </c>
      <c r="E40" s="231">
        <f t="shared" si="4"/>
        <v>-114.63768344794421</v>
      </c>
      <c r="F40" s="231">
        <f t="shared" si="4"/>
        <v>-153.03640909608345</v>
      </c>
      <c r="G40" s="231">
        <f t="shared" si="4"/>
        <v>-157.96522695752023</v>
      </c>
      <c r="H40" s="231">
        <f t="shared" si="4"/>
        <v>-206.38720747825218</v>
      </c>
      <c r="I40" s="231">
        <f t="shared" si="4"/>
        <v>-152.50276141295728</v>
      </c>
      <c r="J40" s="231">
        <f t="shared" si="4"/>
        <v>-135.71956420795021</v>
      </c>
      <c r="K40" s="231">
        <f t="shared" si="4"/>
        <v>-127.36455803003206</v>
      </c>
      <c r="L40" s="231">
        <f t="shared" si="4"/>
        <v>-166.06539850665297</v>
      </c>
      <c r="M40" s="217"/>
    </row>
    <row r="42" spans="2:13" x14ac:dyDescent="0.25">
      <c r="B42" s="213" t="s">
        <v>96</v>
      </c>
      <c r="C42" s="214">
        <f>IFERROR(Historical_FS!C86/Historical_FS!C12,0)</f>
        <v>0.17989730150072117</v>
      </c>
      <c r="D42" s="214">
        <f>IFERROR(Historical_FS!D86/Historical_FS!D12,0)</f>
        <v>0.19724184569500461</v>
      </c>
      <c r="E42" s="214">
        <f>IFERROR(Historical_FS!E86/Historical_FS!E12,0)</f>
        <v>0.12550591343320006</v>
      </c>
      <c r="F42" s="214">
        <f>IFERROR(Historical_FS!F86/Historical_FS!F12,0)</f>
        <v>0.14364870607632096</v>
      </c>
      <c r="G42" s="214">
        <f>IFERROR(Historical_FS!G86/Historical_FS!G12,0)</f>
        <v>0.21147827628117821</v>
      </c>
      <c r="H42" s="214">
        <f>IFERROR(Historical_FS!H86/Historical_FS!H12,0)</f>
        <v>0.2794807471302917</v>
      </c>
      <c r="I42" s="214">
        <f>IFERROR(Historical_FS!I86/Historical_FS!I12,0)</f>
        <v>0.17648681539114083</v>
      </c>
      <c r="J42" s="214">
        <f>IFERROR(Historical_FS!J86/Historical_FS!J12,0)</f>
        <v>0.14340611745924017</v>
      </c>
      <c r="K42" s="214">
        <f>IFERROR(Historical_FS!K86/Historical_FS!K12,0)</f>
        <v>0.15367770188302782</v>
      </c>
      <c r="L42" s="214">
        <f>IFERROR(Historical_FS!L86/Historical_FS!L12,0)</f>
        <v>0.14051717112458367</v>
      </c>
      <c r="M42" s="213"/>
    </row>
    <row r="43" spans="2:13" x14ac:dyDescent="0.25">
      <c r="B43" s="215" t="s">
        <v>97</v>
      </c>
      <c r="C43" s="216">
        <f>IFERROR(Historical_FS!C86/Historical_FS!C80,0)</f>
        <v>0.10984846737719002</v>
      </c>
      <c r="D43" s="216">
        <f>IFERROR(Historical_FS!D86/Historical_FS!D80,0)</f>
        <v>0.11857629786555557</v>
      </c>
      <c r="E43" s="216">
        <f>IFERROR(Historical_FS!E86/Historical_FS!E80,0)</f>
        <v>6.8042104202072448E-2</v>
      </c>
      <c r="F43" s="216">
        <f>IFERROR(Historical_FS!F86/Historical_FS!F80,0)</f>
        <v>7.7830397945152036E-2</v>
      </c>
      <c r="G43" s="216">
        <f>IFERROR(Historical_FS!G86/Historical_FS!G80,0)</f>
        <v>0.11327570280990146</v>
      </c>
      <c r="H43" s="216">
        <f>IFERROR(Historical_FS!H86/Historical_FS!H80,0)</f>
        <v>0.14505139751219448</v>
      </c>
      <c r="I43" s="216">
        <f>IFERROR(Historical_FS!I86/Historical_FS!I80,0)</f>
        <v>0.11076053579320438</v>
      </c>
      <c r="J43" s="216">
        <f>IFERROR(Historical_FS!J86/Historical_FS!J80,0)</f>
        <v>9.9244476933784492E-2</v>
      </c>
      <c r="K43" s="216">
        <f>IFERROR(Historical_FS!K86/Historical_FS!K80,0)</f>
        <v>0.10810825826256328</v>
      </c>
      <c r="L43" s="216">
        <f>IFERROR(Historical_FS!L86/Historical_FS!L80,0)</f>
        <v>7.9868558488135261E-2</v>
      </c>
      <c r="M43" s="215"/>
    </row>
    <row r="44" spans="2:13" x14ac:dyDescent="0.25">
      <c r="B44" s="217" t="s">
        <v>98</v>
      </c>
      <c r="C44" s="218">
        <f>IFERROR(Historical_FS!C86/Historical_FS!C63,0)</f>
        <v>0.42624380769009768</v>
      </c>
      <c r="D44" s="218">
        <f>IFERROR(Historical_FS!D86/Historical_FS!D63,0)</f>
        <v>0.59059601226740488</v>
      </c>
      <c r="E44" s="218">
        <f>IFERROR(Historical_FS!E86/Historical_FS!E63,0)</f>
        <v>0.19958706831853026</v>
      </c>
      <c r="F44" s="218">
        <f>IFERROR(Historical_FS!F86/Historical_FS!F63,0)</f>
        <v>0.23507123968899238</v>
      </c>
      <c r="G44" s="218">
        <f>IFERROR(Historical_FS!G86/Historical_FS!G63,0)</f>
        <v>0.38980909650131895</v>
      </c>
      <c r="H44" s="218">
        <f>IFERROR(Historical_FS!H86/Historical_FS!H63,0)</f>
        <v>0.57552260906038344</v>
      </c>
      <c r="I44" s="218">
        <f>IFERROR(Historical_FS!I86/Historical_FS!I63,0)</f>
        <v>0.82159167345204809</v>
      </c>
      <c r="J44" s="218">
        <f>IFERROR(Historical_FS!J86/Historical_FS!J63,0)</f>
        <v>0.82014950613778226</v>
      </c>
      <c r="K44" s="218">
        <f>IFERROR(Historical_FS!K86/Historical_FS!K63,0)</f>
        <v>0.9556299027883135</v>
      </c>
      <c r="L44" s="218">
        <f>IFERROR(Historical_FS!L86/Historical_FS!L63,0)</f>
        <v>0.44282301434973931</v>
      </c>
      <c r="M44" s="217"/>
    </row>
    <row r="48" spans="2:13" x14ac:dyDescent="0.25">
      <c r="B48" s="29"/>
      <c r="C48" s="29"/>
      <c r="D48" s="29"/>
      <c r="E48" s="29"/>
      <c r="F48" s="29"/>
      <c r="G48" s="29"/>
      <c r="H48" s="29"/>
      <c r="I48" s="29"/>
      <c r="J48" s="29"/>
    </row>
    <row r="49" spans="2:12" x14ac:dyDescent="0.25">
      <c r="B49" s="31"/>
      <c r="C49" s="31"/>
      <c r="D49" s="31"/>
      <c r="E49" s="31"/>
      <c r="F49" s="31"/>
      <c r="G49" s="31"/>
      <c r="H49" s="31"/>
      <c r="I49" s="31"/>
      <c r="J49" s="31"/>
    </row>
    <row r="50" spans="2:12" x14ac:dyDescent="0.25">
      <c r="B50" s="29"/>
      <c r="C50" s="29"/>
      <c r="D50" s="29"/>
      <c r="E50" s="29"/>
      <c r="F50" s="29"/>
      <c r="G50" s="29"/>
      <c r="H50" s="29"/>
      <c r="I50" s="29"/>
      <c r="J50" s="29"/>
    </row>
    <row r="52" spans="2:12" x14ac:dyDescent="0.25">
      <c r="B52" s="30"/>
      <c r="C52" s="30"/>
      <c r="D52" s="30"/>
      <c r="E52" s="30"/>
      <c r="F52" s="30"/>
      <c r="G52" s="30"/>
      <c r="H52" s="30"/>
      <c r="I52" s="30"/>
      <c r="J52" s="30"/>
    </row>
    <row r="53" spans="2:12" x14ac:dyDescent="0.25">
      <c r="B53" s="30"/>
      <c r="C53" s="30"/>
      <c r="D53" s="30"/>
      <c r="E53" s="30"/>
      <c r="F53" s="30"/>
      <c r="G53" s="30"/>
      <c r="H53" s="30"/>
      <c r="I53" s="30"/>
      <c r="J53" s="30"/>
    </row>
    <row r="54" spans="2:12" x14ac:dyDescent="0.25">
      <c r="C54" s="30"/>
      <c r="D54" s="30"/>
      <c r="E54" s="30"/>
      <c r="F54" s="30"/>
      <c r="G54" s="30"/>
      <c r="H54" s="30"/>
      <c r="I54" s="30"/>
      <c r="J54" s="30"/>
      <c r="K54" s="30"/>
      <c r="L54" s="30"/>
    </row>
    <row r="55" spans="2:12" x14ac:dyDescent="0.25">
      <c r="C55" s="30"/>
      <c r="D55" s="30"/>
      <c r="E55" s="30"/>
      <c r="F55" s="30"/>
      <c r="G55" s="30"/>
      <c r="H55" s="30"/>
      <c r="I55" s="30"/>
      <c r="J55" s="30"/>
      <c r="K55" s="30"/>
      <c r="L55" s="30"/>
    </row>
    <row r="58" spans="2:12" x14ac:dyDescent="0.25">
      <c r="D58" s="20"/>
    </row>
  </sheetData>
  <mergeCells count="1">
    <mergeCell ref="B9:M9"/>
  </mergeCells>
  <pageMargins left="0.70866141732283472" right="0.70866141732283472" top="0.74803149606299213" bottom="0.74803149606299213" header="0.31496062992125984" footer="0.31496062992125984"/>
  <pageSetup scale="67" orientation="landscape" horizontalDpi="2400" verticalDpi="2400" r:id="rId1"/>
  <drawing r:id="rId2"/>
  <extLst>
    <ext xmlns:x14="http://schemas.microsoft.com/office/spreadsheetml/2009/9/main" uri="{05C60535-1F16-4fd2-B633-F4F36F0B64E0}">
      <x14:sparklineGroups xmlns:xm="http://schemas.microsoft.com/office/excel/2006/main">
        <x14:sparklineGroup displayEmptyCellsAs="gap" markers="1" xr2:uid="{00000000-0003-0000-0100-000000000000}">
          <x14:colorSeries theme="6" tint="-0.499984740745262"/>
          <x14:colorNegative theme="5"/>
          <x14:colorAxis rgb="FF000000"/>
          <x14:colorMarkers theme="1"/>
          <x14:colorFirst theme="4" tint="-0.249977111117893"/>
          <x14:colorLast theme="4" tint="-0.249977111117893"/>
          <x14:colorHigh theme="4" tint="-0.249977111117893"/>
          <x14:colorLow theme="4" tint="-0.249977111117893"/>
          <x14:sparklines>
            <x14:sparkline>
              <xm:f>Ratios!C12:L12</xm:f>
              <xm:sqref>M12</xm:sqref>
            </x14:sparkline>
            <x14:sparkline>
              <xm:f>Ratios!C13:L13</xm:f>
              <xm:sqref>M13</xm:sqref>
            </x14:sparkline>
            <x14:sparkline>
              <xm:f>Ratios!C14:L14</xm:f>
              <xm:sqref>M14</xm:sqref>
            </x14:sparkline>
            <x14:sparkline>
              <xm:f>Ratios!C15:L15</xm:f>
              <xm:sqref>M15</xm:sqref>
            </x14:sparkline>
            <x14:sparkline>
              <xm:f>Ratios!C16:L16</xm:f>
              <xm:sqref>M16</xm:sqref>
            </x14:sparkline>
            <x14:sparkline>
              <xm:f>Ratios!C17:L17</xm:f>
              <xm:sqref>M17</xm:sqref>
            </x14:sparkline>
            <x14:sparkline>
              <xm:f>Ratios!C18:L18</xm:f>
              <xm:sqref>M18</xm:sqref>
            </x14:sparkline>
            <x14:sparkline>
              <xm:f>Ratios!C19:L19</xm:f>
              <xm:sqref>M19</xm:sqref>
            </x14:sparkline>
            <x14:sparkline>
              <xm:f>Ratios!C20:L20</xm:f>
              <xm:sqref>M20</xm:sqref>
            </x14:sparkline>
            <x14:sparkline>
              <xm:f>Ratios!C21:L21</xm:f>
              <xm:sqref>M21</xm:sqref>
            </x14:sparkline>
            <x14:sparkline>
              <xm:f>Ratios!C22:L22</xm:f>
              <xm:sqref>M22</xm:sqref>
            </x14:sparkline>
            <x14:sparkline>
              <xm:f>Ratios!C23:L23</xm:f>
              <xm:sqref>M23</xm:sqref>
            </x14:sparkline>
            <x14:sparkline>
              <xm:f>Ratios!C24:L24</xm:f>
              <xm:sqref>M24</xm:sqref>
            </x14:sparkline>
            <x14:sparkline>
              <xm:f>Ratios!C25:L25</xm:f>
              <xm:sqref>M25</xm:sqref>
            </x14:sparkline>
            <x14:sparkline>
              <xm:f>Ratios!C26:L26</xm:f>
              <xm:sqref>M26</xm:sqref>
            </x14:sparkline>
            <x14:sparkline>
              <xm:f>Ratios!C27:L27</xm:f>
              <xm:sqref>M27</xm:sqref>
            </x14:sparkline>
            <x14:sparkline>
              <xm:f>Ratios!C28:L28</xm:f>
              <xm:sqref>M28</xm:sqref>
            </x14:sparkline>
            <x14:sparkline>
              <xm:f>Ratios!C29:L29</xm:f>
              <xm:sqref>M29</xm:sqref>
            </x14:sparkline>
            <x14:sparkline>
              <xm:f>Ratios!C30:L30</xm:f>
              <xm:sqref>M30</xm:sqref>
            </x14:sparkline>
            <x14:sparkline>
              <xm:f>Ratios!C31:L31</xm:f>
              <xm:sqref>M31</xm:sqref>
            </x14:sparkline>
            <x14:sparkline>
              <xm:f>Ratios!C32:L32</xm:f>
              <xm:sqref>M32</xm:sqref>
            </x14:sparkline>
            <x14:sparkline>
              <xm:f>Ratios!C33:L33</xm:f>
              <xm:sqref>M33</xm:sqref>
            </x14:sparkline>
            <x14:sparkline>
              <xm:f>Ratios!C34:L34</xm:f>
              <xm:sqref>M34</xm:sqref>
            </x14:sparkline>
            <x14:sparkline>
              <xm:f>Ratios!C35:L35</xm:f>
              <xm:sqref>M35</xm:sqref>
            </x14:sparkline>
            <x14:sparkline>
              <xm:f>Ratios!C36:L36</xm:f>
              <xm:sqref>M36</xm:sqref>
            </x14:sparkline>
            <x14:sparkline>
              <xm:f>Ratios!C37:L37</xm:f>
              <xm:sqref>M37</xm:sqref>
            </x14:sparkline>
            <x14:sparkline>
              <xm:f>Ratios!C38:L38</xm:f>
              <xm:sqref>M38</xm:sqref>
            </x14:sparkline>
            <x14:sparkline>
              <xm:f>Ratios!C39:L39</xm:f>
              <xm:sqref>M39</xm:sqref>
            </x14:sparkline>
            <x14:sparkline>
              <xm:f>Ratios!C40:L40</xm:f>
              <xm:sqref>M40</xm:sqref>
            </x14:sparkline>
            <x14:sparkline>
              <xm:f>Ratios!C41:L41</xm:f>
              <xm:sqref>M41</xm:sqref>
            </x14:sparkline>
            <x14:sparkline>
              <xm:f>Ratios!C42:L42</xm:f>
              <xm:sqref>M42</xm:sqref>
            </x14:sparkline>
            <x14:sparkline>
              <xm:f>Ratios!C43:L43</xm:f>
              <xm:sqref>M43</xm:sqref>
            </x14:sparkline>
            <x14:sparkline>
              <xm:f>Ratios!C44:L44</xm:f>
              <xm:sqref>M44</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2:O44"/>
  <sheetViews>
    <sheetView showGridLines="0" zoomScale="80" zoomScaleNormal="80" workbookViewId="0">
      <selection activeCell="K16" sqref="K16"/>
    </sheetView>
  </sheetViews>
  <sheetFormatPr defaultRowHeight="15" x14ac:dyDescent="0.25"/>
  <cols>
    <col min="1" max="1" width="1.85546875" customWidth="1"/>
    <col min="2" max="2" width="40" bestFit="1" customWidth="1"/>
    <col min="3" max="11" width="12.140625" bestFit="1" customWidth="1"/>
    <col min="12" max="12" width="13.7109375" bestFit="1" customWidth="1"/>
  </cols>
  <sheetData>
    <row r="2" spans="1:14" ht="11.25" customHeight="1" x14ac:dyDescent="0.25">
      <c r="B2" s="152"/>
      <c r="C2" s="152"/>
      <c r="D2" s="152"/>
      <c r="E2" s="152"/>
      <c r="F2" s="152"/>
      <c r="G2" s="152"/>
      <c r="H2" s="152"/>
      <c r="I2" s="152"/>
      <c r="J2" s="152"/>
      <c r="K2" s="152"/>
      <c r="L2" s="152"/>
    </row>
    <row r="7" spans="1:14" x14ac:dyDescent="0.25">
      <c r="B7" s="198"/>
      <c r="C7" s="198"/>
      <c r="D7" s="198"/>
      <c r="E7" s="198"/>
      <c r="F7" s="198"/>
      <c r="G7" s="198"/>
      <c r="H7" s="198"/>
      <c r="I7" s="198"/>
      <c r="J7" s="198"/>
      <c r="K7" s="198"/>
      <c r="L7" s="198"/>
    </row>
    <row r="8" spans="1:14" x14ac:dyDescent="0.25">
      <c r="B8" s="27"/>
      <c r="C8" s="27"/>
      <c r="D8" s="27"/>
      <c r="E8" s="27"/>
      <c r="F8" s="27"/>
      <c r="G8" s="27"/>
      <c r="H8" s="27"/>
      <c r="I8" s="27"/>
      <c r="J8" s="27"/>
      <c r="K8" s="27"/>
      <c r="L8" s="27"/>
    </row>
    <row r="9" spans="1:14" x14ac:dyDescent="0.25">
      <c r="B9" s="322" t="str">
        <f>"Vertical Analysis"&amp;" - "&amp;'Data Sheet'!B1</f>
        <v>Vertical Analysis - ULTRATECH CEMENT LTD</v>
      </c>
      <c r="C9" s="322"/>
      <c r="D9" s="322"/>
      <c r="E9" s="322"/>
      <c r="F9" s="322"/>
      <c r="G9" s="322"/>
      <c r="H9" s="322"/>
      <c r="I9" s="322"/>
      <c r="J9" s="322"/>
      <c r="K9" s="322"/>
      <c r="L9" s="322"/>
    </row>
    <row r="10" spans="1:14" x14ac:dyDescent="0.25">
      <c r="B10" s="91" t="s">
        <v>54</v>
      </c>
      <c r="C10" s="92">
        <f>'Data Sheet'!B16</f>
        <v>42460</v>
      </c>
      <c r="D10" s="92">
        <f>'Data Sheet'!C16</f>
        <v>42825</v>
      </c>
      <c r="E10" s="92">
        <f>'Data Sheet'!D16</f>
        <v>43190</v>
      </c>
      <c r="F10" s="92">
        <f>'Data Sheet'!E16</f>
        <v>43555</v>
      </c>
      <c r="G10" s="92">
        <f>'Data Sheet'!F16</f>
        <v>43921</v>
      </c>
      <c r="H10" s="92">
        <f>'Data Sheet'!G16</f>
        <v>44286</v>
      </c>
      <c r="I10" s="92">
        <f>'Data Sheet'!H16</f>
        <v>44651</v>
      </c>
      <c r="J10" s="92">
        <f>'Data Sheet'!I16</f>
        <v>45016</v>
      </c>
      <c r="K10" s="92">
        <f>'Data Sheet'!J16</f>
        <v>45382</v>
      </c>
      <c r="L10" s="92">
        <f>'Data Sheet'!K16</f>
        <v>45747</v>
      </c>
    </row>
    <row r="11" spans="1:14" ht="18.75" x14ac:dyDescent="0.3">
      <c r="A11" s="48" t="s">
        <v>56</v>
      </c>
      <c r="B11" s="97" t="s">
        <v>100</v>
      </c>
      <c r="C11" s="98"/>
      <c r="D11" s="98"/>
      <c r="E11" s="98"/>
      <c r="F11" s="98"/>
      <c r="G11" s="98"/>
      <c r="H11" s="98"/>
      <c r="I11" s="98"/>
      <c r="J11" s="98"/>
      <c r="K11" s="98"/>
      <c r="L11" s="98"/>
    </row>
    <row r="12" spans="1:14" x14ac:dyDescent="0.25">
      <c r="B12" s="19" t="str">
        <f>Historical_FS!B12&amp;" % Sales"</f>
        <v>Sales % Sales</v>
      </c>
      <c r="C12" s="33">
        <f>IFERROR(Historical_FS!C12/Historical_FS!C12,0)</f>
        <v>1</v>
      </c>
      <c r="D12" s="33">
        <f>IFERROR(Historical_FS!D12/Historical_FS!D12,0)</f>
        <v>1</v>
      </c>
      <c r="E12" s="33">
        <f>IFERROR(Historical_FS!E12/Historical_FS!E12,0)</f>
        <v>1</v>
      </c>
      <c r="F12" s="33">
        <f>IFERROR(Historical_FS!F12/Historical_FS!F12,0)</f>
        <v>1</v>
      </c>
      <c r="G12" s="33">
        <f>IFERROR(Historical_FS!G12/Historical_FS!G12,0)</f>
        <v>1</v>
      </c>
      <c r="H12" s="33">
        <f>IFERROR(Historical_FS!H12/Historical_FS!H12,0)</f>
        <v>1</v>
      </c>
      <c r="I12" s="33">
        <f>IFERROR(Historical_FS!I12/Historical_FS!I12,0)</f>
        <v>1</v>
      </c>
      <c r="J12" s="33">
        <f>IFERROR(Historical_FS!J12/Historical_FS!J12,0)</f>
        <v>1</v>
      </c>
      <c r="K12" s="33">
        <f>IFERROR(Historical_FS!K12/Historical_FS!K12,0)</f>
        <v>1</v>
      </c>
      <c r="L12" s="33">
        <f>IFERROR(Historical_FS!L12/Historical_FS!L12,0)</f>
        <v>1</v>
      </c>
    </row>
    <row r="13" spans="1:14" x14ac:dyDescent="0.25">
      <c r="B13" s="19"/>
      <c r="C13" s="33"/>
      <c r="D13" s="33"/>
      <c r="E13" s="33"/>
      <c r="F13" s="33"/>
      <c r="G13" s="33"/>
      <c r="H13" s="33"/>
      <c r="I13" s="33"/>
      <c r="J13" s="33"/>
      <c r="K13" s="33"/>
      <c r="L13" s="33"/>
    </row>
    <row r="14" spans="1:14" x14ac:dyDescent="0.25">
      <c r="B14" s="64" t="str">
        <f>Historical_FS!B18&amp;" % Sales"</f>
        <v>COGS % Sales</v>
      </c>
      <c r="C14" s="65">
        <f>IFERROR(Historical_FS!C19,0)</f>
        <v>0.49286413996765421</v>
      </c>
      <c r="D14" s="65">
        <f>IFERROR(Historical_FS!D19,0)</f>
        <v>0.48487287063535922</v>
      </c>
      <c r="E14" s="65">
        <f>IFERROR(Historical_FS!E19,0)</f>
        <v>0.50822760988062088</v>
      </c>
      <c r="F14" s="65">
        <f>IFERROR(Historical_FS!F19,0)</f>
        <v>0.5240843118537194</v>
      </c>
      <c r="G14" s="65">
        <f>IFERROR(Historical_FS!G19,0)</f>
        <v>0.48552730162628277</v>
      </c>
      <c r="H14" s="65">
        <f>IFERROR(Historical_FS!H19,0)</f>
        <v>0.46612246175585464</v>
      </c>
      <c r="I14" s="65">
        <f>IFERROR(Historical_FS!I19,0)</f>
        <v>0.50451540462021682</v>
      </c>
      <c r="J14" s="65">
        <f>IFERROR(Historical_FS!J19,0)</f>
        <v>0.55822171354260386</v>
      </c>
      <c r="K14" s="65">
        <f>IFERROR(Historical_FS!K19,0)</f>
        <v>0.53782823805560265</v>
      </c>
      <c r="L14" s="65">
        <f>IFERROR(Historical_FS!L19,0)</f>
        <v>0.54264590160006299</v>
      </c>
    </row>
    <row r="15" spans="1:14" x14ac:dyDescent="0.25">
      <c r="B15" s="64" t="str">
        <f>Historical_FS!B21&amp;" % Sales"</f>
        <v>Gross Profit % Sales</v>
      </c>
      <c r="C15" s="65">
        <f>IFERROR(Historical_FS!C22,0)</f>
        <v>0.52557523404539541</v>
      </c>
      <c r="D15" s="65">
        <f>IFERROR(Historical_FS!D22,0)</f>
        <v>0.54066886463573893</v>
      </c>
      <c r="E15" s="65">
        <f>IFERROR(Historical_FS!E22,0)</f>
        <v>0.49958326097159916</v>
      </c>
      <c r="F15" s="65">
        <f>IFERROR(Historical_FS!F22,0)</f>
        <v>0.48435951151722079</v>
      </c>
      <c r="G15" s="65">
        <f>IFERROR(Historical_FS!G22,0)</f>
        <v>0.52981706999476075</v>
      </c>
      <c r="H15" s="65">
        <f>IFERROR(Historical_FS!H22,0)</f>
        <v>0.54770669278134754</v>
      </c>
      <c r="I15" s="65">
        <f>IFERROR(Historical_FS!I22,0)</f>
        <v>0.50821168455648158</v>
      </c>
      <c r="J15" s="65">
        <f>IFERROR(Historical_FS!J22,0)</f>
        <v>0.44979710619769331</v>
      </c>
      <c r="K15" s="65">
        <f>IFERROR(Historical_FS!K22,0)</f>
        <v>0.4700264313800927</v>
      </c>
      <c r="L15" s="65">
        <f>IFERROR(Historical_FS!L22,0)</f>
        <v>0.46257744539440598</v>
      </c>
    </row>
    <row r="16" spans="1:14" x14ac:dyDescent="0.25">
      <c r="B16" s="64" t="str">
        <f>Historical_FS!B24&amp;" % Sales"</f>
        <v>Selling &amp; Other Exp. % Sales</v>
      </c>
      <c r="C16" s="65">
        <f>IFERROR(Historical_FS!C25,0)</f>
        <v>0.31229137876472374</v>
      </c>
      <c r="D16" s="65">
        <f>IFERROR(Historical_FS!D25,0)</f>
        <v>0.30971028897014141</v>
      </c>
      <c r="E16" s="65">
        <f>IFERROR(Historical_FS!E25,0)</f>
        <v>0.29340880904314015</v>
      </c>
      <c r="F16" s="65">
        <f>IFERROR(Historical_FS!F25,0)</f>
        <v>0.29871984788094036</v>
      </c>
      <c r="G16" s="65">
        <f>IFERROR(Historical_FS!G25,0)</f>
        <v>0.29656098566364419</v>
      </c>
      <c r="H16" s="65">
        <f>IFERROR(Historical_FS!H25,0)</f>
        <v>0.27523688788126766</v>
      </c>
      <c r="I16" s="65">
        <f>IFERROR(Historical_FS!I25,0)</f>
        <v>0.27657573371879185</v>
      </c>
      <c r="J16" s="65">
        <f>IFERROR(Historical_FS!J25,0)</f>
        <v>0.27384891646075787</v>
      </c>
      <c r="K16" s="65">
        <f>IFERROR(Historical_FS!K25,0)</f>
        <v>0.27913833306021002</v>
      </c>
      <c r="L16" s="65">
        <f>IFERROR(Historical_FS!L25,0)</f>
        <v>0.28887462900794192</v>
      </c>
      <c r="N16" s="20"/>
    </row>
    <row r="17" spans="1:15" x14ac:dyDescent="0.25">
      <c r="B17" s="64" t="str">
        <f>Historical_FS!B27&amp;" % Sales"</f>
        <v>EBITDA % Sales</v>
      </c>
      <c r="C17" s="65">
        <f>IFERROR(Historical_FS!C28,0)</f>
        <v>0.2132838552806717</v>
      </c>
      <c r="D17" s="65">
        <f>IFERROR(Historical_FS!D28,0)</f>
        <v>0.23095857566559752</v>
      </c>
      <c r="E17" s="65">
        <f>IFERROR(Historical_FS!E28,0)</f>
        <v>0.20617445192845904</v>
      </c>
      <c r="F17" s="65">
        <f>IFERROR(Historical_FS!F28,0)</f>
        <v>0.18563966363628043</v>
      </c>
      <c r="G17" s="65">
        <f>IFERROR(Historical_FS!G28,0)</f>
        <v>0.23325608433111655</v>
      </c>
      <c r="H17" s="65">
        <f>IFERROR(Historical_FS!H28,0)</f>
        <v>0.27246980490007994</v>
      </c>
      <c r="I17" s="65">
        <f>IFERROR(Historical_FS!I28,0)</f>
        <v>0.23163595083768973</v>
      </c>
      <c r="J17" s="65">
        <f>IFERROR(Historical_FS!J28,0)</f>
        <v>0.17594818973693543</v>
      </c>
      <c r="K17" s="65">
        <f>IFERROR(Historical_FS!K28,0)</f>
        <v>0.19088809831988265</v>
      </c>
      <c r="L17" s="65">
        <f>IFERROR(Historical_FS!L28,0)</f>
        <v>0.17370281638646407</v>
      </c>
    </row>
    <row r="18" spans="1:15" x14ac:dyDescent="0.25">
      <c r="B18" s="64" t="str">
        <f>Historical_FS!B30&amp;" % Sales"</f>
        <v>Depreciation % Sales</v>
      </c>
      <c r="C18" s="65">
        <f>IFERROR(Historical_FS!C31,0)</f>
        <v>5.4751197062485789E-2</v>
      </c>
      <c r="D18" s="65">
        <f>IFERROR(Historical_FS!D31,0)</f>
        <v>5.3139435994725509E-2</v>
      </c>
      <c r="E18" s="65">
        <f>IFERROR(Historical_FS!E31,0)</f>
        <v>5.9651785650877934E-2</v>
      </c>
      <c r="F18" s="65">
        <f>IFERROR(Historical_FS!F31,0)</f>
        <v>5.9107487146142057E-2</v>
      </c>
      <c r="G18" s="65">
        <f>IFERROR(Historical_FS!G31,0)</f>
        <v>6.4168443519415197E-2</v>
      </c>
      <c r="H18" s="65">
        <f>IFERROR(Historical_FS!H31,0)</f>
        <v>6.0372983825890202E-2</v>
      </c>
      <c r="I18" s="65">
        <f>IFERROR(Historical_FS!I31,0)</f>
        <v>5.161236476172569E-2</v>
      </c>
      <c r="J18" s="65">
        <f>IFERROR(Historical_FS!J31,0)</f>
        <v>4.566715549245904E-2</v>
      </c>
      <c r="K18" s="65">
        <f>IFERROR(Historical_FS!K31,0)</f>
        <v>4.4357389715764653E-2</v>
      </c>
      <c r="L18" s="65">
        <f>IFERROR(Historical_FS!L31,0)</f>
        <v>5.285949744276653E-2</v>
      </c>
    </row>
    <row r="19" spans="1:15" x14ac:dyDescent="0.25">
      <c r="B19" s="64" t="str">
        <f>Historical_FS!B33&amp;" % Sales"</f>
        <v>EBIT % Sales</v>
      </c>
      <c r="C19" s="65">
        <f>IFERROR(Historical_FS!C34,0)</f>
        <v>0.15853265821818593</v>
      </c>
      <c r="D19" s="65">
        <f>IFERROR(Historical_FS!D34,0)</f>
        <v>0.17781913967087201</v>
      </c>
      <c r="E19" s="65">
        <f>IFERROR(Historical_FS!E34,0)</f>
        <v>0.14652266627758112</v>
      </c>
      <c r="F19" s="65">
        <f>IFERROR(Historical_FS!F34,0)</f>
        <v>0.12653217649013837</v>
      </c>
      <c r="G19" s="65">
        <f>IFERROR(Historical_FS!G34,0)</f>
        <v>0.16908764081170136</v>
      </c>
      <c r="H19" s="65">
        <f>IFERROR(Historical_FS!H34,0)</f>
        <v>0.21209682107418973</v>
      </c>
      <c r="I19" s="65">
        <f>IFERROR(Historical_FS!I34,0)</f>
        <v>0.18002358607596405</v>
      </c>
      <c r="J19" s="65">
        <f>IFERROR(Historical_FS!J34,0)</f>
        <v>0.1302810342444764</v>
      </c>
      <c r="K19" s="65">
        <f>IFERROR(Historical_FS!K34,0)</f>
        <v>0.14653070860411802</v>
      </c>
      <c r="L19" s="65">
        <f>IFERROR(Historical_FS!L34,0)</f>
        <v>0.12084331894369753</v>
      </c>
    </row>
    <row r="20" spans="1:15" x14ac:dyDescent="0.25">
      <c r="B20" s="64" t="str">
        <f>Historical_FS!B36&amp;" % Sales"</f>
        <v>Interest % Sales</v>
      </c>
      <c r="C20" s="65">
        <f>IFERROR(Historical_FS!C37,0)</f>
        <v>2.2513998196653787E-2</v>
      </c>
      <c r="D20" s="65">
        <f>IFERROR(Historical_FS!D37,0)</f>
        <v>2.5225675410464027E-2</v>
      </c>
      <c r="E20" s="65">
        <f>IFERROR(Historical_FS!E37,0)</f>
        <v>3.9950133350033022E-2</v>
      </c>
      <c r="F20" s="65">
        <f>IFERROR(Historical_FS!F37,0)</f>
        <v>4.2878994053869704E-2</v>
      </c>
      <c r="G20" s="65">
        <f>IFERROR(Historical_FS!G37,0)</f>
        <v>4.6939787022780406E-2</v>
      </c>
      <c r="H20" s="65">
        <f>IFERROR(Historical_FS!H37,0)</f>
        <v>3.3216845757929429E-2</v>
      </c>
      <c r="I20" s="65">
        <f>IFERROR(Historical_FS!I37,0)</f>
        <v>1.7960665664996732E-2</v>
      </c>
      <c r="J20" s="65">
        <f>IFERROR(Historical_FS!J37,0)</f>
        <v>1.3009491780357931E-2</v>
      </c>
      <c r="K20" s="65">
        <f>IFERROR(Historical_FS!K37,0)</f>
        <v>1.3651465120929698E-2</v>
      </c>
      <c r="L20" s="65">
        <f>IFERROR(Historical_FS!L37,0)</f>
        <v>2.1730461128826976E-2</v>
      </c>
      <c r="O20" s="20"/>
    </row>
    <row r="21" spans="1:15" x14ac:dyDescent="0.25">
      <c r="B21" s="64" t="str">
        <f>Historical_FS!B39&amp;" % Sales"</f>
        <v>EBT % Sales</v>
      </c>
      <c r="C21" s="65">
        <f>IFERROR(Historical_FS!C40,0)</f>
        <v>0.13601866002153212</v>
      </c>
      <c r="D21" s="65">
        <f>IFERROR(Historical_FS!D40,0)</f>
        <v>0.15259346426040798</v>
      </c>
      <c r="E21" s="65">
        <f>IFERROR(Historical_FS!E40,0)</f>
        <v>0.10657253292754809</v>
      </c>
      <c r="F21" s="65">
        <f>IFERROR(Historical_FS!F40,0)</f>
        <v>8.3653182436268667E-2</v>
      </c>
      <c r="G21" s="65">
        <f>IFERROR(Historical_FS!G40,0)</f>
        <v>0.12214785378892096</v>
      </c>
      <c r="H21" s="65">
        <f>IFERROR(Historical_FS!H40,0)</f>
        <v>0.17887997531626029</v>
      </c>
      <c r="I21" s="65">
        <f>IFERROR(Historical_FS!I40,0)</f>
        <v>0.16206292041096731</v>
      </c>
      <c r="J21" s="65">
        <f>IFERROR(Historical_FS!J40,0)</f>
        <v>0.11727154246411846</v>
      </c>
      <c r="K21" s="65">
        <f>IFERROR(Historical_FS!K40,0)</f>
        <v>0.13287924348318833</v>
      </c>
      <c r="L21" s="65">
        <f>IFERROR(Historical_FS!L40,0)</f>
        <v>9.9112857814870559E-2</v>
      </c>
    </row>
    <row r="22" spans="1:15" x14ac:dyDescent="0.25">
      <c r="B22" s="64" t="str">
        <f>Historical_FS!B45&amp;" % Sales"</f>
        <v>Net Profit % Sales</v>
      </c>
      <c r="C22" s="65">
        <f>IFERROR(Historical_FS!C46,0)</f>
        <v>9.8580540717617404E-2</v>
      </c>
      <c r="D22" s="65">
        <f>IFERROR(Historical_FS!D46,0)</f>
        <v>0.10693660753483544</v>
      </c>
      <c r="E22" s="65">
        <f>IFERROR(Historical_FS!E46,0)</f>
        <v>7.180629737541569E-2</v>
      </c>
      <c r="F22" s="65">
        <f>IFERROR(Historical_FS!F46,0)</f>
        <v>5.7893129800449986E-2</v>
      </c>
      <c r="G22" s="65">
        <f>IFERROR(Historical_FS!G46,0)</f>
        <v>0.13553841407554909</v>
      </c>
      <c r="H22" s="65">
        <f>IFERROR(Historical_FS!H46,0)</f>
        <v>0.12211855349708658</v>
      </c>
      <c r="I22" s="65">
        <f>IFERROR(Historical_FS!I46,0)</f>
        <v>0.13943770232151551</v>
      </c>
      <c r="J22" s="65">
        <f>IFERROR(Historical_FS!J46,0)</f>
        <v>8.0224566800938313E-2</v>
      </c>
      <c r="K22" s="65">
        <f>IFERROR(Historical_FS!K46,0)</f>
        <v>9.8775119471474007E-2</v>
      </c>
      <c r="L22" s="65">
        <f>IFERROR(Historical_FS!L46,0)</f>
        <v>7.9515893133222326E-2</v>
      </c>
    </row>
    <row r="24" spans="1:15" ht="18.75" x14ac:dyDescent="0.3">
      <c r="A24" s="48" t="s">
        <v>56</v>
      </c>
      <c r="B24" s="97" t="s">
        <v>101</v>
      </c>
      <c r="C24" s="98"/>
      <c r="D24" s="98"/>
      <c r="E24" s="98"/>
      <c r="F24" s="98"/>
      <c r="G24" s="98"/>
      <c r="H24" s="98"/>
      <c r="I24" s="98"/>
      <c r="J24" s="98"/>
      <c r="K24" s="98"/>
      <c r="L24" s="98"/>
    </row>
    <row r="25" spans="1:15" x14ac:dyDescent="0.25">
      <c r="B25" s="19" t="str">
        <f>Historical_FS!B80&amp;" % Total Assets"</f>
        <v>Total Assets % Total Assets</v>
      </c>
      <c r="C25" s="33">
        <f>IFERROR(Historical_FS!C80/Historical_FS!C80,0)</f>
        <v>1</v>
      </c>
      <c r="D25" s="33">
        <f>IFERROR(Historical_FS!D80/Historical_FS!D80,0)</f>
        <v>1</v>
      </c>
      <c r="E25" s="33">
        <f>IFERROR(Historical_FS!E80/Historical_FS!E80,0)</f>
        <v>1</v>
      </c>
      <c r="F25" s="33">
        <f>IFERROR(Historical_FS!F80/Historical_FS!F80,0)</f>
        <v>1</v>
      </c>
      <c r="G25" s="33">
        <f>IFERROR(Historical_FS!G80/Historical_FS!G80,0)</f>
        <v>1</v>
      </c>
      <c r="H25" s="33">
        <f>IFERROR(Historical_FS!H80/Historical_FS!H80,0)</f>
        <v>1</v>
      </c>
      <c r="I25" s="33">
        <f>IFERROR(Historical_FS!I80/Historical_FS!I80,0)</f>
        <v>1</v>
      </c>
      <c r="J25" s="33">
        <f>IFERROR(Historical_FS!J80/Historical_FS!J80,0)</f>
        <v>1</v>
      </c>
      <c r="K25" s="33">
        <f>IFERROR(Historical_FS!K80/Historical_FS!K80,0)</f>
        <v>1</v>
      </c>
      <c r="L25" s="33">
        <f>IFERROR(Historical_FS!L80/Historical_FS!L80,0)</f>
        <v>1</v>
      </c>
    </row>
    <row r="26" spans="1:15" x14ac:dyDescent="0.25">
      <c r="B26" s="19"/>
      <c r="C26" s="33"/>
      <c r="D26" s="33"/>
      <c r="E26" s="33"/>
      <c r="F26" s="33"/>
      <c r="G26" s="33"/>
      <c r="H26" s="33"/>
      <c r="I26" s="33"/>
      <c r="J26" s="33"/>
      <c r="K26" s="33"/>
      <c r="L26" s="33"/>
    </row>
    <row r="27" spans="1:15" x14ac:dyDescent="0.25">
      <c r="B27" s="64" t="str">
        <f>Historical_FS!B68&amp;" % Total Assets"</f>
        <v>Net Block % Total Assets</v>
      </c>
      <c r="C27" s="65">
        <f>IFERROR(Historical_FS!C68/Historical_FS!C$80,0)</f>
        <v>0.61440906015593377</v>
      </c>
      <c r="D27" s="65">
        <f>IFERROR(Historical_FS!D68/Historical_FS!D$80,0)</f>
        <v>0.61370045471226475</v>
      </c>
      <c r="E27" s="65">
        <f>IFERROR(Historical_FS!E68/Historical_FS!E$80,0)</f>
        <v>0.6950392440886235</v>
      </c>
      <c r="F27" s="65">
        <f>IFERROR(Historical_FS!F68/Historical_FS!F$80,0)</f>
        <v>0.74020707119743423</v>
      </c>
      <c r="G27" s="65">
        <f>IFERROR(Historical_FS!G68/Historical_FS!G$80,0)</f>
        <v>0.72147722726630625</v>
      </c>
      <c r="H27" s="65">
        <f>IFERROR(Historical_FS!H68/Historical_FS!H$80,0)</f>
        <v>0.64300251751205528</v>
      </c>
      <c r="I27" s="65">
        <f>IFERROR(Historical_FS!I68/Historical_FS!I$80,0)</f>
        <v>0.66205245966421777</v>
      </c>
      <c r="J27" s="65">
        <f>IFERROR(Historical_FS!J68/Historical_FS!J$80,0)</f>
        <v>0.65198882911433964</v>
      </c>
      <c r="K27" s="65">
        <f>IFERROR(Historical_FS!K68/Historical_FS!K$80,0)</f>
        <v>0.62380369834016069</v>
      </c>
      <c r="L27" s="65">
        <f>IFERROR(Historical_FS!L68/Historical_FS!L$80,0)</f>
        <v>0.7076462040621091</v>
      </c>
    </row>
    <row r="28" spans="1:15" x14ac:dyDescent="0.25">
      <c r="B28" s="64" t="str">
        <f>Historical_FS!B69&amp;" % Total Assets"</f>
        <v>Capital Work in Progress % Total Assets</v>
      </c>
      <c r="C28" s="65">
        <f>IFERROR(Historical_FS!C69/Historical_FS!C$80,0)</f>
        <v>3.5663488384343883E-2</v>
      </c>
      <c r="D28" s="65">
        <f>IFERROR(Historical_FS!D69/Historical_FS!D$80,0)</f>
        <v>2.1831306085345083E-2</v>
      </c>
      <c r="E28" s="65">
        <f>IFERROR(Historical_FS!E69/Historical_FS!E$80,0)</f>
        <v>2.6446992873254603E-2</v>
      </c>
      <c r="F28" s="65">
        <f>IFERROR(Historical_FS!F69/Historical_FS!F$80,0)</f>
        <v>1.5071080348909124E-2</v>
      </c>
      <c r="G28" s="65">
        <f>IFERROR(Historical_FS!G69/Historical_FS!G$80,0)</f>
        <v>1.1608960609267501E-2</v>
      </c>
      <c r="H28" s="65">
        <f>IFERROR(Historical_FS!H69/Historical_FS!H$80,0)</f>
        <v>1.9572423292469457E-2</v>
      </c>
      <c r="I28" s="65">
        <f>IFERROR(Historical_FS!I69/Historical_FS!I$80,0)</f>
        <v>5.708850724912972E-2</v>
      </c>
      <c r="J28" s="65">
        <f>IFERROR(Historical_FS!J69/Historical_FS!J$80,0)</f>
        <v>4.4215061435493828E-2</v>
      </c>
      <c r="K28" s="65">
        <f>IFERROR(Historical_FS!K69/Historical_FS!K$80,0)</f>
        <v>6.7573167524346681E-2</v>
      </c>
      <c r="L28" s="65">
        <f>IFERROR(Historical_FS!L69/Historical_FS!L$80,0)</f>
        <v>4.665190374226065E-2</v>
      </c>
    </row>
    <row r="29" spans="1:15" x14ac:dyDescent="0.25">
      <c r="B29" s="64" t="str">
        <f>Historical_FS!B70&amp;" % Total Assets"</f>
        <v>Investments % Total Assets</v>
      </c>
      <c r="C29" s="65">
        <f>IFERROR(Historical_FS!C70/Historical_FS!C$80,0)</f>
        <v>0.12369010254384775</v>
      </c>
      <c r="D29" s="65">
        <f>IFERROR(Historical_FS!D70/Historical_FS!D$80,0)</f>
        <v>0.1585086726538418</v>
      </c>
      <c r="E29" s="65">
        <f>IFERROR(Historical_FS!E70/Historical_FS!E$80,0)</f>
        <v>9.5323697885357092E-2</v>
      </c>
      <c r="F29" s="65">
        <f>IFERROR(Historical_FS!F70/Historical_FS!F$80,0)</f>
        <v>3.8174660246660677E-2</v>
      </c>
      <c r="G29" s="65">
        <f>IFERROR(Historical_FS!G70/Historical_FS!G$80,0)</f>
        <v>7.4844146494152969E-2</v>
      </c>
      <c r="H29" s="65">
        <f>IFERROR(Historical_FS!H70/Historical_FS!H$80,0)</f>
        <v>0.14131614996457847</v>
      </c>
      <c r="I29" s="65">
        <f>IFERROR(Historical_FS!I70/Historical_FS!I$80,0)</f>
        <v>7.5595527293171455E-2</v>
      </c>
      <c r="J29" s="65">
        <f>IFERROR(Historical_FS!J70/Historical_FS!J$80,0)</f>
        <v>7.9852462891385909E-2</v>
      </c>
      <c r="K29" s="65">
        <f>IFERROR(Historical_FS!K70/Historical_FS!K$80,0)</f>
        <v>8.1837167752130999E-2</v>
      </c>
      <c r="L29" s="65">
        <f>IFERROR(Historical_FS!L70/Historical_FS!L$80,0)</f>
        <v>3.8587072593208552E-2</v>
      </c>
    </row>
    <row r="30" spans="1:15" x14ac:dyDescent="0.25">
      <c r="B30" s="64" t="str">
        <f>Historical_FS!B71&amp;" % Total Assets"</f>
        <v>Other Assets % Total Assets</v>
      </c>
      <c r="C30" s="65">
        <f>IFERROR(Historical_FS!C71/Historical_FS!C$80,0)</f>
        <v>6.4808653680190689E-2</v>
      </c>
      <c r="D30" s="65">
        <f>IFERROR(Historical_FS!D71/Historical_FS!D$80,0)</f>
        <v>5.4179299208156735E-2</v>
      </c>
      <c r="E30" s="65">
        <f>IFERROR(Historical_FS!E71/Historical_FS!E$80,0)</f>
        <v>8.3309401343236542E-2</v>
      </c>
      <c r="F30" s="65">
        <f>IFERROR(Historical_FS!F71/Historical_FS!F$80,0)</f>
        <v>0.10689827438926462</v>
      </c>
      <c r="G30" s="65">
        <f>IFERROR(Historical_FS!G71/Historical_FS!G$80,0)</f>
        <v>0.10235702587717975</v>
      </c>
      <c r="H30" s="65">
        <f>IFERROR(Historical_FS!H71/Historical_FS!H$80,0)</f>
        <v>9.6345459049959781E-2</v>
      </c>
      <c r="I30" s="65">
        <f>IFERROR(Historical_FS!I71/Historical_FS!I$80,0)</f>
        <v>9.7564962491993937E-2</v>
      </c>
      <c r="J30" s="65">
        <f>IFERROR(Historical_FS!J71/Historical_FS!J$80,0)</f>
        <v>9.6690537576985883E-2</v>
      </c>
      <c r="K30" s="65">
        <f>IFERROR(Historical_FS!K71/Historical_FS!K$80,0)</f>
        <v>9.393384393659697E-2</v>
      </c>
      <c r="L30" s="65">
        <f>IFERROR(Historical_FS!L71/Historical_FS!L$80,0)</f>
        <v>7.8952835120554163E-2</v>
      </c>
      <c r="N30" s="20"/>
    </row>
    <row r="31" spans="1:15" x14ac:dyDescent="0.25">
      <c r="B31" s="64" t="str">
        <f>Historical_FS!B72&amp;" % Total Assets"</f>
        <v>Total Non Current Assets % Total Assets</v>
      </c>
      <c r="C31" s="65">
        <f>IFERROR(Historical_FS!C72/Historical_FS!C$80,0)</f>
        <v>0.83857130476431618</v>
      </c>
      <c r="D31" s="65">
        <f>IFERROR(Historical_FS!D72/Historical_FS!D$80,0)</f>
        <v>0.84821973265960826</v>
      </c>
      <c r="E31" s="65">
        <f>IFERROR(Historical_FS!E72/Historical_FS!E$80,0)</f>
        <v>0.90011933619047169</v>
      </c>
      <c r="F31" s="65">
        <f>IFERROR(Historical_FS!F72/Historical_FS!F$80,0)</f>
        <v>0.90035108618226878</v>
      </c>
      <c r="G31" s="65">
        <f>IFERROR(Historical_FS!G72/Historical_FS!G$80,0)</f>
        <v>0.91028736024690649</v>
      </c>
      <c r="H31" s="65">
        <f>IFERROR(Historical_FS!H72/Historical_FS!H$80,0)</f>
        <v>0.90023654981906287</v>
      </c>
      <c r="I31" s="65">
        <f>IFERROR(Historical_FS!I72/Historical_FS!I$80,0)</f>
        <v>0.8923014566985128</v>
      </c>
      <c r="J31" s="65">
        <f>IFERROR(Historical_FS!J72/Historical_FS!J$80,0)</f>
        <v>0.87274689101820513</v>
      </c>
      <c r="K31" s="65">
        <f>IFERROR(Historical_FS!K72/Historical_FS!K$80,0)</f>
        <v>0.86714787755323541</v>
      </c>
      <c r="L31" s="65">
        <f>IFERROR(Historical_FS!L72/Historical_FS!L$80,0)</f>
        <v>0.87183801551813245</v>
      </c>
    </row>
    <row r="32" spans="1:15" x14ac:dyDescent="0.25">
      <c r="B32" s="64" t="str">
        <f>Historical_FS!B75&amp;" % Total Assets"</f>
        <v>Receivables % Total Assets</v>
      </c>
      <c r="C32" s="65">
        <f>IFERROR(Historical_FS!C75/Historical_FS!C$80,0)</f>
        <v>4.6809041609142892E-2</v>
      </c>
      <c r="D32" s="65">
        <f>IFERROR(Historical_FS!D75/Historical_FS!D$80,0)</f>
        <v>4.162821722609171E-2</v>
      </c>
      <c r="E32" s="65">
        <f>IFERROR(Historical_FS!E75/Historical_FS!E$80,0)</f>
        <v>3.8862226814364235E-2</v>
      </c>
      <c r="F32" s="65">
        <f>IFERROR(Historical_FS!F75/Historical_FS!F$80,0)</f>
        <v>3.6419686699979366E-2</v>
      </c>
      <c r="G32" s="65">
        <f>IFERROR(Historical_FS!G75/Historical_FS!G$80,0)</f>
        <v>3.0085915574569636E-2</v>
      </c>
      <c r="H32" s="65">
        <f>IFERROR(Historical_FS!H75/Historical_FS!H$80,0)</f>
        <v>2.9842642441922876E-2</v>
      </c>
      <c r="I32" s="65">
        <f>IFERROR(Historical_FS!I75/Historical_FS!I$80,0)</f>
        <v>3.6649054114808198E-2</v>
      </c>
      <c r="J32" s="65">
        <f>IFERROR(Historical_FS!J75/Historical_FS!J$80,0)</f>
        <v>4.2317827455340538E-2</v>
      </c>
      <c r="K32" s="65">
        <f>IFERROR(Historical_FS!K75/Historical_FS!K$80,0)</f>
        <v>4.244328036785975E-2</v>
      </c>
      <c r="L32" s="65">
        <f>IFERROR(Historical_FS!L75/Historical_FS!L$80,0)</f>
        <v>4.4078120175652463E-2</v>
      </c>
    </row>
    <row r="33" spans="1:12" x14ac:dyDescent="0.25">
      <c r="B33" s="64" t="str">
        <f>Historical_FS!B76&amp;" % Total Assets"</f>
        <v>Inventory % Total Assets</v>
      </c>
      <c r="C33" s="65">
        <f>IFERROR(Historical_FS!C76/Historical_FS!C$80,0)</f>
        <v>5.9587149404354271E-2</v>
      </c>
      <c r="D33" s="65">
        <f>IFERROR(Historical_FS!D76/Historical_FS!D$80,0)</f>
        <v>5.6874925815777681E-2</v>
      </c>
      <c r="E33" s="65">
        <f>IFERROR(Historical_FS!E76/Historical_FS!E$80,0)</f>
        <v>5.7184593433551929E-2</v>
      </c>
      <c r="F33" s="65">
        <f>IFERROR(Historical_FS!F76/Historical_FS!F$80,0)</f>
        <v>5.3563413022374141E-2</v>
      </c>
      <c r="G33" s="65">
        <f>IFERROR(Historical_FS!G76/Historical_FS!G$80,0)</f>
        <v>5.28108671960104E-2</v>
      </c>
      <c r="H33" s="65">
        <f>IFERROR(Historical_FS!H76/Historical_FS!H$80,0)</f>
        <v>4.6624973092965767E-2</v>
      </c>
      <c r="I33" s="65">
        <f>IFERROR(Historical_FS!I76/Historical_FS!I$80,0)</f>
        <v>6.676391671590419E-2</v>
      </c>
      <c r="J33" s="65">
        <f>IFERROR(Historical_FS!J76/Historical_FS!J$80,0)</f>
        <v>7.2355012672301725E-2</v>
      </c>
      <c r="K33" s="65">
        <f>IFERROR(Historical_FS!K76/Historical_FS!K$80,0)</f>
        <v>8.2638678827200496E-2</v>
      </c>
      <c r="L33" s="65">
        <f>IFERROR(Historical_FS!L76/Historical_FS!L$80,0)</f>
        <v>7.1562018874811922E-2</v>
      </c>
    </row>
    <row r="34" spans="1:12" x14ac:dyDescent="0.25">
      <c r="B34" s="64" t="str">
        <f>Historical_FS!B77&amp;" % Total Assets"</f>
        <v>Cash &amp; Bank % Total Assets</v>
      </c>
      <c r="C34" s="65">
        <f>IFERROR(Historical_FS!C77/Historical_FS!C$80,0)</f>
        <v>5.5032504222186675E-2</v>
      </c>
      <c r="D34" s="65">
        <f>IFERROR(Historical_FS!D77/Historical_FS!D$80,0)</f>
        <v>5.3277124298522292E-2</v>
      </c>
      <c r="E34" s="65">
        <f>IFERROR(Historical_FS!E77/Historical_FS!E$80,0)</f>
        <v>3.8338435616121426E-3</v>
      </c>
      <c r="F34" s="65">
        <f>IFERROR(Historical_FS!F77/Historical_FS!F$80,0)</f>
        <v>9.6658140953777786E-3</v>
      </c>
      <c r="G34" s="65">
        <f>IFERROR(Historical_FS!G77/Historical_FS!G$80,0)</f>
        <v>6.8158569825135283E-3</v>
      </c>
      <c r="H34" s="65">
        <f>IFERROR(Historical_FS!H77/Historical_FS!H$80,0)</f>
        <v>2.3295834646048483E-2</v>
      </c>
      <c r="I34" s="65">
        <f>IFERROR(Historical_FS!I77/Historical_FS!I$80,0)</f>
        <v>4.2855724707748736E-3</v>
      </c>
      <c r="J34" s="65">
        <f>IFERROR(Historical_FS!J77/Historical_FS!J$80,0)</f>
        <v>1.2580268854152532E-2</v>
      </c>
      <c r="K34" s="65">
        <f>IFERROR(Historical_FS!K77/Historical_FS!K$80,0)</f>
        <v>7.7701632517043397E-3</v>
      </c>
      <c r="L34" s="65">
        <f>IFERROR(Historical_FS!L77/Historical_FS!L$80,0)</f>
        <v>1.2521845431403212E-2</v>
      </c>
    </row>
    <row r="35" spans="1:12" x14ac:dyDescent="0.25">
      <c r="B35" s="64" t="str">
        <f>Historical_FS!B78&amp;" % Total Assets"</f>
        <v>Total Current Assets % Total Assets</v>
      </c>
      <c r="C35" s="65">
        <f>IFERROR(Historical_FS!C78/Historical_FS!C$80,0)</f>
        <v>0.16142869523568382</v>
      </c>
      <c r="D35" s="65">
        <f>IFERROR(Historical_FS!D78/Historical_FS!D$80,0)</f>
        <v>0.15178026734039168</v>
      </c>
      <c r="E35" s="65">
        <f>IFERROR(Historical_FS!E78/Historical_FS!E$80,0)</f>
        <v>9.98806638095283E-2</v>
      </c>
      <c r="F35" s="65">
        <f>IFERROR(Historical_FS!F78/Historical_FS!F$80,0)</f>
        <v>9.9648913817731291E-2</v>
      </c>
      <c r="G35" s="65">
        <f>IFERROR(Historical_FS!G78/Historical_FS!G$80,0)</f>
        <v>8.9712639753093557E-2</v>
      </c>
      <c r="H35" s="65">
        <f>IFERROR(Historical_FS!H78/Historical_FS!H$80,0)</f>
        <v>9.976345018093713E-2</v>
      </c>
      <c r="I35" s="65">
        <f>IFERROR(Historical_FS!I78/Historical_FS!I$80,0)</f>
        <v>0.10769854330148727</v>
      </c>
      <c r="J35" s="65">
        <f>IFERROR(Historical_FS!J78/Historical_FS!J$80,0)</f>
        <v>0.12725310898179479</v>
      </c>
      <c r="K35" s="65">
        <f>IFERROR(Historical_FS!K78/Historical_FS!K$80,0)</f>
        <v>0.13285212244676459</v>
      </c>
      <c r="L35" s="65">
        <f>IFERROR(Historical_FS!L78/Historical_FS!L$80,0)</f>
        <v>0.12816198448186761</v>
      </c>
    </row>
    <row r="37" spans="1:12" ht="18.75" x14ac:dyDescent="0.3">
      <c r="A37" s="48" t="s">
        <v>56</v>
      </c>
      <c r="B37" s="97" t="s">
        <v>102</v>
      </c>
      <c r="C37" s="98"/>
      <c r="D37" s="98"/>
      <c r="E37" s="98"/>
      <c r="F37" s="98"/>
      <c r="G37" s="98"/>
      <c r="H37" s="98"/>
      <c r="I37" s="98"/>
      <c r="J37" s="98"/>
      <c r="K37" s="98"/>
      <c r="L37" s="98"/>
    </row>
    <row r="38" spans="1:12" x14ac:dyDescent="0.25">
      <c r="B38" s="34" t="s">
        <v>103</v>
      </c>
      <c r="C38" s="42">
        <f>IFERROR(Historical_FS!C63+Historical_FS!C64,0)</f>
        <v>19247.48</v>
      </c>
      <c r="D38" s="42">
        <f>IFERROR(Historical_FS!D63+Historical_FS!D64,0)</f>
        <v>17817.22</v>
      </c>
      <c r="E38" s="42">
        <f>IFERROR(Historical_FS!E63+Historical_FS!E64,0)</f>
        <v>30759.93</v>
      </c>
      <c r="F38" s="42">
        <f>IFERROR(Historical_FS!F63+Historical_FS!F64,0)</f>
        <v>42774.720000000001</v>
      </c>
      <c r="G38" s="42">
        <f>IFERROR(Historical_FS!G63+Historical_FS!G64,0)</f>
        <v>40170.050000000003</v>
      </c>
      <c r="H38" s="42">
        <f>IFERROR(Historical_FS!H63+Historical_FS!H64,0)</f>
        <v>42001.67</v>
      </c>
      <c r="I38" s="42">
        <f>IFERROR(Historical_FS!I63+Historical_FS!I64,0)</f>
        <v>33376.17</v>
      </c>
      <c r="J38" s="42">
        <f>IFERROR(Historical_FS!J63+Historical_FS!J64,0)</f>
        <v>37055.86</v>
      </c>
      <c r="K38" s="42">
        <f>IFERROR(Historical_FS!K63+Historical_FS!K64,0)</f>
        <v>40569.630000000005</v>
      </c>
      <c r="L38" s="42">
        <f>IFERROR(Historical_FS!L63+Historical_FS!L64,0)</f>
        <v>62925.29</v>
      </c>
    </row>
    <row r="39" spans="1:12" x14ac:dyDescent="0.25">
      <c r="B39" s="19" t="str">
        <f>B38&amp;" % Total Liabilities"</f>
        <v>Total Liabilities % Total Liabilities</v>
      </c>
      <c r="C39" s="33">
        <f>IFERROR(C38/C38,0)</f>
        <v>1</v>
      </c>
      <c r="D39" s="33">
        <f t="shared" ref="D39:L39" si="0">IFERROR(D38/D38,0)</f>
        <v>1</v>
      </c>
      <c r="E39" s="33">
        <f t="shared" si="0"/>
        <v>1</v>
      </c>
      <c r="F39" s="33">
        <f t="shared" si="0"/>
        <v>1</v>
      </c>
      <c r="G39" s="33">
        <f t="shared" si="0"/>
        <v>1</v>
      </c>
      <c r="H39" s="33">
        <f t="shared" si="0"/>
        <v>1</v>
      </c>
      <c r="I39" s="33">
        <f t="shared" si="0"/>
        <v>1</v>
      </c>
      <c r="J39" s="33">
        <f t="shared" si="0"/>
        <v>1</v>
      </c>
      <c r="K39" s="33">
        <f t="shared" si="0"/>
        <v>1</v>
      </c>
      <c r="L39" s="33">
        <f t="shared" si="0"/>
        <v>1</v>
      </c>
    </row>
    <row r="40" spans="1:12" x14ac:dyDescent="0.25">
      <c r="B40" s="20"/>
      <c r="C40" s="32"/>
      <c r="D40" s="32"/>
      <c r="E40" s="32"/>
      <c r="F40" s="32"/>
      <c r="G40" s="32"/>
      <c r="H40" s="32"/>
      <c r="I40" s="32"/>
      <c r="J40" s="32"/>
      <c r="K40" s="32"/>
      <c r="L40" s="32"/>
    </row>
    <row r="41" spans="1:12" x14ac:dyDescent="0.25">
      <c r="B41" s="64" t="str">
        <f>Historical_FS!B61&amp;" % Total Liabilities"</f>
        <v>Equity Share Capital % Total Liabilities</v>
      </c>
      <c r="C41" s="65">
        <f>IFERROR(Historical_FS!C61/Vertical!C$38,0)</f>
        <v>1.4257970394046389E-2</v>
      </c>
      <c r="D41" s="65">
        <f>IFERROR(Historical_FS!D61/Vertical!D$38,0)</f>
        <v>1.5407005133236272E-2</v>
      </c>
      <c r="E41" s="65">
        <f>IFERROR(Historical_FS!E61/Vertical!E$38,0)</f>
        <v>8.9275235671862716E-3</v>
      </c>
      <c r="F41" s="65">
        <f>IFERROR(Historical_FS!F61/Vertical!F$38,0)</f>
        <v>6.4206147930366345E-3</v>
      </c>
      <c r="G41" s="65">
        <f>IFERROR(Historical_FS!G61/Vertical!G$38,0)</f>
        <v>7.1852039019119959E-3</v>
      </c>
      <c r="H41" s="65">
        <f>IFERROR(Historical_FS!H61/Vertical!H$38,0)</f>
        <v>6.8723457900602518E-3</v>
      </c>
      <c r="I41" s="65">
        <f>IFERROR(Historical_FS!I61/Vertical!I$38,0)</f>
        <v>8.6489851891334447E-3</v>
      </c>
      <c r="J41" s="65">
        <f>IFERROR(Historical_FS!J61/Vertical!J$38,0)</f>
        <v>7.7906706253747715E-3</v>
      </c>
      <c r="K41" s="65">
        <f>IFERROR(Historical_FS!K61/Vertical!K$38,0)</f>
        <v>7.1159140470346896E-3</v>
      </c>
      <c r="L41" s="65">
        <f>IFERROR(Historical_FS!L61/Vertical!L$38,0)</f>
        <v>4.6830137771315793E-3</v>
      </c>
    </row>
    <row r="42" spans="1:12" x14ac:dyDescent="0.25">
      <c r="B42" s="64" t="str">
        <f>Historical_FS!B62&amp;" % Total Liabilities"</f>
        <v>Reserves % Total Liabilities</v>
      </c>
      <c r="C42" s="65">
        <f>IFERROR(Historical_FS!C62/Vertical!C$38,0)</f>
        <v>1.1259240170661302</v>
      </c>
      <c r="D42" s="65">
        <f>IFERROR(Historical_FS!D62/Vertical!D$38,0)</f>
        <v>1.3535994953196964</v>
      </c>
      <c r="E42" s="65">
        <f>IFERROR(Historical_FS!E62/Vertical!E$38,0)</f>
        <v>0.84871942166318326</v>
      </c>
      <c r="F42" s="65">
        <f>IFERROR(Historical_FS!F62/Vertical!F$38,0)</f>
        <v>0.78261201943577896</v>
      </c>
      <c r="G42" s="65">
        <f>IFERROR(Historical_FS!G62/Vertical!G$38,0)</f>
        <v>0.96477674287186588</v>
      </c>
      <c r="H42" s="65">
        <f>IFERROR(Historical_FS!H62/Vertical!H$38,0)</f>
        <v>1.0448639304103862</v>
      </c>
      <c r="I42" s="65">
        <f>IFERROR(Historical_FS!I62/Vertical!I$38,0)</f>
        <v>1.5024671794277176</v>
      </c>
      <c r="J42" s="65">
        <f>IFERROR(Historical_FS!J62/Vertical!J$38,0)</f>
        <v>1.4582268499503181</v>
      </c>
      <c r="K42" s="65">
        <f>IFERROR(Historical_FS!K62/Vertical!K$38,0)</f>
        <v>1.4774300381837349</v>
      </c>
      <c r="L42" s="65">
        <f>IFERROR(Historical_FS!L62/Vertical!L$38,0)</f>
        <v>1.1189791894483123</v>
      </c>
    </row>
    <row r="43" spans="1:12" x14ac:dyDescent="0.25">
      <c r="B43" s="64" t="str">
        <f>Historical_FS!B63&amp;" % Total Liabilities"</f>
        <v>Borrowings % Total Liabilities</v>
      </c>
      <c r="C43" s="65">
        <f>IFERROR(Historical_FS!C63/Vertical!C$38,0)</f>
        <v>0.55155220319750953</v>
      </c>
      <c r="D43" s="65">
        <f>IFERROR(Historical_FS!D63/Vertical!D$38,0)</f>
        <v>0.47563480722581858</v>
      </c>
      <c r="E43" s="65">
        <f>IFERROR(Historical_FS!E63/Vertical!E$38,0)</f>
        <v>0.63329858032836883</v>
      </c>
      <c r="F43" s="65">
        <f>IFERROR(Historical_FS!F63/Vertical!F$38,0)</f>
        <v>0.5923358469675547</v>
      </c>
      <c r="G43" s="65">
        <f>IFERROR(Historical_FS!G63/Vertical!G$38,0)</f>
        <v>0.57303787274349915</v>
      </c>
      <c r="H43" s="65">
        <f>IFERROR(Historical_FS!H63/Vertical!H$38,0)</f>
        <v>0.51710777214334569</v>
      </c>
      <c r="I43" s="65">
        <f>IFERROR(Historical_FS!I63/Vertical!I$38,0)</f>
        <v>0.3385289564380814</v>
      </c>
      <c r="J43" s="65">
        <f>IFERROR(Historical_FS!J63/Vertical!J$38,0)</f>
        <v>0.29840732343008636</v>
      </c>
      <c r="K43" s="65">
        <f>IFERROR(Historical_FS!K63/Vertical!K$38,0)</f>
        <v>0.28107108691895882</v>
      </c>
      <c r="L43" s="65">
        <f>IFERROR(Historical_FS!L63/Vertical!L$38,0)</f>
        <v>0.38302850888728524</v>
      </c>
    </row>
    <row r="44" spans="1:12" x14ac:dyDescent="0.25">
      <c r="B44" s="64" t="str">
        <f>Historical_FS!B64&amp;" % Total Liabilities"</f>
        <v>Other Liabilities % Total Liabilities</v>
      </c>
      <c r="C44" s="65">
        <f>IFERROR(Historical_FS!C64/Vertical!C$38,0)</f>
        <v>0.44844779680249053</v>
      </c>
      <c r="D44" s="65">
        <f>IFERROR(Historical_FS!D64/Vertical!D$38,0)</f>
        <v>0.52436519277418137</v>
      </c>
      <c r="E44" s="65">
        <f>IFERROR(Historical_FS!E64/Vertical!E$38,0)</f>
        <v>0.36670141967163122</v>
      </c>
      <c r="F44" s="65">
        <f>IFERROR(Historical_FS!F64/Vertical!F$38,0)</f>
        <v>0.40766415303244535</v>
      </c>
      <c r="G44" s="65">
        <f>IFERROR(Historical_FS!G64/Vertical!G$38,0)</f>
        <v>0.42696212725650079</v>
      </c>
      <c r="H44" s="65">
        <f>IFERROR(Historical_FS!H64/Vertical!H$38,0)</f>
        <v>0.48289222785665425</v>
      </c>
      <c r="I44" s="65">
        <f>IFERROR(Historical_FS!I64/Vertical!I$38,0)</f>
        <v>0.66147104356191855</v>
      </c>
      <c r="J44" s="65">
        <f>IFERROR(Historical_FS!J64/Vertical!J$38,0)</f>
        <v>0.70159267656991364</v>
      </c>
      <c r="K44" s="65">
        <f>IFERROR(Historical_FS!K64/Vertical!K$38,0)</f>
        <v>0.71892891308104112</v>
      </c>
      <c r="L44" s="65">
        <f>IFERROR(Historical_FS!L64/Vertical!L$38,0)</f>
        <v>0.61697149111271476</v>
      </c>
    </row>
  </sheetData>
  <mergeCells count="1">
    <mergeCell ref="B9:L9"/>
  </mergeCells>
  <pageMargins left="0.7" right="0.7" top="0.75" bottom="0.75" header="0.3" footer="0.3"/>
  <pageSetup scale="74" orientation="landscape"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2:N89"/>
  <sheetViews>
    <sheetView showGridLines="0" zoomScale="80" zoomScaleNormal="80" workbookViewId="0">
      <selection activeCell="H17" sqref="H17"/>
    </sheetView>
  </sheetViews>
  <sheetFormatPr defaultRowHeight="15" x14ac:dyDescent="0.25"/>
  <cols>
    <col min="1" max="1" width="1.85546875" customWidth="1"/>
    <col min="2" max="2" width="34.28515625" customWidth="1"/>
    <col min="3" max="10" width="12.7109375" customWidth="1"/>
    <col min="11" max="12" width="13.7109375" bestFit="1" customWidth="1"/>
    <col min="13" max="13" width="14.28515625" customWidth="1"/>
  </cols>
  <sheetData>
    <row r="2" spans="1:14" x14ac:dyDescent="0.25">
      <c r="B2" s="152"/>
      <c r="C2" s="152"/>
      <c r="D2" s="152"/>
      <c r="E2" s="152"/>
      <c r="F2" s="152"/>
      <c r="G2" s="152"/>
      <c r="H2" s="152"/>
      <c r="I2" s="152"/>
      <c r="J2" s="152"/>
      <c r="K2" s="152"/>
      <c r="L2" s="152"/>
      <c r="M2" s="152"/>
    </row>
    <row r="7" spans="1:14" x14ac:dyDescent="0.25">
      <c r="B7" s="198"/>
      <c r="C7" s="198"/>
      <c r="D7" s="198"/>
      <c r="E7" s="198"/>
      <c r="F7" s="198"/>
      <c r="G7" s="198"/>
      <c r="H7" s="198"/>
      <c r="I7" s="198"/>
      <c r="J7" s="198"/>
      <c r="K7" s="198"/>
      <c r="L7" s="198"/>
      <c r="M7" s="198"/>
    </row>
    <row r="8" spans="1:14" x14ac:dyDescent="0.25">
      <c r="B8" s="27"/>
      <c r="C8" s="27"/>
      <c r="D8" s="27"/>
      <c r="E8" s="27"/>
      <c r="F8" s="27"/>
      <c r="G8" s="27"/>
      <c r="H8" s="27"/>
      <c r="I8" s="27"/>
      <c r="J8" s="27"/>
      <c r="K8" s="27"/>
      <c r="L8" s="27"/>
    </row>
    <row r="9" spans="1:14" x14ac:dyDescent="0.25">
      <c r="B9" s="322" t="str">
        <f>"Horizontal Analysis"&amp;" - "&amp;'Data Sheet'!B1</f>
        <v>Horizontal Analysis - ULTRATECH CEMENT LTD</v>
      </c>
      <c r="C9" s="322"/>
      <c r="D9" s="322"/>
      <c r="E9" s="322"/>
      <c r="F9" s="322"/>
      <c r="G9" s="322"/>
      <c r="H9" s="322"/>
      <c r="I9" s="322"/>
      <c r="J9" s="322"/>
      <c r="K9" s="322"/>
      <c r="L9" s="322"/>
      <c r="M9" s="322"/>
    </row>
    <row r="10" spans="1:14" x14ac:dyDescent="0.25">
      <c r="B10" s="91" t="s">
        <v>54</v>
      </c>
      <c r="C10" s="92">
        <f>'Data Sheet'!B16</f>
        <v>42460</v>
      </c>
      <c r="D10" s="92">
        <f>'Data Sheet'!C16</f>
        <v>42825</v>
      </c>
      <c r="E10" s="92">
        <f>'Data Sheet'!D16</f>
        <v>43190</v>
      </c>
      <c r="F10" s="92">
        <f>'Data Sheet'!E16</f>
        <v>43555</v>
      </c>
      <c r="G10" s="92">
        <f>'Data Sheet'!F16</f>
        <v>43921</v>
      </c>
      <c r="H10" s="92">
        <f>'Data Sheet'!G16</f>
        <v>44286</v>
      </c>
      <c r="I10" s="92">
        <f>'Data Sheet'!H16</f>
        <v>44651</v>
      </c>
      <c r="J10" s="92">
        <f>'Data Sheet'!I16</f>
        <v>45016</v>
      </c>
      <c r="K10" s="92">
        <f>'Data Sheet'!J16</f>
        <v>45382</v>
      </c>
      <c r="L10" s="92">
        <f>'Data Sheet'!K16</f>
        <v>45747</v>
      </c>
      <c r="M10" s="96" t="s">
        <v>115</v>
      </c>
    </row>
    <row r="11" spans="1:14" ht="18.75" x14ac:dyDescent="0.3">
      <c r="A11" s="48" t="s">
        <v>56</v>
      </c>
      <c r="B11" s="97" t="s">
        <v>104</v>
      </c>
      <c r="C11" s="98"/>
      <c r="D11" s="98"/>
      <c r="E11" s="98"/>
      <c r="F11" s="98"/>
      <c r="G11" s="98"/>
      <c r="H11" s="98"/>
      <c r="I11" s="98"/>
      <c r="J11" s="98"/>
      <c r="K11" s="98"/>
      <c r="L11" s="98"/>
      <c r="M11" s="98"/>
    </row>
    <row r="12" spans="1:14" s="15" customFormat="1" ht="15" customHeight="1" x14ac:dyDescent="0.3">
      <c r="B12" s="40"/>
      <c r="C12" s="41"/>
      <c r="D12" s="41"/>
      <c r="E12" s="41"/>
      <c r="F12" s="41"/>
      <c r="G12" s="41"/>
      <c r="H12" s="41"/>
      <c r="I12" s="41"/>
      <c r="J12" s="41"/>
      <c r="K12" s="41"/>
      <c r="L12" s="41"/>
    </row>
    <row r="13" spans="1:14" x14ac:dyDescent="0.25">
      <c r="B13" s="9" t="str">
        <f>Historical_FS!B12</f>
        <v>Sales</v>
      </c>
      <c r="C13" s="26">
        <f>IFERROR(Historical_FS!C12,0)</f>
        <v>25153.24</v>
      </c>
      <c r="D13" s="26">
        <f>IFERROR(Historical_FS!D12,0)</f>
        <v>25374.94</v>
      </c>
      <c r="E13" s="26">
        <f>IFERROR(Historical_FS!E12,0)</f>
        <v>30978.62</v>
      </c>
      <c r="F13" s="26">
        <f>IFERROR(Historical_FS!F12,0)</f>
        <v>41462.26</v>
      </c>
      <c r="G13" s="26">
        <f>IFERROR(Historical_FS!G12,0)</f>
        <v>42429.89</v>
      </c>
      <c r="H13" s="26">
        <f>IFERROR(Historical_FS!H12,0)</f>
        <v>44725.8</v>
      </c>
      <c r="I13" s="26">
        <f>IFERROR(Historical_FS!I12,0)</f>
        <v>52598.83</v>
      </c>
      <c r="J13" s="26">
        <f>IFERROR(Historical_FS!J12,0)</f>
        <v>63239.98</v>
      </c>
      <c r="K13" s="26">
        <f>IFERROR(Historical_FS!K12,0)</f>
        <v>70908.14</v>
      </c>
      <c r="L13" s="26">
        <f>IFERROR(Historical_FS!L12,0)</f>
        <v>75955.13</v>
      </c>
    </row>
    <row r="14" spans="1:14" x14ac:dyDescent="0.25">
      <c r="B14" s="19" t="str">
        <f>B13&amp;" Growth"</f>
        <v>Sales Growth</v>
      </c>
      <c r="C14" s="37" t="str">
        <f t="shared" ref="C14:K14" si="0">IFERROR((C13/B13)-1,"-")</f>
        <v>-</v>
      </c>
      <c r="D14" s="33">
        <f t="shared" si="0"/>
        <v>8.8139738657921907E-3</v>
      </c>
      <c r="E14" s="33">
        <f t="shared" si="0"/>
        <v>0.22083520197486184</v>
      </c>
      <c r="F14" s="33">
        <f t="shared" si="0"/>
        <v>0.33841533289733383</v>
      </c>
      <c r="G14" s="33">
        <f t="shared" si="0"/>
        <v>2.3337608707291846E-2</v>
      </c>
      <c r="H14" s="33">
        <f t="shared" si="0"/>
        <v>5.4110675281034304E-2</v>
      </c>
      <c r="I14" s="33">
        <f t="shared" si="0"/>
        <v>0.17602882452633595</v>
      </c>
      <c r="J14" s="33">
        <f t="shared" si="0"/>
        <v>0.20230773194004503</v>
      </c>
      <c r="K14" s="33">
        <f t="shared" si="0"/>
        <v>0.12125494030833028</v>
      </c>
      <c r="L14" s="33">
        <f>IFERROR((L13/K13)-1,"-")</f>
        <v>7.117645449450527E-2</v>
      </c>
      <c r="N14" s="20"/>
    </row>
    <row r="15" spans="1:14" x14ac:dyDescent="0.25">
      <c r="B15" s="9" t="str">
        <f>Historical_FS!B18</f>
        <v>COGS</v>
      </c>
      <c r="C15" s="26">
        <f>IFERROR(Historical_FS!C18,0)</f>
        <v>12397.13</v>
      </c>
      <c r="D15" s="26">
        <f>IFERROR(Historical_FS!D18,0)</f>
        <v>12303.62</v>
      </c>
      <c r="E15" s="26">
        <f>IFERROR(Historical_FS!E18,0)</f>
        <v>15744.189999999999</v>
      </c>
      <c r="F15" s="26">
        <f>IFERROR(Historical_FS!F18,0)</f>
        <v>21729.719999999998</v>
      </c>
      <c r="G15" s="26">
        <f>IFERROR(Historical_FS!G18,0)</f>
        <v>20600.87</v>
      </c>
      <c r="H15" s="26">
        <f>IFERROR(Historical_FS!H18,0)</f>
        <v>20847.700000000004</v>
      </c>
      <c r="I15" s="26">
        <f>IFERROR(Historical_FS!I18,0)</f>
        <v>26536.920000000002</v>
      </c>
      <c r="J15" s="26">
        <f>IFERROR(Historical_FS!J18,0)</f>
        <v>35301.93</v>
      </c>
      <c r="K15" s="26">
        <f>IFERROR(Historical_FS!K18,0)</f>
        <v>38136.400000000001</v>
      </c>
      <c r="L15" s="26">
        <f>IFERROR(Historical_FS!L18,0)</f>
        <v>41216.74</v>
      </c>
    </row>
    <row r="16" spans="1:14" x14ac:dyDescent="0.25">
      <c r="B16" s="19" t="str">
        <f>B15&amp;" Growth"</f>
        <v>COGS Growth</v>
      </c>
      <c r="C16" s="35" t="str">
        <f t="shared" ref="C16:K16" si="1">IFERROR((C15/B15)-1,"-")</f>
        <v>-</v>
      </c>
      <c r="D16" s="33">
        <f t="shared" si="1"/>
        <v>-7.5428748428062464E-3</v>
      </c>
      <c r="E16" s="33">
        <f t="shared" si="1"/>
        <v>0.27963883800052325</v>
      </c>
      <c r="F16" s="33">
        <f t="shared" si="1"/>
        <v>0.38017389271852031</v>
      </c>
      <c r="G16" s="33">
        <f t="shared" si="1"/>
        <v>-5.1949587937626385E-2</v>
      </c>
      <c r="H16" s="33">
        <f t="shared" si="1"/>
        <v>1.1981532818759799E-2</v>
      </c>
      <c r="I16" s="33">
        <f t="shared" si="1"/>
        <v>0.27289437204104039</v>
      </c>
      <c r="J16" s="33">
        <f t="shared" si="1"/>
        <v>0.33029492495738011</v>
      </c>
      <c r="K16" s="33">
        <f t="shared" si="1"/>
        <v>8.0292210652505469E-2</v>
      </c>
      <c r="L16" s="33">
        <f>IFERROR((L15/K15)-1,"-")</f>
        <v>8.0771651230844954E-2</v>
      </c>
    </row>
    <row r="17" spans="1:13" x14ac:dyDescent="0.25">
      <c r="B17" s="9" t="str">
        <f>Historical_FS!B21</f>
        <v>Gross Profit</v>
      </c>
      <c r="C17" s="26">
        <f>IFERROR(Historical_FS!C21,0)</f>
        <v>13219.920000000004</v>
      </c>
      <c r="D17" s="26">
        <f>IFERROR(Historical_FS!D21,0)</f>
        <v>13719.439999999997</v>
      </c>
      <c r="E17" s="26">
        <f>IFERROR(Historical_FS!E21,0)</f>
        <v>15476.400000000001</v>
      </c>
      <c r="F17" s="26">
        <f>IFERROR(Historical_FS!F21,0)</f>
        <v>20082.640000000003</v>
      </c>
      <c r="G17" s="26">
        <f>IFERROR(Historical_FS!G21,0)</f>
        <v>22480.079999999998</v>
      </c>
      <c r="H17" s="26">
        <f>IFERROR(Historical_FS!H21,0)</f>
        <v>24496.619999999995</v>
      </c>
      <c r="I17" s="26">
        <f>IFERROR(Historical_FS!I21,0)</f>
        <v>26731.34</v>
      </c>
      <c r="J17" s="26">
        <f>IFERROR(Historical_FS!J21,0)</f>
        <v>28445.160000000003</v>
      </c>
      <c r="K17" s="26">
        <f>IFERROR(Historical_FS!K21,0)</f>
        <v>33328.700000000004</v>
      </c>
      <c r="L17" s="26">
        <f>IFERROR(Historical_FS!L21,0)</f>
        <v>35135.130000000012</v>
      </c>
    </row>
    <row r="18" spans="1:13" x14ac:dyDescent="0.25">
      <c r="B18" s="19" t="str">
        <f>B17&amp;" Growth"</f>
        <v>Gross Profit Growth</v>
      </c>
      <c r="C18" s="35" t="str">
        <f t="shared" ref="C18:K18" si="2">IFERROR((C17/B17)-1,"-")</f>
        <v>-</v>
      </c>
      <c r="D18" s="33">
        <f t="shared" si="2"/>
        <v>3.7785402634811227E-2</v>
      </c>
      <c r="E18" s="33">
        <f t="shared" si="2"/>
        <v>0.12806353612100829</v>
      </c>
      <c r="F18" s="33">
        <f t="shared" si="2"/>
        <v>0.29762993977927699</v>
      </c>
      <c r="G18" s="33">
        <f t="shared" si="2"/>
        <v>0.11937872709962405</v>
      </c>
      <c r="H18" s="33">
        <f t="shared" si="2"/>
        <v>8.970341742556065E-2</v>
      </c>
      <c r="I18" s="33">
        <f t="shared" si="2"/>
        <v>9.1225646640230584E-2</v>
      </c>
      <c r="J18" s="33">
        <f t="shared" si="2"/>
        <v>6.4112760527530677E-2</v>
      </c>
      <c r="K18" s="33">
        <f t="shared" si="2"/>
        <v>0.17168263423373253</v>
      </c>
      <c r="L18" s="33">
        <f>IFERROR((L17/K17)-1,"-")</f>
        <v>5.4200433860306818E-2</v>
      </c>
    </row>
    <row r="19" spans="1:13" x14ac:dyDescent="0.25">
      <c r="B19" s="9" t="str">
        <f>Historical_FS!B24</f>
        <v>Selling &amp; Other Exp.</v>
      </c>
      <c r="C19" s="26">
        <f>Historical_FS!C24</f>
        <v>7855.14</v>
      </c>
      <c r="D19" s="26">
        <f>Historical_FS!D24</f>
        <v>7858.88</v>
      </c>
      <c r="E19" s="26">
        <f>Historical_FS!E24</f>
        <v>9089.4000000000015</v>
      </c>
      <c r="F19" s="26">
        <f>Historical_FS!F24</f>
        <v>12385.599999999999</v>
      </c>
      <c r="G19" s="26">
        <f>Historical_FS!G24</f>
        <v>12583.05</v>
      </c>
      <c r="H19" s="26">
        <f>Historical_FS!H24</f>
        <v>12310.19</v>
      </c>
      <c r="I19" s="26">
        <f>Historical_FS!I24</f>
        <v>14547.56</v>
      </c>
      <c r="J19" s="26">
        <f>Historical_FS!J24</f>
        <v>17318.2</v>
      </c>
      <c r="K19" s="26">
        <f>Historical_FS!K24</f>
        <v>19793.18</v>
      </c>
      <c r="L19" s="26">
        <f>Historical_FS!L24</f>
        <v>21941.510000000002</v>
      </c>
      <c r="M19" s="24"/>
    </row>
    <row r="20" spans="1:13" x14ac:dyDescent="0.25">
      <c r="B20" s="19" t="str">
        <f>B19&amp;" Growth"</f>
        <v>Selling &amp; Other Exp. Growth</v>
      </c>
      <c r="C20" s="35" t="str">
        <f t="shared" ref="C20:K20" si="3">IFERROR((C19/B19)-1,"-")</f>
        <v>-</v>
      </c>
      <c r="D20" s="33">
        <f t="shared" si="3"/>
        <v>4.7612136766495006E-4</v>
      </c>
      <c r="E20" s="33">
        <f t="shared" si="3"/>
        <v>0.1565770186082498</v>
      </c>
      <c r="F20" s="33">
        <f t="shared" si="3"/>
        <v>0.36264219860496794</v>
      </c>
      <c r="G20" s="33">
        <f t="shared" si="3"/>
        <v>1.5941900271282838E-2</v>
      </c>
      <c r="H20" s="33">
        <f t="shared" si="3"/>
        <v>-2.1684726675964772E-2</v>
      </c>
      <c r="I20" s="33">
        <f t="shared" si="3"/>
        <v>0.18174942872530786</v>
      </c>
      <c r="J20" s="33">
        <f t="shared" si="3"/>
        <v>0.19045393179337311</v>
      </c>
      <c r="K20" s="33">
        <f t="shared" si="3"/>
        <v>0.14291208093219843</v>
      </c>
      <c r="L20" s="33">
        <f>IFERROR((L19/K19)-1,"-")</f>
        <v>0.10853890077289252</v>
      </c>
    </row>
    <row r="21" spans="1:13" x14ac:dyDescent="0.25">
      <c r="B21" s="9" t="str">
        <f>Historical_FS!B27</f>
        <v>EBITDA</v>
      </c>
      <c r="C21" s="26">
        <f>Historical_FS!C27</f>
        <v>5364.7800000000034</v>
      </c>
      <c r="D21" s="26">
        <f>Historical_FS!D27</f>
        <v>5860.5599999999968</v>
      </c>
      <c r="E21" s="26">
        <f>Historical_FS!E27</f>
        <v>6387</v>
      </c>
      <c r="F21" s="26">
        <f>Historical_FS!F27</f>
        <v>7697.0400000000045</v>
      </c>
      <c r="G21" s="26">
        <f>Historical_FS!G27</f>
        <v>9897.0299999999988</v>
      </c>
      <c r="H21" s="26">
        <f>Historical_FS!H27</f>
        <v>12186.429999999995</v>
      </c>
      <c r="I21" s="26">
        <f>Historical_FS!I27</f>
        <v>12183.78</v>
      </c>
      <c r="J21" s="26">
        <f>Historical_FS!J27</f>
        <v>11126.960000000003</v>
      </c>
      <c r="K21" s="26">
        <f>Historical_FS!K27</f>
        <v>13535.520000000004</v>
      </c>
      <c r="L21" s="26">
        <f>Historical_FS!L27</f>
        <v>13193.62000000001</v>
      </c>
    </row>
    <row r="22" spans="1:13" x14ac:dyDescent="0.25">
      <c r="B22" s="19" t="str">
        <f>B21&amp;" Growth"</f>
        <v>EBITDA Growth</v>
      </c>
      <c r="C22" s="35" t="str">
        <f t="shared" ref="C22:K22" si="4">IFERROR((C21/B21)-1,"-")</f>
        <v>-</v>
      </c>
      <c r="D22" s="33">
        <f t="shared" si="4"/>
        <v>9.2413854808583551E-2</v>
      </c>
      <c r="E22" s="33">
        <f t="shared" si="4"/>
        <v>8.9827593267538086E-2</v>
      </c>
      <c r="F22" s="33">
        <f t="shared" si="4"/>
        <v>0.20511038046031072</v>
      </c>
      <c r="G22" s="33">
        <f t="shared" si="4"/>
        <v>0.28582286177543481</v>
      </c>
      <c r="H22" s="33">
        <f t="shared" si="4"/>
        <v>0.23132192182907363</v>
      </c>
      <c r="I22" s="33">
        <f t="shared" si="4"/>
        <v>-2.1745498886827086E-4</v>
      </c>
      <c r="J22" s="33">
        <f t="shared" si="4"/>
        <v>-8.6739911587372487E-2</v>
      </c>
      <c r="K22" s="33">
        <f t="shared" si="4"/>
        <v>0.21646163911796212</v>
      </c>
      <c r="L22" s="33">
        <f>IFERROR((L21/K21)-1,"-")</f>
        <v>-2.5259465465678033E-2</v>
      </c>
    </row>
    <row r="23" spans="1:13" x14ac:dyDescent="0.25">
      <c r="B23" s="9" t="str">
        <f>Historical_FS!B30</f>
        <v>Depreciation</v>
      </c>
      <c r="C23" s="26">
        <f>Historical_FS!C30</f>
        <v>1377.17</v>
      </c>
      <c r="D23" s="26">
        <f>Historical_FS!D30</f>
        <v>1348.41</v>
      </c>
      <c r="E23" s="26">
        <f>Historical_FS!E30</f>
        <v>1847.93</v>
      </c>
      <c r="F23" s="26">
        <f>Historical_FS!F30</f>
        <v>2450.73</v>
      </c>
      <c r="G23" s="26">
        <f>Historical_FS!G30</f>
        <v>2722.66</v>
      </c>
      <c r="H23" s="26">
        <f>Historical_FS!H30</f>
        <v>2700.23</v>
      </c>
      <c r="I23" s="26">
        <f>Historical_FS!I30</f>
        <v>2714.75</v>
      </c>
      <c r="J23" s="26">
        <f>Historical_FS!J30</f>
        <v>2887.99</v>
      </c>
      <c r="K23" s="26">
        <f>Historical_FS!K30</f>
        <v>3145.3</v>
      </c>
      <c r="L23" s="26">
        <f>Historical_FS!L30</f>
        <v>4014.95</v>
      </c>
    </row>
    <row r="24" spans="1:13" x14ac:dyDescent="0.25">
      <c r="B24" s="19" t="str">
        <f>B23&amp;" Growth"</f>
        <v>Depreciation Growth</v>
      </c>
      <c r="C24" s="35" t="str">
        <f t="shared" ref="C24:K24" si="5">IFERROR((C23/B23)-1,"-")</f>
        <v>-</v>
      </c>
      <c r="D24" s="33">
        <f t="shared" si="5"/>
        <v>-2.0883405824988932E-2</v>
      </c>
      <c r="E24" s="33">
        <f t="shared" si="5"/>
        <v>0.37045112391631618</v>
      </c>
      <c r="F24" s="33">
        <f t="shared" si="5"/>
        <v>0.32620283235836856</v>
      </c>
      <c r="G24" s="33">
        <f t="shared" si="5"/>
        <v>0.11095877554850997</v>
      </c>
      <c r="H24" s="33">
        <f t="shared" si="5"/>
        <v>-8.2382669889005111E-3</v>
      </c>
      <c r="I24" s="33">
        <f t="shared" si="5"/>
        <v>5.3773197098025971E-3</v>
      </c>
      <c r="J24" s="33">
        <f t="shared" si="5"/>
        <v>6.3814347545814387E-2</v>
      </c>
      <c r="K24" s="33">
        <f t="shared" si="5"/>
        <v>8.909656889393669E-2</v>
      </c>
      <c r="L24" s="33">
        <f>IFERROR((L23/K23)-1,"-")</f>
        <v>0.27649190856198125</v>
      </c>
    </row>
    <row r="25" spans="1:13" x14ac:dyDescent="0.25">
      <c r="A25" s="38"/>
      <c r="B25" s="9" t="str">
        <f>Historical_FS!B33</f>
        <v>EBIT</v>
      </c>
      <c r="C25" s="26">
        <f>Historical_FS!C33</f>
        <v>3987.6100000000033</v>
      </c>
      <c r="D25" s="26">
        <f>Historical_FS!D33</f>
        <v>4512.1499999999969</v>
      </c>
      <c r="E25" s="26">
        <f>Historical_FS!E33</f>
        <v>4539.07</v>
      </c>
      <c r="F25" s="26">
        <f>Historical_FS!F33</f>
        <v>5246.3100000000049</v>
      </c>
      <c r="G25" s="26">
        <f>Historical_FS!G33</f>
        <v>7174.369999999999</v>
      </c>
      <c r="H25" s="26">
        <f>Historical_FS!H33</f>
        <v>9486.1999999999953</v>
      </c>
      <c r="I25" s="26">
        <f>Historical_FS!I33</f>
        <v>9469.0300000000007</v>
      </c>
      <c r="J25" s="26">
        <f>Historical_FS!J33</f>
        <v>8238.970000000003</v>
      </c>
      <c r="K25" s="26">
        <f>Historical_FS!K33</f>
        <v>10390.220000000005</v>
      </c>
      <c r="L25" s="26">
        <f>Historical_FS!L33</f>
        <v>9178.6700000000092</v>
      </c>
    </row>
    <row r="26" spans="1:13" x14ac:dyDescent="0.25">
      <c r="B26" s="19" t="str">
        <f>B25&amp;" Growth"</f>
        <v>EBIT Growth</v>
      </c>
      <c r="C26" s="35" t="str">
        <f t="shared" ref="C26:K26" si="6">IFERROR((C25/B25)-1,"-")</f>
        <v>-</v>
      </c>
      <c r="D26" s="33">
        <f t="shared" si="6"/>
        <v>0.13154245274738341</v>
      </c>
      <c r="E26" s="33">
        <f t="shared" si="6"/>
        <v>5.9661137151918453E-3</v>
      </c>
      <c r="F26" s="33">
        <f t="shared" si="6"/>
        <v>0.15581165304787215</v>
      </c>
      <c r="G26" s="33">
        <f t="shared" si="6"/>
        <v>0.36750782931241055</v>
      </c>
      <c r="H26" s="33">
        <f t="shared" si="6"/>
        <v>0.32223456554373375</v>
      </c>
      <c r="I26" s="33">
        <f t="shared" si="6"/>
        <v>-1.8099976808411133E-3</v>
      </c>
      <c r="J26" s="33">
        <f t="shared" si="6"/>
        <v>-0.1299034853622808</v>
      </c>
      <c r="K26" s="33">
        <f t="shared" si="6"/>
        <v>0.26110666745964628</v>
      </c>
      <c r="L26" s="33">
        <f>IFERROR((L25/K25)-1,"-")</f>
        <v>-0.11660484571067742</v>
      </c>
    </row>
    <row r="27" spans="1:13" x14ac:dyDescent="0.25">
      <c r="B27" s="9" t="str">
        <f>Historical_FS!B36</f>
        <v>Interest</v>
      </c>
      <c r="C27" s="26">
        <f>Historical_FS!C36</f>
        <v>566.29999999999995</v>
      </c>
      <c r="D27" s="26">
        <f>Historical_FS!D36</f>
        <v>640.1</v>
      </c>
      <c r="E27" s="26">
        <f>Historical_FS!E36</f>
        <v>1237.5999999999999</v>
      </c>
      <c r="F27" s="26">
        <f>Historical_FS!F36</f>
        <v>1777.86</v>
      </c>
      <c r="G27" s="26">
        <f>Historical_FS!G36</f>
        <v>1991.65</v>
      </c>
      <c r="H27" s="26">
        <f>Historical_FS!H36</f>
        <v>1485.65</v>
      </c>
      <c r="I27" s="26">
        <f>Historical_FS!I36</f>
        <v>944.71</v>
      </c>
      <c r="J27" s="26">
        <f>Historical_FS!J36</f>
        <v>822.72</v>
      </c>
      <c r="K27" s="26">
        <f>Historical_FS!K36</f>
        <v>968</v>
      </c>
      <c r="L27" s="26">
        <f>Historical_FS!L36</f>
        <v>1650.54</v>
      </c>
    </row>
    <row r="28" spans="1:13" x14ac:dyDescent="0.25">
      <c r="B28" s="19" t="str">
        <f>B27&amp;" Growth"</f>
        <v>Interest Growth</v>
      </c>
      <c r="C28" s="35" t="str">
        <f t="shared" ref="C28:K28" si="7">IFERROR((C27/B27)-1,"-")</f>
        <v>-</v>
      </c>
      <c r="D28" s="33">
        <f t="shared" si="7"/>
        <v>0.13031961857672614</v>
      </c>
      <c r="E28" s="33">
        <f t="shared" si="7"/>
        <v>0.93344789876581769</v>
      </c>
      <c r="F28" s="33">
        <f t="shared" si="7"/>
        <v>0.43653846153846154</v>
      </c>
      <c r="G28" s="33">
        <f t="shared" si="7"/>
        <v>0.12025131337675643</v>
      </c>
      <c r="H28" s="33">
        <f t="shared" si="7"/>
        <v>-0.25406070343684883</v>
      </c>
      <c r="I28" s="33">
        <f t="shared" si="7"/>
        <v>-0.36410998552821994</v>
      </c>
      <c r="J28" s="33">
        <f t="shared" si="7"/>
        <v>-0.12912957415503168</v>
      </c>
      <c r="K28" s="33">
        <f t="shared" si="7"/>
        <v>0.17658498638662001</v>
      </c>
      <c r="L28" s="33">
        <f>IFERROR((L27/K27)-1,"-")</f>
        <v>0.70510330578512392</v>
      </c>
    </row>
    <row r="29" spans="1:13" x14ac:dyDescent="0.25">
      <c r="B29" s="9" t="str">
        <f>Historical_FS!B39</f>
        <v>EBT</v>
      </c>
      <c r="C29" s="26">
        <f>Historical_FS!C39</f>
        <v>3421.3100000000031</v>
      </c>
      <c r="D29" s="26">
        <f>Historical_FS!D39</f>
        <v>3872.049999999997</v>
      </c>
      <c r="E29" s="26">
        <f>Historical_FS!E39</f>
        <v>3301.47</v>
      </c>
      <c r="F29" s="26">
        <f>Historical_FS!F39</f>
        <v>3468.4500000000053</v>
      </c>
      <c r="G29" s="26">
        <f>Historical_FS!G39</f>
        <v>5182.7199999999993</v>
      </c>
      <c r="H29" s="26">
        <f>Historical_FS!H39</f>
        <v>8000.5499999999956</v>
      </c>
      <c r="I29" s="26">
        <f>Historical_FS!I39</f>
        <v>8524.32</v>
      </c>
      <c r="J29" s="26">
        <f>Historical_FS!J39</f>
        <v>7416.2500000000027</v>
      </c>
      <c r="K29" s="26">
        <f>Historical_FS!K39</f>
        <v>9422.2200000000048</v>
      </c>
      <c r="L29" s="26">
        <f>Historical_FS!L39</f>
        <v>7528.1300000000092</v>
      </c>
    </row>
    <row r="30" spans="1:13" x14ac:dyDescent="0.25">
      <c r="B30" s="19" t="str">
        <f>B29&amp;" Growth"</f>
        <v>EBT Growth</v>
      </c>
      <c r="C30" s="35" t="str">
        <f t="shared" ref="C30:K30" si="8">IFERROR((C29/B29)-1,"-")</f>
        <v>-</v>
      </c>
      <c r="D30" s="33">
        <f t="shared" si="8"/>
        <v>0.13174485796376056</v>
      </c>
      <c r="E30" s="33">
        <f t="shared" si="8"/>
        <v>-0.14735863431515539</v>
      </c>
      <c r="F30" s="33">
        <f t="shared" si="8"/>
        <v>5.0577470036076599E-2</v>
      </c>
      <c r="G30" s="33">
        <f t="shared" si="8"/>
        <v>0.49424670962533446</v>
      </c>
      <c r="H30" s="33">
        <f t="shared" si="8"/>
        <v>0.54369713200790248</v>
      </c>
      <c r="I30" s="33">
        <f t="shared" si="8"/>
        <v>6.5466749160995708E-2</v>
      </c>
      <c r="J30" s="33">
        <f t="shared" si="8"/>
        <v>-0.12998925427482744</v>
      </c>
      <c r="K30" s="33">
        <f t="shared" si="8"/>
        <v>0.27048306084611506</v>
      </c>
      <c r="L30" s="33">
        <f>IFERROR((L29/K29)-1,"-")</f>
        <v>-0.20102375024144992</v>
      </c>
    </row>
    <row r="31" spans="1:13" x14ac:dyDescent="0.25">
      <c r="B31" s="9" t="str">
        <f>Historical_FS!B42</f>
        <v>Tax</v>
      </c>
      <c r="C31" s="26">
        <f>Historical_FS!C42</f>
        <v>941.69</v>
      </c>
      <c r="D31" s="26">
        <f>Historical_FS!D42</f>
        <v>1158.54</v>
      </c>
      <c r="E31" s="26">
        <f>Historical_FS!E42</f>
        <v>1077.01</v>
      </c>
      <c r="F31" s="26">
        <f>Historical_FS!F42</f>
        <v>1068.07</v>
      </c>
      <c r="G31" s="26">
        <f>Historical_FS!G42</f>
        <v>-568.16</v>
      </c>
      <c r="H31" s="26">
        <f>Historical_FS!H42</f>
        <v>2538.6999999999998</v>
      </c>
      <c r="I31" s="26">
        <f>Historical_FS!I42</f>
        <v>1190.06</v>
      </c>
      <c r="J31" s="26">
        <f>Historical_FS!J42</f>
        <v>2342.85</v>
      </c>
      <c r="K31" s="26">
        <f>Historical_FS!K42</f>
        <v>2418.2600000000002</v>
      </c>
      <c r="L31" s="26">
        <f>Historical_FS!L42</f>
        <v>1488.49</v>
      </c>
    </row>
    <row r="32" spans="1:13" x14ac:dyDescent="0.25">
      <c r="B32" s="19" t="str">
        <f>B31&amp;" Growth"</f>
        <v>Tax Growth</v>
      </c>
      <c r="C32" s="35" t="str">
        <f t="shared" ref="C32:K32" si="9">IFERROR((C31/B31)-1,"-")</f>
        <v>-</v>
      </c>
      <c r="D32" s="33">
        <f t="shared" si="9"/>
        <v>0.23027747985005664</v>
      </c>
      <c r="E32" s="33">
        <f t="shared" si="9"/>
        <v>-7.0373055742572577E-2</v>
      </c>
      <c r="F32" s="33">
        <f t="shared" si="9"/>
        <v>-8.3007585816288199E-3</v>
      </c>
      <c r="G32" s="33">
        <f t="shared" si="9"/>
        <v>-1.5319501530798543</v>
      </c>
      <c r="H32" s="33">
        <f t="shared" si="9"/>
        <v>-5.4682835820895521</v>
      </c>
      <c r="I32" s="33">
        <f t="shared" si="9"/>
        <v>-0.53123252058139991</v>
      </c>
      <c r="J32" s="33">
        <f t="shared" si="9"/>
        <v>0.96868225131505969</v>
      </c>
      <c r="K32" s="33">
        <f t="shared" si="9"/>
        <v>3.2187293253942872E-2</v>
      </c>
      <c r="L32" s="33">
        <f>IFERROR((L31/K31)-1,"-")</f>
        <v>-0.38447892286189245</v>
      </c>
    </row>
    <row r="33" spans="1:13" x14ac:dyDescent="0.25">
      <c r="B33" s="9" t="str">
        <f>Historical_FS!B45</f>
        <v>Net Profit</v>
      </c>
      <c r="C33" s="26">
        <f>Historical_FS!C45</f>
        <v>2479.6200000000031</v>
      </c>
      <c r="D33" s="26">
        <f>Historical_FS!D45</f>
        <v>2713.509999999997</v>
      </c>
      <c r="E33" s="26">
        <f>Historical_FS!E45</f>
        <v>2224.46</v>
      </c>
      <c r="F33" s="26">
        <f>Historical_FS!F45</f>
        <v>2400.3800000000056</v>
      </c>
      <c r="G33" s="26">
        <f>Historical_FS!G45</f>
        <v>5750.8799999999992</v>
      </c>
      <c r="H33" s="26">
        <f>Historical_FS!H45</f>
        <v>5461.8499999999958</v>
      </c>
      <c r="I33" s="26">
        <f>Historical_FS!I45</f>
        <v>7334.26</v>
      </c>
      <c r="J33" s="26">
        <f>Historical_FS!J45</f>
        <v>5073.4000000000033</v>
      </c>
      <c r="K33" s="26">
        <f>Historical_FS!K45</f>
        <v>7003.9600000000046</v>
      </c>
      <c r="L33" s="26">
        <f>Historical_FS!L45</f>
        <v>6039.6400000000094</v>
      </c>
    </row>
    <row r="34" spans="1:13" x14ac:dyDescent="0.25">
      <c r="B34" s="19" t="str">
        <f>B33&amp;" Growth"</f>
        <v>Net Profit Growth</v>
      </c>
      <c r="C34" s="35" t="str">
        <f t="shared" ref="C34:K34" si="10">IFERROR((C33/B33)-1,"-")</f>
        <v>-</v>
      </c>
      <c r="D34" s="33">
        <f t="shared" si="10"/>
        <v>9.4324936885487931E-2</v>
      </c>
      <c r="E34" s="33">
        <f t="shared" si="10"/>
        <v>-0.18022782300415241</v>
      </c>
      <c r="F34" s="33">
        <f t="shared" si="10"/>
        <v>7.9084362047420642E-2</v>
      </c>
      <c r="G34" s="33">
        <f t="shared" si="10"/>
        <v>1.3958206617285538</v>
      </c>
      <c r="H34" s="33">
        <f t="shared" si="10"/>
        <v>-5.0258395236903453E-2</v>
      </c>
      <c r="I34" s="33">
        <f t="shared" si="10"/>
        <v>0.34281607880113985</v>
      </c>
      <c r="J34" s="33">
        <f t="shared" si="10"/>
        <v>-0.30826013803710217</v>
      </c>
      <c r="K34" s="33">
        <f t="shared" si="10"/>
        <v>0.38052588008041943</v>
      </c>
      <c r="L34" s="33">
        <f>IFERROR((L33/K33)-1,"-")</f>
        <v>-0.13768211126277052</v>
      </c>
    </row>
    <row r="35" spans="1:13" x14ac:dyDescent="0.25">
      <c r="B35" s="20"/>
      <c r="D35" s="36" t="str">
        <f>IFERROR(IF(AND(C33&lt;0,D33&gt;0),"Profit Swing",IF(AND(C33&gt;0,D33&lt;0),"Loss-Making",IF(C33=0,"-","-"))),0)</f>
        <v>-</v>
      </c>
    </row>
    <row r="36" spans="1:13" x14ac:dyDescent="0.25">
      <c r="B36" s="9" t="str">
        <f>Historical_FS!B50</f>
        <v>Earnings Per Share</v>
      </c>
      <c r="C36" s="26">
        <f>Historical_FS!C50</f>
        <v>90.365160349854335</v>
      </c>
      <c r="D36" s="26">
        <f>Historical_FS!D50</f>
        <v>98.852823315118286</v>
      </c>
      <c r="E36" s="26">
        <f>Historical_FS!E50</f>
        <v>81.007283321194464</v>
      </c>
      <c r="F36" s="26">
        <f>Historical_FS!F50</f>
        <v>87.413692643845792</v>
      </c>
      <c r="G36" s="26">
        <f>Historical_FS!G50</f>
        <v>199.26819126819123</v>
      </c>
      <c r="H36" s="26">
        <f>Historical_FS!H50</f>
        <v>189.18773813647368</v>
      </c>
      <c r="I36" s="26">
        <f>Historical_FS!I50</f>
        <v>254.04433668167647</v>
      </c>
      <c r="J36" s="26">
        <f>Historical_FS!J50</f>
        <v>175.73259438863883</v>
      </c>
      <c r="K36" s="26">
        <f>Historical_FS!K50</f>
        <v>242.603394527191</v>
      </c>
      <c r="L36" s="26">
        <f>Historical_FS!L50</f>
        <v>204.94197488971869</v>
      </c>
    </row>
    <row r="37" spans="1:13" x14ac:dyDescent="0.25">
      <c r="B37" s="19" t="str">
        <f>B36&amp;" Growth"</f>
        <v>Earnings Per Share Growth</v>
      </c>
      <c r="C37" s="35" t="str">
        <f t="shared" ref="C37:K37" si="11">IFERROR((C36/B36)-1,"-")</f>
        <v>-</v>
      </c>
      <c r="D37" s="33">
        <f t="shared" si="11"/>
        <v>9.3926275706294637E-2</v>
      </c>
      <c r="E37" s="33">
        <f t="shared" si="11"/>
        <v>-0.18052635620771973</v>
      </c>
      <c r="F37" s="33">
        <f t="shared" si="11"/>
        <v>7.9084362047420642E-2</v>
      </c>
      <c r="G37" s="33">
        <f t="shared" si="11"/>
        <v>1.2795992852067251</v>
      </c>
      <c r="H37" s="33">
        <f t="shared" si="11"/>
        <v>-5.0587367043194886E-2</v>
      </c>
      <c r="I37" s="33">
        <f t="shared" si="11"/>
        <v>0.34281607880113985</v>
      </c>
      <c r="J37" s="33">
        <f t="shared" si="11"/>
        <v>-0.30826013803710217</v>
      </c>
      <c r="K37" s="33">
        <f t="shared" si="11"/>
        <v>0.38052588008041943</v>
      </c>
      <c r="L37" s="33">
        <f>IFERROR((L36/K36)-1,"-")</f>
        <v>-0.15523863427744089</v>
      </c>
    </row>
    <row r="38" spans="1:13" x14ac:dyDescent="0.25">
      <c r="D38" s="39" t="str">
        <f>Historical_FS!D52</f>
        <v>-</v>
      </c>
    </row>
    <row r="39" spans="1:13" x14ac:dyDescent="0.25">
      <c r="B39" s="9" t="str">
        <f>Historical_FS!B54</f>
        <v>Dividend Per Share</v>
      </c>
      <c r="C39" s="26">
        <f>Historical_FS!C54</f>
        <v>9.5010932944606399</v>
      </c>
      <c r="D39" s="26">
        <f>Historical_FS!D54</f>
        <v>10.000364298724955</v>
      </c>
      <c r="E39" s="26">
        <f>Historical_FS!E54</f>
        <v>10.500364166059722</v>
      </c>
      <c r="F39" s="26">
        <f>Historical_FS!F54</f>
        <v>11.501820830298614</v>
      </c>
      <c r="G39" s="26">
        <f>Historical_FS!G54</f>
        <v>13.001386001386003</v>
      </c>
      <c r="H39" s="26">
        <f>Historical_FS!H54</f>
        <v>36.993418773813644</v>
      </c>
      <c r="I39" s="26">
        <f>Historical_FS!I54</f>
        <v>37.996189816418429</v>
      </c>
      <c r="J39" s="26">
        <f>Historical_FS!J54</f>
        <v>37.998614478697611</v>
      </c>
      <c r="K39" s="26">
        <f>Historical_FS!K54</f>
        <v>69.997575337720818</v>
      </c>
      <c r="L39" s="26">
        <f>Historical_FS!L54</f>
        <v>77.494740413980324</v>
      </c>
    </row>
    <row r="40" spans="1:13" x14ac:dyDescent="0.25">
      <c r="B40" s="19" t="str">
        <f>B39&amp;" Growth"</f>
        <v>Dividend Per Share Growth</v>
      </c>
      <c r="C40" s="35" t="str">
        <f t="shared" ref="C40:K40" si="12">IFERROR((C39/B39)-1,"-")</f>
        <v>-</v>
      </c>
      <c r="D40" s="33">
        <f t="shared" si="12"/>
        <v>5.254879504818688E-2</v>
      </c>
      <c r="E40" s="33">
        <f t="shared" si="12"/>
        <v>4.9998165306689435E-2</v>
      </c>
      <c r="F40" s="33">
        <f t="shared" si="12"/>
        <v>9.5373517375320738E-2</v>
      </c>
      <c r="G40" s="33">
        <f t="shared" si="12"/>
        <v>0.13037632851462666</v>
      </c>
      <c r="H40" s="33">
        <f t="shared" si="12"/>
        <v>1.8453442402117735</v>
      </c>
      <c r="I40" s="33">
        <f t="shared" si="12"/>
        <v>2.7106741573033943E-2</v>
      </c>
      <c r="J40" s="33">
        <f t="shared" si="12"/>
        <v>6.381330051508094E-5</v>
      </c>
      <c r="K40" s="33">
        <f t="shared" si="12"/>
        <v>0.84210862153834931</v>
      </c>
      <c r="L40" s="33">
        <f>IFERROR((L39/K39)-1,"-")</f>
        <v>0.10710606817575541</v>
      </c>
    </row>
    <row r="42" spans="1:13" ht="18.75" x14ac:dyDescent="0.3">
      <c r="A42" s="48" t="s">
        <v>56</v>
      </c>
      <c r="B42" s="97" t="s">
        <v>105</v>
      </c>
      <c r="C42" s="98"/>
      <c r="D42" s="98"/>
      <c r="E42" s="98"/>
      <c r="F42" s="98"/>
      <c r="G42" s="98"/>
      <c r="H42" s="98"/>
      <c r="I42" s="98"/>
      <c r="J42" s="98"/>
      <c r="K42" s="98"/>
      <c r="L42" s="98"/>
      <c r="M42" s="98"/>
    </row>
    <row r="43" spans="1:13" s="15" customFormat="1" ht="15.75" customHeight="1" x14ac:dyDescent="0.3">
      <c r="B43" s="40"/>
      <c r="C43" s="41"/>
      <c r="D43" s="41"/>
      <c r="E43" s="41"/>
      <c r="F43" s="41"/>
      <c r="G43" s="41"/>
      <c r="H43" s="41"/>
      <c r="I43" s="41"/>
      <c r="J43" s="41"/>
      <c r="K43" s="41"/>
      <c r="L43" s="41"/>
    </row>
    <row r="44" spans="1:13" x14ac:dyDescent="0.25">
      <c r="B44" s="9" t="str">
        <f>Historical_FS!B61</f>
        <v>Equity Share Capital</v>
      </c>
      <c r="C44" s="26">
        <f>Historical_FS!C61</f>
        <v>274.43</v>
      </c>
      <c r="D44" s="26">
        <f>Historical_FS!D61</f>
        <v>274.51</v>
      </c>
      <c r="E44" s="26">
        <f>Historical_FS!E61</f>
        <v>274.61</v>
      </c>
      <c r="F44" s="26">
        <f>Historical_FS!F61</f>
        <v>274.64</v>
      </c>
      <c r="G44" s="26">
        <f>Historical_FS!G61</f>
        <v>288.63</v>
      </c>
      <c r="H44" s="26">
        <f>Historical_FS!H61</f>
        <v>288.64999999999998</v>
      </c>
      <c r="I44" s="26">
        <f>Historical_FS!I61</f>
        <v>288.67</v>
      </c>
      <c r="J44" s="26">
        <f>Historical_FS!J61</f>
        <v>288.69</v>
      </c>
      <c r="K44" s="26">
        <f>Historical_FS!K61</f>
        <v>288.69</v>
      </c>
      <c r="L44" s="26">
        <f>Historical_FS!L61</f>
        <v>294.68</v>
      </c>
    </row>
    <row r="45" spans="1:13" x14ac:dyDescent="0.25">
      <c r="B45" s="19" t="str">
        <f>B44&amp;" Growth"</f>
        <v>Equity Share Capital Growth</v>
      </c>
      <c r="C45" s="35" t="str">
        <f t="shared" ref="C45:K45" si="13">IFERROR((C44/B44)-1,"-")</f>
        <v>-</v>
      </c>
      <c r="D45" s="33">
        <f t="shared" si="13"/>
        <v>2.9151331851462459E-4</v>
      </c>
      <c r="E45" s="33">
        <f t="shared" si="13"/>
        <v>3.6428545408195845E-4</v>
      </c>
      <c r="F45" s="33">
        <f t="shared" si="13"/>
        <v>1.0924583955418399E-4</v>
      </c>
      <c r="G45" s="33">
        <f t="shared" si="13"/>
        <v>5.0939411593358574E-2</v>
      </c>
      <c r="H45" s="33">
        <f t="shared" si="13"/>
        <v>6.9292866299308642E-5</v>
      </c>
      <c r="I45" s="33">
        <f t="shared" si="13"/>
        <v>6.9288065130956866E-5</v>
      </c>
      <c r="J45" s="33">
        <f t="shared" si="13"/>
        <v>6.9283264627406638E-5</v>
      </c>
      <c r="K45" s="33">
        <f t="shared" si="13"/>
        <v>0</v>
      </c>
      <c r="L45" s="33">
        <f>IFERROR((L44/K44)-1,"-")</f>
        <v>2.0748900204371479E-2</v>
      </c>
    </row>
    <row r="46" spans="1:13" x14ac:dyDescent="0.25">
      <c r="B46" s="9" t="str">
        <f>Historical_FS!B62</f>
        <v>Reserves</v>
      </c>
      <c r="C46" s="26">
        <f>Historical_FS!C62</f>
        <v>21671.200000000001</v>
      </c>
      <c r="D46" s="26">
        <f>Historical_FS!D62</f>
        <v>24117.38</v>
      </c>
      <c r="E46" s="26">
        <f>Historical_FS!E62</f>
        <v>26106.55</v>
      </c>
      <c r="F46" s="26">
        <f>Historical_FS!F62</f>
        <v>33476.01</v>
      </c>
      <c r="G46" s="26">
        <f>Historical_FS!G62</f>
        <v>38755.129999999997</v>
      </c>
      <c r="H46" s="26">
        <f>Historical_FS!H62</f>
        <v>43886.03</v>
      </c>
      <c r="I46" s="26">
        <f>Historical_FS!I62</f>
        <v>50146.6</v>
      </c>
      <c r="J46" s="26">
        <f>Historical_FS!J62</f>
        <v>54035.85</v>
      </c>
      <c r="K46" s="26">
        <f>Historical_FS!K62</f>
        <v>59938.79</v>
      </c>
      <c r="L46" s="26">
        <f>Historical_FS!L62</f>
        <v>70412.09</v>
      </c>
    </row>
    <row r="47" spans="1:13" x14ac:dyDescent="0.25">
      <c r="B47" s="19" t="str">
        <f>B46&amp;" Growth"</f>
        <v>Reserves Growth</v>
      </c>
      <c r="C47" s="35" t="str">
        <f t="shared" ref="C47:L47" si="14">IFERROR((C46/B46)-1,"-")</f>
        <v>-</v>
      </c>
      <c r="D47" s="33">
        <f t="shared" si="14"/>
        <v>0.11287699804348628</v>
      </c>
      <c r="E47" s="33">
        <f t="shared" si="14"/>
        <v>8.2478693788462953E-2</v>
      </c>
      <c r="F47" s="33">
        <f t="shared" si="14"/>
        <v>0.28228394789813294</v>
      </c>
      <c r="G47" s="33">
        <f t="shared" si="14"/>
        <v>0.15769860267098723</v>
      </c>
      <c r="H47" s="33">
        <f t="shared" si="14"/>
        <v>0.13239279548281746</v>
      </c>
      <c r="I47" s="33">
        <f t="shared" si="14"/>
        <v>0.14265519118498537</v>
      </c>
      <c r="J47" s="33">
        <f t="shared" si="14"/>
        <v>7.7557601113535046E-2</v>
      </c>
      <c r="K47" s="33">
        <f t="shared" si="14"/>
        <v>0.10924117969829283</v>
      </c>
      <c r="L47" s="33">
        <f t="shared" si="14"/>
        <v>0.17473325704439469</v>
      </c>
    </row>
    <row r="48" spans="1:13" x14ac:dyDescent="0.25">
      <c r="B48" s="9" t="s">
        <v>106</v>
      </c>
      <c r="C48" s="26">
        <f t="shared" ref="C48:L48" si="15">IFERROR(C44+C46,0)</f>
        <v>21945.63</v>
      </c>
      <c r="D48" s="26">
        <f t="shared" si="15"/>
        <v>24391.89</v>
      </c>
      <c r="E48" s="26">
        <f t="shared" si="15"/>
        <v>26381.16</v>
      </c>
      <c r="F48" s="26">
        <f t="shared" si="15"/>
        <v>33750.65</v>
      </c>
      <c r="G48" s="26">
        <f t="shared" si="15"/>
        <v>39043.759999999995</v>
      </c>
      <c r="H48" s="26">
        <f t="shared" si="15"/>
        <v>44174.68</v>
      </c>
      <c r="I48" s="26">
        <f t="shared" si="15"/>
        <v>50435.27</v>
      </c>
      <c r="J48" s="26">
        <f t="shared" si="15"/>
        <v>54324.54</v>
      </c>
      <c r="K48" s="26">
        <f t="shared" si="15"/>
        <v>60227.48</v>
      </c>
      <c r="L48" s="26">
        <f t="shared" si="15"/>
        <v>70706.76999999999</v>
      </c>
    </row>
    <row r="49" spans="2:13" x14ac:dyDescent="0.25">
      <c r="B49" s="19" t="str">
        <f>B48&amp;" Growth"</f>
        <v>Total Equity Growth</v>
      </c>
      <c r="C49" s="35" t="str">
        <f t="shared" ref="C49:K49" si="16">IFERROR((C48/B48)-1,"-")</f>
        <v>-</v>
      </c>
      <c r="D49" s="33">
        <f t="shared" si="16"/>
        <v>0.11146911708618057</v>
      </c>
      <c r="E49" s="33">
        <f t="shared" si="16"/>
        <v>8.1554565882348662E-2</v>
      </c>
      <c r="F49" s="33">
        <f t="shared" si="16"/>
        <v>0.2793467004483503</v>
      </c>
      <c r="G49" s="33">
        <f t="shared" si="16"/>
        <v>0.15682986846179237</v>
      </c>
      <c r="H49" s="33">
        <f t="shared" si="16"/>
        <v>0.13141459736459815</v>
      </c>
      <c r="I49" s="33">
        <f t="shared" si="16"/>
        <v>0.14172349409209062</v>
      </c>
      <c r="J49" s="33">
        <f t="shared" si="16"/>
        <v>7.7114090992275841E-2</v>
      </c>
      <c r="K49" s="33">
        <f t="shared" si="16"/>
        <v>0.10866065317810336</v>
      </c>
      <c r="L49" s="33">
        <f>IFERROR((L48/K48)-1,"-")</f>
        <v>0.17399515968458235</v>
      </c>
    </row>
    <row r="50" spans="2:13" x14ac:dyDescent="0.25">
      <c r="B50" s="9" t="str">
        <f>Historical_FS!B63</f>
        <v>Borrowings</v>
      </c>
      <c r="C50" s="26">
        <f>Historical_FS!C63</f>
        <v>10615.99</v>
      </c>
      <c r="D50" s="26">
        <f>Historical_FS!D63</f>
        <v>8474.49</v>
      </c>
      <c r="E50" s="26">
        <f>Historical_FS!E63</f>
        <v>19480.22</v>
      </c>
      <c r="F50" s="26">
        <f>Historical_FS!F63</f>
        <v>25337</v>
      </c>
      <c r="G50" s="26">
        <f>Historical_FS!G63</f>
        <v>23018.959999999999</v>
      </c>
      <c r="H50" s="26">
        <f>Historical_FS!H63</f>
        <v>21719.39</v>
      </c>
      <c r="I50" s="26">
        <f>Historical_FS!I63</f>
        <v>11298.8</v>
      </c>
      <c r="J50" s="26">
        <f>Historical_FS!J63</f>
        <v>11057.74</v>
      </c>
      <c r="K50" s="26">
        <f>Historical_FS!K63</f>
        <v>11402.95</v>
      </c>
      <c r="L50" s="26">
        <f>Historical_FS!L63</f>
        <v>24102.18</v>
      </c>
    </row>
    <row r="51" spans="2:13" x14ac:dyDescent="0.25">
      <c r="B51" s="19" t="str">
        <f>B50&amp;" Growth"</f>
        <v>Borrowings Growth</v>
      </c>
      <c r="C51" s="35" t="str">
        <f t="shared" ref="C51:K51" si="17">IFERROR((C50/B50)-1,"-")</f>
        <v>-</v>
      </c>
      <c r="D51" s="33">
        <f t="shared" si="17"/>
        <v>-0.20172400313112582</v>
      </c>
      <c r="E51" s="33">
        <f t="shared" si="17"/>
        <v>1.2986893606576917</v>
      </c>
      <c r="F51" s="33">
        <f t="shared" si="17"/>
        <v>0.30065266203359098</v>
      </c>
      <c r="G51" s="33">
        <f t="shared" si="17"/>
        <v>-9.1488337214350568E-2</v>
      </c>
      <c r="H51" s="33">
        <f t="shared" si="17"/>
        <v>-5.6456503682182024E-2</v>
      </c>
      <c r="I51" s="33">
        <f t="shared" si="17"/>
        <v>-0.47978281157988323</v>
      </c>
      <c r="J51" s="33">
        <f t="shared" si="17"/>
        <v>-2.133500902750729E-2</v>
      </c>
      <c r="K51" s="33">
        <f t="shared" si="17"/>
        <v>3.1218856656061833E-2</v>
      </c>
      <c r="L51" s="33">
        <f>IFERROR((L50/K50)-1,"-")</f>
        <v>1.1136793549037747</v>
      </c>
    </row>
    <row r="52" spans="2:13" x14ac:dyDescent="0.25">
      <c r="B52" s="9" t="str">
        <f>Historical_FS!B64</f>
        <v>Other Liabilities</v>
      </c>
      <c r="C52" s="26">
        <f>Historical_FS!C64</f>
        <v>8631.49</v>
      </c>
      <c r="D52" s="26">
        <f>Historical_FS!D64</f>
        <v>9342.73</v>
      </c>
      <c r="E52" s="26">
        <f>Historical_FS!E64</f>
        <v>11279.71</v>
      </c>
      <c r="F52" s="26">
        <f>Historical_FS!F64</f>
        <v>17437.72</v>
      </c>
      <c r="G52" s="26">
        <f>Historical_FS!G64</f>
        <v>17151.09</v>
      </c>
      <c r="H52" s="26">
        <f>Historical_FS!H64</f>
        <v>20282.28</v>
      </c>
      <c r="I52" s="26">
        <f>Historical_FS!I64</f>
        <v>22077.37</v>
      </c>
      <c r="J52" s="26">
        <f>Historical_FS!J64</f>
        <v>25998.12</v>
      </c>
      <c r="K52" s="26">
        <f>Historical_FS!K64</f>
        <v>29166.68</v>
      </c>
      <c r="L52" s="26">
        <f>Historical_FS!L64</f>
        <v>38823.11</v>
      </c>
    </row>
    <row r="53" spans="2:13" x14ac:dyDescent="0.25">
      <c r="B53" s="19" t="str">
        <f>B52&amp;" Growth"</f>
        <v>Other Liabilities Growth</v>
      </c>
      <c r="C53" s="35" t="str">
        <f t="shared" ref="C53:K53" si="18">IFERROR((C52/B52)-1,"-")</f>
        <v>-</v>
      </c>
      <c r="D53" s="33">
        <f t="shared" si="18"/>
        <v>8.240060522574888E-2</v>
      </c>
      <c r="E53" s="33">
        <f t="shared" si="18"/>
        <v>0.2073248397417029</v>
      </c>
      <c r="F53" s="33">
        <f t="shared" si="18"/>
        <v>0.545936907952421</v>
      </c>
      <c r="G53" s="33">
        <f t="shared" si="18"/>
        <v>-1.6437355342326931E-2</v>
      </c>
      <c r="H53" s="33">
        <f t="shared" si="18"/>
        <v>0.18256507312363235</v>
      </c>
      <c r="I53" s="33">
        <f t="shared" si="18"/>
        <v>8.8505335692042442E-2</v>
      </c>
      <c r="J53" s="33">
        <f t="shared" si="18"/>
        <v>0.17759135259317582</v>
      </c>
      <c r="K53" s="33">
        <f t="shared" si="18"/>
        <v>0.12187650491650937</v>
      </c>
      <c r="L53" s="33">
        <f>IFERROR((L52/K52)-1,"-")</f>
        <v>0.33107744865030919</v>
      </c>
    </row>
    <row r="54" spans="2:13" x14ac:dyDescent="0.25">
      <c r="B54" s="9" t="s">
        <v>107</v>
      </c>
      <c r="C54" s="26">
        <f t="shared" ref="C54:L54" si="19">IFERROR(C50+C52,0)</f>
        <v>19247.48</v>
      </c>
      <c r="D54" s="26">
        <f t="shared" si="19"/>
        <v>17817.22</v>
      </c>
      <c r="E54" s="26">
        <f t="shared" si="19"/>
        <v>30759.93</v>
      </c>
      <c r="F54" s="26">
        <f t="shared" si="19"/>
        <v>42774.720000000001</v>
      </c>
      <c r="G54" s="26">
        <f t="shared" si="19"/>
        <v>40170.050000000003</v>
      </c>
      <c r="H54" s="26">
        <f t="shared" si="19"/>
        <v>42001.67</v>
      </c>
      <c r="I54" s="26">
        <f t="shared" si="19"/>
        <v>33376.17</v>
      </c>
      <c r="J54" s="26">
        <f t="shared" si="19"/>
        <v>37055.86</v>
      </c>
      <c r="K54" s="26">
        <f t="shared" si="19"/>
        <v>40569.630000000005</v>
      </c>
      <c r="L54" s="26">
        <f t="shared" si="19"/>
        <v>62925.29</v>
      </c>
    </row>
    <row r="55" spans="2:13" x14ac:dyDescent="0.25">
      <c r="B55" s="19" t="str">
        <f>B54&amp;" Growth"</f>
        <v>Total Debt Growth</v>
      </c>
      <c r="C55" s="35" t="str">
        <f t="shared" ref="C55:K55" si="20">IFERROR((C54/B54)-1,"-")</f>
        <v>-</v>
      </c>
      <c r="D55" s="33">
        <f t="shared" si="20"/>
        <v>-7.4308948496114691E-2</v>
      </c>
      <c r="E55" s="33">
        <f t="shared" si="20"/>
        <v>0.72641579326067696</v>
      </c>
      <c r="F55" s="33">
        <f t="shared" si="20"/>
        <v>0.39059874323511146</v>
      </c>
      <c r="G55" s="33">
        <f t="shared" si="20"/>
        <v>-6.0892742255238552E-2</v>
      </c>
      <c r="H55" s="33">
        <f t="shared" si="20"/>
        <v>4.5596657211031566E-2</v>
      </c>
      <c r="I55" s="33">
        <f t="shared" si="20"/>
        <v>-0.20536088207921255</v>
      </c>
      <c r="J55" s="33">
        <f t="shared" si="20"/>
        <v>0.1102490189857015</v>
      </c>
      <c r="K55" s="33">
        <f t="shared" si="20"/>
        <v>9.4823598750643168E-2</v>
      </c>
      <c r="L55" s="33">
        <f>IFERROR((L54/K54)-1,"-")</f>
        <v>0.55104421706581985</v>
      </c>
    </row>
    <row r="56" spans="2:13" x14ac:dyDescent="0.25">
      <c r="B56" s="9" t="str">
        <f>Historical_FS!B68</f>
        <v>Net Block</v>
      </c>
      <c r="C56" s="26">
        <f>Historical_FS!C68</f>
        <v>25309.42</v>
      </c>
      <c r="D56" s="26">
        <f>Historical_FS!D68</f>
        <v>25903.75</v>
      </c>
      <c r="E56" s="26">
        <f>Historical_FS!E68</f>
        <v>39715.300000000003</v>
      </c>
      <c r="F56" s="26">
        <f>Historical_FS!F68</f>
        <v>56644.62</v>
      </c>
      <c r="G56" s="26">
        <f>Historical_FS!G68</f>
        <v>57150.96</v>
      </c>
      <c r="H56" s="26">
        <f>Historical_FS!H68</f>
        <v>55411.61</v>
      </c>
      <c r="I56" s="26">
        <f>Historical_FS!I68</f>
        <v>55487.57</v>
      </c>
      <c r="J56" s="26">
        <f>Historical_FS!J68</f>
        <v>59579</v>
      </c>
      <c r="K56" s="26">
        <f>Historical_FS!K68</f>
        <v>62877.61</v>
      </c>
      <c r="L56" s="26">
        <f>Historical_FS!L68</f>
        <v>94564.22</v>
      </c>
    </row>
    <row r="57" spans="2:13" x14ac:dyDescent="0.25">
      <c r="B57" s="19" t="str">
        <f>B56&amp;" Growth"</f>
        <v>Net Block Growth</v>
      </c>
      <c r="C57" s="35" t="str">
        <f t="shared" ref="C57:K57" si="21">IFERROR((C56/B56)-1,"-")</f>
        <v>-</v>
      </c>
      <c r="D57" s="33">
        <f t="shared" si="21"/>
        <v>2.3482561038538297E-2</v>
      </c>
      <c r="E57" s="33">
        <f t="shared" si="21"/>
        <v>0.53318727983400094</v>
      </c>
      <c r="F57" s="33">
        <f t="shared" si="21"/>
        <v>0.42626695505258683</v>
      </c>
      <c r="G57" s="33">
        <f t="shared" si="21"/>
        <v>8.9388895185456008E-3</v>
      </c>
      <c r="H57" s="33">
        <f t="shared" si="21"/>
        <v>-3.0434309414924976E-2</v>
      </c>
      <c r="I57" s="33">
        <f t="shared" si="21"/>
        <v>1.3708318527470009E-3</v>
      </c>
      <c r="J57" s="33">
        <f t="shared" si="21"/>
        <v>7.3735973660407295E-2</v>
      </c>
      <c r="K57" s="33">
        <f t="shared" si="21"/>
        <v>5.5365313281525275E-2</v>
      </c>
      <c r="L57" s="33">
        <f>IFERROR((L56/K56)-1,"-")</f>
        <v>0.50394106900691682</v>
      </c>
    </row>
    <row r="58" spans="2:13" x14ac:dyDescent="0.25">
      <c r="B58" s="9" t="str">
        <f>Historical_FS!B69</f>
        <v>Capital Work in Progress</v>
      </c>
      <c r="C58" s="26">
        <f>Historical_FS!C69</f>
        <v>1469.09</v>
      </c>
      <c r="D58" s="26">
        <f>Historical_FS!D69</f>
        <v>921.48</v>
      </c>
      <c r="E58" s="26">
        <f>Historical_FS!E69</f>
        <v>1511.21</v>
      </c>
      <c r="F58" s="26">
        <f>Historical_FS!F69</f>
        <v>1153.32</v>
      </c>
      <c r="G58" s="26">
        <f>Historical_FS!G69</f>
        <v>919.59</v>
      </c>
      <c r="H58" s="26">
        <f>Historical_FS!H69</f>
        <v>1686.68</v>
      </c>
      <c r="I58" s="26">
        <f>Historical_FS!I69</f>
        <v>4784.67</v>
      </c>
      <c r="J58" s="26">
        <f>Historical_FS!J69</f>
        <v>4040.39</v>
      </c>
      <c r="K58" s="26">
        <f>Historical_FS!K69</f>
        <v>6811.18</v>
      </c>
      <c r="L58" s="26">
        <f>Historical_FS!L69</f>
        <v>6234.19</v>
      </c>
    </row>
    <row r="59" spans="2:13" x14ac:dyDescent="0.25">
      <c r="B59" s="19" t="str">
        <f>B58&amp;" Growth"</f>
        <v>Capital Work in Progress Growth</v>
      </c>
      <c r="C59" s="35" t="str">
        <f t="shared" ref="C59:K59" si="22">IFERROR((C58/B58)-1,"-")</f>
        <v>-</v>
      </c>
      <c r="D59" s="33">
        <f t="shared" si="22"/>
        <v>-0.37275456234812021</v>
      </c>
      <c r="E59" s="33">
        <f t="shared" si="22"/>
        <v>0.63998133437513571</v>
      </c>
      <c r="F59" s="33">
        <f t="shared" si="22"/>
        <v>-0.23682347258157377</v>
      </c>
      <c r="G59" s="33">
        <f t="shared" si="22"/>
        <v>-0.20265841223597958</v>
      </c>
      <c r="H59" s="33">
        <f t="shared" si="22"/>
        <v>0.83416522580715324</v>
      </c>
      <c r="I59" s="33">
        <f t="shared" si="22"/>
        <v>1.8367384447553774</v>
      </c>
      <c r="J59" s="33">
        <f t="shared" si="22"/>
        <v>-0.15555513755389616</v>
      </c>
      <c r="K59" s="33">
        <f t="shared" si="22"/>
        <v>0.68577290806085567</v>
      </c>
      <c r="L59" s="33">
        <f>IFERROR((L58/K58)-1,"-")</f>
        <v>-8.4712193775527966E-2</v>
      </c>
    </row>
    <row r="60" spans="2:13" x14ac:dyDescent="0.25">
      <c r="B60" s="9" t="str">
        <f>Historical_FS!B70</f>
        <v>Investments</v>
      </c>
      <c r="C60" s="26">
        <f>Historical_FS!C70</f>
        <v>5095.18</v>
      </c>
      <c r="D60" s="26">
        <f>Historical_FS!D70</f>
        <v>6690.51</v>
      </c>
      <c r="E60" s="26">
        <f>Historical_FS!E70</f>
        <v>5446.9</v>
      </c>
      <c r="F60" s="26">
        <f>Historical_FS!F70</f>
        <v>2921.33</v>
      </c>
      <c r="G60" s="26">
        <f>Historical_FS!G70</f>
        <v>5928.69</v>
      </c>
      <c r="H60" s="26">
        <f>Historical_FS!H70</f>
        <v>12178.11</v>
      </c>
      <c r="I60" s="26">
        <f>Historical_FS!I70</f>
        <v>6335.77</v>
      </c>
      <c r="J60" s="26">
        <f>Historical_FS!J70</f>
        <v>7296.95</v>
      </c>
      <c r="K60" s="26">
        <f>Historical_FS!K70</f>
        <v>8248.9500000000007</v>
      </c>
      <c r="L60" s="26">
        <f>Historical_FS!L70</f>
        <v>5156.47</v>
      </c>
    </row>
    <row r="61" spans="2:13" x14ac:dyDescent="0.25">
      <c r="B61" s="19" t="str">
        <f>B60&amp;" Growth"</f>
        <v>Investments Growth</v>
      </c>
      <c r="C61" s="35" t="str">
        <f t="shared" ref="C61:K61" si="23">IFERROR((C60/B60)-1,"-")</f>
        <v>-</v>
      </c>
      <c r="D61" s="33">
        <f t="shared" si="23"/>
        <v>0.31310571952315724</v>
      </c>
      <c r="E61" s="33">
        <f t="shared" si="23"/>
        <v>-0.18587671193974753</v>
      </c>
      <c r="F61" s="33">
        <f t="shared" si="23"/>
        <v>-0.4636710789623455</v>
      </c>
      <c r="G61" s="33">
        <f t="shared" si="23"/>
        <v>1.0294489153912774</v>
      </c>
      <c r="H61" s="33">
        <f t="shared" si="23"/>
        <v>1.0540979541854947</v>
      </c>
      <c r="I61" s="33">
        <f t="shared" si="23"/>
        <v>-0.47974110925258517</v>
      </c>
      <c r="J61" s="33">
        <f t="shared" si="23"/>
        <v>0.15170689592583053</v>
      </c>
      <c r="K61" s="33">
        <f t="shared" si="23"/>
        <v>0.13046546844914664</v>
      </c>
      <c r="L61" s="33">
        <f>IFERROR((L60/K60)-1,"-")</f>
        <v>-0.37489377435916094</v>
      </c>
    </row>
    <row r="62" spans="2:13" x14ac:dyDescent="0.25">
      <c r="B62" s="9" t="str">
        <f>Historical_FS!B71</f>
        <v>Other Assets</v>
      </c>
      <c r="C62" s="26">
        <f>Historical_FS!C71</f>
        <v>2669.67</v>
      </c>
      <c r="D62" s="26">
        <f>Historical_FS!D71</f>
        <v>2286.8600000000006</v>
      </c>
      <c r="E62" s="26">
        <f>Historical_FS!E71</f>
        <v>4760.3900000000003</v>
      </c>
      <c r="F62" s="26">
        <f>Historical_FS!F71</f>
        <v>8180.43</v>
      </c>
      <c r="G62" s="26">
        <f>Historical_FS!G71</f>
        <v>8108.09</v>
      </c>
      <c r="H62" s="26">
        <f>Historical_FS!H71</f>
        <v>8302.7000000000007</v>
      </c>
      <c r="I62" s="26">
        <f>Historical_FS!I71</f>
        <v>8177.0599999999995</v>
      </c>
      <c r="J62" s="26">
        <f>Historical_FS!J71</f>
        <v>8835.6200000000008</v>
      </c>
      <c r="K62" s="26">
        <f>Historical_FS!K71</f>
        <v>9468.2599999999984</v>
      </c>
      <c r="L62" s="26">
        <f>Historical_FS!L71</f>
        <v>10550.630000000001</v>
      </c>
      <c r="M62" s="9"/>
    </row>
    <row r="63" spans="2:13" x14ac:dyDescent="0.25">
      <c r="B63" s="19" t="str">
        <f>B62&amp;" Growth"</f>
        <v>Other Assets Growth</v>
      </c>
      <c r="C63" s="35" t="str">
        <f t="shared" ref="C63:K63" si="24">IFERROR((C62/B62)-1,"-")</f>
        <v>-</v>
      </c>
      <c r="D63" s="33">
        <f t="shared" si="24"/>
        <v>-0.14339225447339909</v>
      </c>
      <c r="E63" s="33">
        <f t="shared" si="24"/>
        <v>1.0816272093613071</v>
      </c>
      <c r="F63" s="33">
        <f t="shared" si="24"/>
        <v>0.71843693478895632</v>
      </c>
      <c r="G63" s="33">
        <f t="shared" si="24"/>
        <v>-8.8430559273778853E-3</v>
      </c>
      <c r="H63" s="33">
        <f t="shared" si="24"/>
        <v>2.4001953604363191E-2</v>
      </c>
      <c r="I63" s="33">
        <f t="shared" si="24"/>
        <v>-1.5132426800920307E-2</v>
      </c>
      <c r="J63" s="33">
        <f t="shared" si="24"/>
        <v>8.0537503699373847E-2</v>
      </c>
      <c r="K63" s="33">
        <f t="shared" si="24"/>
        <v>7.160108741661575E-2</v>
      </c>
      <c r="L63" s="33">
        <f>IFERROR((L62/K62)-1,"-")</f>
        <v>0.11431561870924578</v>
      </c>
    </row>
    <row r="64" spans="2:13" x14ac:dyDescent="0.25">
      <c r="B64" s="9" t="str">
        <f>Historical_FS!B72</f>
        <v>Total Non Current Assets</v>
      </c>
      <c r="C64" s="26">
        <f>Historical_FS!C72</f>
        <v>34543.360000000001</v>
      </c>
      <c r="D64" s="26">
        <f>Historical_FS!D72</f>
        <v>35802.6</v>
      </c>
      <c r="E64" s="26">
        <f>Historical_FS!E72</f>
        <v>51433.8</v>
      </c>
      <c r="F64" s="26">
        <f>Historical_FS!F72</f>
        <v>68899.700000000012</v>
      </c>
      <c r="G64" s="26">
        <f>Historical_FS!G72</f>
        <v>72107.33</v>
      </c>
      <c r="H64" s="26">
        <f>Historical_FS!H72</f>
        <v>77579.099999999991</v>
      </c>
      <c r="I64" s="26">
        <f>Historical_FS!I72</f>
        <v>74785.069999999992</v>
      </c>
      <c r="J64" s="26">
        <f>Historical_FS!J72</f>
        <v>79751.959999999992</v>
      </c>
      <c r="K64" s="26">
        <f>Historical_FS!K72</f>
        <v>87406</v>
      </c>
      <c r="L64" s="26">
        <f>Historical_FS!L72</f>
        <v>116505.51000000001</v>
      </c>
    </row>
    <row r="65" spans="1:13" x14ac:dyDescent="0.25">
      <c r="B65" s="19" t="str">
        <f>B64&amp;" Growth"</f>
        <v>Total Non Current Assets Growth</v>
      </c>
      <c r="C65" s="35" t="str">
        <f t="shared" ref="C65:K65" si="25">IFERROR((C64/B64)-1,"-")</f>
        <v>-</v>
      </c>
      <c r="D65" s="33">
        <f>IFERROR((D64/C64)-1,"-")</f>
        <v>3.6453894467706638E-2</v>
      </c>
      <c r="E65" s="33">
        <f t="shared" si="25"/>
        <v>0.4365939903805871</v>
      </c>
      <c r="F65" s="33">
        <f t="shared" si="25"/>
        <v>0.33958019823540186</v>
      </c>
      <c r="G65" s="33">
        <f t="shared" si="25"/>
        <v>4.6555064826116599E-2</v>
      </c>
      <c r="H65" s="33">
        <f t="shared" si="25"/>
        <v>7.5883686166163589E-2</v>
      </c>
      <c r="I65" s="33">
        <f t="shared" si="25"/>
        <v>-3.6015241218317784E-2</v>
      </c>
      <c r="J65" s="33">
        <f t="shared" si="25"/>
        <v>6.6415529195867462E-2</v>
      </c>
      <c r="K65" s="33">
        <f t="shared" si="25"/>
        <v>9.5973064486440274E-2</v>
      </c>
      <c r="L65" s="33">
        <f>IFERROR((L64/K64)-1,"-")</f>
        <v>0.33292348351371781</v>
      </c>
    </row>
    <row r="66" spans="1:13" x14ac:dyDescent="0.25">
      <c r="B66" s="9" t="str">
        <f>Historical_FS!B75</f>
        <v>Receivables</v>
      </c>
      <c r="C66" s="26">
        <f>Historical_FS!C75</f>
        <v>1928.21</v>
      </c>
      <c r="D66" s="26">
        <f>Historical_FS!D75</f>
        <v>1757.09</v>
      </c>
      <c r="E66" s="26">
        <f>Historical_FS!E75</f>
        <v>2220.63</v>
      </c>
      <c r="F66" s="26">
        <f>Historical_FS!F75</f>
        <v>2787.03</v>
      </c>
      <c r="G66" s="26">
        <f>Historical_FS!G75</f>
        <v>2383.2199999999998</v>
      </c>
      <c r="H66" s="26">
        <f>Historical_FS!H75</f>
        <v>2571.73</v>
      </c>
      <c r="I66" s="26">
        <f>Historical_FS!I75</f>
        <v>3071.61</v>
      </c>
      <c r="J66" s="26">
        <f>Historical_FS!J75</f>
        <v>3867.02</v>
      </c>
      <c r="K66" s="26">
        <f>Historical_FS!K75</f>
        <v>4278.16</v>
      </c>
      <c r="L66" s="26">
        <f>Historical_FS!L75</f>
        <v>5890.25</v>
      </c>
    </row>
    <row r="67" spans="1:13" x14ac:dyDescent="0.25">
      <c r="B67" s="19" t="str">
        <f>B66&amp;" Growth"</f>
        <v>Receivables Growth</v>
      </c>
      <c r="C67" s="35" t="str">
        <f t="shared" ref="C67:K67" si="26">IFERROR((C66/B66)-1,"-")</f>
        <v>-</v>
      </c>
      <c r="D67" s="33">
        <f t="shared" si="26"/>
        <v>-8.8745520456796734E-2</v>
      </c>
      <c r="E67" s="33">
        <f t="shared" si="26"/>
        <v>0.26381118781621904</v>
      </c>
      <c r="F67" s="33">
        <f t="shared" si="26"/>
        <v>0.25506275246213916</v>
      </c>
      <c r="G67" s="33">
        <f t="shared" si="26"/>
        <v>-0.14488900370645463</v>
      </c>
      <c r="H67" s="33">
        <f t="shared" si="26"/>
        <v>7.9098866239793342E-2</v>
      </c>
      <c r="I67" s="33">
        <f t="shared" si="26"/>
        <v>0.19437499270918801</v>
      </c>
      <c r="J67" s="33">
        <f t="shared" si="26"/>
        <v>0.25895540123908956</v>
      </c>
      <c r="K67" s="33">
        <f t="shared" si="26"/>
        <v>0.10631959493356646</v>
      </c>
      <c r="L67" s="33">
        <f>IFERROR((L66/K66)-1,"-")</f>
        <v>0.37681853881107763</v>
      </c>
    </row>
    <row r="68" spans="1:13" x14ac:dyDescent="0.25">
      <c r="B68" s="9" t="str">
        <f>Historical_FS!B76</f>
        <v>Inventory</v>
      </c>
      <c r="C68" s="26">
        <f>Historical_FS!C76</f>
        <v>2454.58</v>
      </c>
      <c r="D68" s="26">
        <f>Historical_FS!D76</f>
        <v>2400.64</v>
      </c>
      <c r="E68" s="26">
        <f>Historical_FS!E76</f>
        <v>3267.59</v>
      </c>
      <c r="F68" s="26">
        <f>Historical_FS!F76</f>
        <v>4098.96</v>
      </c>
      <c r="G68" s="26">
        <f>Historical_FS!G76</f>
        <v>4183.3500000000004</v>
      </c>
      <c r="H68" s="26">
        <f>Historical_FS!H76</f>
        <v>4017.97</v>
      </c>
      <c r="I68" s="26">
        <f>Historical_FS!I76</f>
        <v>5595.58</v>
      </c>
      <c r="J68" s="26">
        <f>Historical_FS!J76</f>
        <v>6611.83</v>
      </c>
      <c r="K68" s="26">
        <f>Historical_FS!K76</f>
        <v>8329.74</v>
      </c>
      <c r="L68" s="26">
        <f>Historical_FS!L76</f>
        <v>9562.98</v>
      </c>
    </row>
    <row r="69" spans="1:13" x14ac:dyDescent="0.25">
      <c r="B69" s="19" t="str">
        <f>B68&amp;" Growth"</f>
        <v>Inventory Growth</v>
      </c>
      <c r="C69" s="35" t="str">
        <f t="shared" ref="C69:K69" si="27">IFERROR((C68/B68)-1,"-")</f>
        <v>-</v>
      </c>
      <c r="D69" s="33">
        <f t="shared" si="27"/>
        <v>-2.1975246274311688E-2</v>
      </c>
      <c r="E69" s="33">
        <f t="shared" si="27"/>
        <v>0.36113286456944826</v>
      </c>
      <c r="F69" s="33">
        <f t="shared" si="27"/>
        <v>0.25442910524270168</v>
      </c>
      <c r="G69" s="33">
        <f t="shared" si="27"/>
        <v>2.058814918906271E-2</v>
      </c>
      <c r="H69" s="33">
        <f t="shared" si="27"/>
        <v>-3.9532910227449425E-2</v>
      </c>
      <c r="I69" s="33">
        <f t="shared" si="27"/>
        <v>0.39263857121879964</v>
      </c>
      <c r="J69" s="33">
        <f t="shared" si="27"/>
        <v>0.18161656164329698</v>
      </c>
      <c r="K69" s="33">
        <f t="shared" si="27"/>
        <v>0.25982367967718467</v>
      </c>
      <c r="L69" s="33">
        <f>IFERROR((L68/K68)-1,"-")</f>
        <v>0.14805264029849674</v>
      </c>
    </row>
    <row r="70" spans="1:13" x14ac:dyDescent="0.25">
      <c r="B70" s="9" t="str">
        <f>Historical_FS!B77</f>
        <v>Cash &amp; Bank</v>
      </c>
      <c r="C70" s="26">
        <f>Historical_FS!C77</f>
        <v>2266.96</v>
      </c>
      <c r="D70" s="26">
        <f>Historical_FS!D77</f>
        <v>2248.7800000000002</v>
      </c>
      <c r="E70" s="26">
        <f>Historical_FS!E77</f>
        <v>219.07</v>
      </c>
      <c r="F70" s="26">
        <f>Historical_FS!F77</f>
        <v>739.68</v>
      </c>
      <c r="G70" s="26">
        <f>Historical_FS!G77</f>
        <v>539.91</v>
      </c>
      <c r="H70" s="26">
        <f>Historical_FS!H77</f>
        <v>2007.55</v>
      </c>
      <c r="I70" s="26">
        <f>Historical_FS!I77</f>
        <v>359.18</v>
      </c>
      <c r="J70" s="26">
        <f>Historical_FS!J77</f>
        <v>1149.5899999999999</v>
      </c>
      <c r="K70" s="26">
        <f>Historical_FS!K77</f>
        <v>783.21</v>
      </c>
      <c r="L70" s="26">
        <f>Historical_FS!L77</f>
        <v>1673.32</v>
      </c>
    </row>
    <row r="71" spans="1:13" x14ac:dyDescent="0.25">
      <c r="B71" s="19" t="str">
        <f>B70&amp;" Growth"</f>
        <v>Cash &amp; Bank Growth</v>
      </c>
      <c r="C71" s="35" t="str">
        <f t="shared" ref="C71:K71" si="28">IFERROR((C70/B70)-1,"-")</f>
        <v>-</v>
      </c>
      <c r="D71" s="33">
        <f t="shared" si="28"/>
        <v>-8.019550411123233E-3</v>
      </c>
      <c r="E71" s="33">
        <f t="shared" si="28"/>
        <v>-0.90258273374896614</v>
      </c>
      <c r="F71" s="33">
        <f t="shared" si="28"/>
        <v>2.3764550143789656</v>
      </c>
      <c r="G71" s="33">
        <f t="shared" si="28"/>
        <v>-0.27007624918883844</v>
      </c>
      <c r="H71" s="33">
        <f t="shared" si="28"/>
        <v>2.7183049026689634</v>
      </c>
      <c r="I71" s="33">
        <f t="shared" si="28"/>
        <v>-0.82108540260516549</v>
      </c>
      <c r="J71" s="33">
        <f t="shared" si="28"/>
        <v>2.2005958015479701</v>
      </c>
      <c r="K71" s="33">
        <f t="shared" si="28"/>
        <v>-0.31870492958359065</v>
      </c>
      <c r="L71" s="33">
        <f>IFERROR((L70/K70)-1,"-")</f>
        <v>1.1364895749543544</v>
      </c>
    </row>
    <row r="72" spans="1:13" x14ac:dyDescent="0.25">
      <c r="B72" s="9" t="str">
        <f>Historical_FS!B78</f>
        <v>Total Current Assets</v>
      </c>
      <c r="C72" s="26">
        <f>Historical_FS!C78</f>
        <v>6649.75</v>
      </c>
      <c r="D72" s="26">
        <f>Historical_FS!D78</f>
        <v>6406.51</v>
      </c>
      <c r="E72" s="26">
        <f>Historical_FS!E78</f>
        <v>5707.29</v>
      </c>
      <c r="F72" s="26">
        <f>Historical_FS!F78</f>
        <v>7625.67</v>
      </c>
      <c r="G72" s="26">
        <f>Historical_FS!G78</f>
        <v>7106.48</v>
      </c>
      <c r="H72" s="26">
        <f>Historical_FS!H78</f>
        <v>8597.25</v>
      </c>
      <c r="I72" s="26">
        <f>Historical_FS!I78</f>
        <v>9026.3700000000008</v>
      </c>
      <c r="J72" s="26">
        <f>Historical_FS!J78</f>
        <v>11628.44</v>
      </c>
      <c r="K72" s="26">
        <f>Historical_FS!K78</f>
        <v>13391.11</v>
      </c>
      <c r="L72" s="26">
        <f>Historical_FS!L78</f>
        <v>17126.55</v>
      </c>
    </row>
    <row r="73" spans="1:13" x14ac:dyDescent="0.25">
      <c r="B73" s="19" t="str">
        <f>B72&amp;" Growth"</f>
        <v>Total Current Assets Growth</v>
      </c>
      <c r="C73" s="35" t="str">
        <f t="shared" ref="C73:K73" si="29">IFERROR((C72/B72)-1,"-")</f>
        <v>-</v>
      </c>
      <c r="D73" s="33">
        <f t="shared" si="29"/>
        <v>-3.6578818752584619E-2</v>
      </c>
      <c r="E73" s="33">
        <f t="shared" si="29"/>
        <v>-0.10914210701302274</v>
      </c>
      <c r="F73" s="33">
        <f t="shared" si="29"/>
        <v>0.33612800470976589</v>
      </c>
      <c r="G73" s="33">
        <f t="shared" si="29"/>
        <v>-6.8084509295576745E-2</v>
      </c>
      <c r="H73" s="33">
        <f t="shared" si="29"/>
        <v>0.20977614796636312</v>
      </c>
      <c r="I73" s="33">
        <f t="shared" si="29"/>
        <v>4.9913635174038351E-2</v>
      </c>
      <c r="J73" s="33">
        <f t="shared" si="29"/>
        <v>0.28827424535001334</v>
      </c>
      <c r="K73" s="33">
        <f t="shared" si="29"/>
        <v>0.15158267145034077</v>
      </c>
      <c r="L73" s="33">
        <f>IFERROR((L72/K72)-1,"-")</f>
        <v>0.27894924319193848</v>
      </c>
    </row>
    <row r="75" spans="1:13" x14ac:dyDescent="0.25">
      <c r="B75" s="9" t="str">
        <f>Historical_FS!B80</f>
        <v>Total Assets</v>
      </c>
      <c r="C75" s="26">
        <f>Historical_FS!C80</f>
        <v>41193.11</v>
      </c>
      <c r="D75" s="26">
        <f>Historical_FS!D80</f>
        <v>42209.11</v>
      </c>
      <c r="E75" s="26">
        <f>Historical_FS!E80</f>
        <v>57141.090000000004</v>
      </c>
      <c r="F75" s="26">
        <f>Historical_FS!F80</f>
        <v>76525.37000000001</v>
      </c>
      <c r="G75" s="26">
        <f>Historical_FS!G80</f>
        <v>79213.81</v>
      </c>
      <c r="H75" s="26">
        <f>Historical_FS!H80</f>
        <v>86176.349999999991</v>
      </c>
      <c r="I75" s="26">
        <f>Historical_FS!I80</f>
        <v>83811.439999999988</v>
      </c>
      <c r="J75" s="26">
        <f>Historical_FS!J80</f>
        <v>91380.4</v>
      </c>
      <c r="K75" s="26">
        <f>Historical_FS!K80</f>
        <v>100797.11</v>
      </c>
      <c r="L75" s="26">
        <f>Historical_FS!L80</f>
        <v>133632.06</v>
      </c>
    </row>
    <row r="76" spans="1:13" x14ac:dyDescent="0.25">
      <c r="B76" s="19" t="str">
        <f>B75&amp;" Growth"</f>
        <v>Total Assets Growth</v>
      </c>
      <c r="C76" s="35" t="str">
        <f t="shared" ref="C76:K76" si="30">IFERROR((C75/B75)-1,"-")</f>
        <v>-</v>
      </c>
      <c r="D76" s="33">
        <f t="shared" si="30"/>
        <v>2.4664318863033108E-2</v>
      </c>
      <c r="E76" s="33">
        <f t="shared" si="30"/>
        <v>0.35376201962088283</v>
      </c>
      <c r="F76" s="33">
        <f t="shared" si="30"/>
        <v>0.3392353908544623</v>
      </c>
      <c r="G76" s="33">
        <f t="shared" si="30"/>
        <v>3.5131355784362661E-2</v>
      </c>
      <c r="H76" s="33">
        <f t="shared" si="30"/>
        <v>8.7895532357299633E-2</v>
      </c>
      <c r="I76" s="33">
        <f t="shared" si="30"/>
        <v>-2.7442680039245104E-2</v>
      </c>
      <c r="J76" s="33">
        <f t="shared" si="30"/>
        <v>9.0309389744407387E-2</v>
      </c>
      <c r="K76" s="33">
        <f t="shared" si="30"/>
        <v>0.10304955986185238</v>
      </c>
      <c r="L76" s="33">
        <f>IFERROR((L75/K75)-1,"-")</f>
        <v>0.32575289112951755</v>
      </c>
    </row>
    <row r="78" spans="1:13" ht="18.75" x14ac:dyDescent="0.3">
      <c r="A78" s="48" t="s">
        <v>56</v>
      </c>
      <c r="B78" s="97" t="s">
        <v>114</v>
      </c>
      <c r="C78" s="98"/>
      <c r="D78" s="98"/>
      <c r="E78" s="98"/>
      <c r="F78" s="98"/>
      <c r="G78" s="98"/>
      <c r="H78" s="98"/>
      <c r="I78" s="98"/>
      <c r="J78" s="98"/>
      <c r="K78" s="98"/>
      <c r="L78" s="98"/>
      <c r="M78" s="98"/>
    </row>
    <row r="79" spans="1:13" s="15" customFormat="1" ht="15" customHeight="1" x14ac:dyDescent="0.3">
      <c r="B79" s="40"/>
      <c r="C79" s="41"/>
      <c r="D79" s="41"/>
      <c r="E79" s="41"/>
      <c r="F79" s="41"/>
      <c r="G79" s="41"/>
      <c r="H79" s="41"/>
      <c r="I79" s="41"/>
      <c r="J79" s="41"/>
      <c r="K79" s="41"/>
      <c r="L79" s="41"/>
    </row>
    <row r="80" spans="1:13" x14ac:dyDescent="0.25">
      <c r="B80" s="44" t="str">
        <f>Historical_FS!B86</f>
        <v>Cash from Operating Activity</v>
      </c>
      <c r="C80" s="26">
        <f>Historical_FS!C86</f>
        <v>4525</v>
      </c>
      <c r="D80" s="26">
        <f>Historical_FS!D86</f>
        <v>5005</v>
      </c>
      <c r="E80" s="26">
        <f>Historical_FS!E86</f>
        <v>3888</v>
      </c>
      <c r="F80" s="26">
        <f>Historical_FS!F86</f>
        <v>5956</v>
      </c>
      <c r="G80" s="26">
        <f>Historical_FS!G86</f>
        <v>8973</v>
      </c>
      <c r="H80" s="26">
        <f>Historical_FS!H86</f>
        <v>12500</v>
      </c>
      <c r="I80" s="26">
        <f>Historical_FS!I86</f>
        <v>9283</v>
      </c>
      <c r="J80" s="26">
        <f>Historical_FS!J86</f>
        <v>9069</v>
      </c>
      <c r="K80" s="26">
        <f>Historical_FS!K86</f>
        <v>10897</v>
      </c>
      <c r="L80" s="26">
        <f>Historical_FS!L86</f>
        <v>10673</v>
      </c>
      <c r="M80" s="44"/>
    </row>
    <row r="81" spans="2:13" x14ac:dyDescent="0.25">
      <c r="B81" s="19" t="str">
        <f>B80&amp;" Growth"</f>
        <v>Cash from Operating Activity Growth</v>
      </c>
      <c r="C81" s="35" t="str">
        <f t="shared" ref="C81:K81" si="31">IFERROR((C80/B80)-1,"-")</f>
        <v>-</v>
      </c>
      <c r="D81" s="33">
        <f t="shared" si="31"/>
        <v>0.10607734806629843</v>
      </c>
      <c r="E81" s="33">
        <f t="shared" si="31"/>
        <v>-0.22317682317682319</v>
      </c>
      <c r="F81" s="33">
        <f t="shared" si="31"/>
        <v>0.53189300411522633</v>
      </c>
      <c r="G81" s="33">
        <f t="shared" si="31"/>
        <v>0.50654801880456679</v>
      </c>
      <c r="H81" s="33">
        <f t="shared" si="31"/>
        <v>0.39306809316839408</v>
      </c>
      <c r="I81" s="33">
        <f t="shared" si="31"/>
        <v>-0.25736000000000003</v>
      </c>
      <c r="J81" s="33">
        <f t="shared" si="31"/>
        <v>-2.3052892383927603E-2</v>
      </c>
      <c r="K81" s="33">
        <f t="shared" si="31"/>
        <v>0.20156577351416916</v>
      </c>
      <c r="L81" s="33">
        <f>IFERROR((L80/K80)-1,"-")</f>
        <v>-2.0556116362301591E-2</v>
      </c>
    </row>
    <row r="82" spans="2:13" x14ac:dyDescent="0.25">
      <c r="B82" s="44" t="str">
        <f>Historical_FS!B97</f>
        <v>Cash from Investing Activity</v>
      </c>
      <c r="C82" s="26">
        <f>Historical_FS!C97</f>
        <v>-3675</v>
      </c>
      <c r="D82" s="26">
        <f>Historical_FS!D97</f>
        <v>-2501</v>
      </c>
      <c r="E82" s="26">
        <f>Historical_FS!E97</f>
        <v>1866</v>
      </c>
      <c r="F82" s="26">
        <f>Historical_FS!F97</f>
        <v>1164</v>
      </c>
      <c r="G82" s="26">
        <f>Historical_FS!G97</f>
        <v>-4193</v>
      </c>
      <c r="H82" s="26">
        <f>Historical_FS!H97</f>
        <v>-8856</v>
      </c>
      <c r="I82" s="26">
        <f>Historical_FS!I97</f>
        <v>2322</v>
      </c>
      <c r="J82" s="26">
        <f>Historical_FS!J97</f>
        <v>-7187</v>
      </c>
      <c r="K82" s="26">
        <f>Historical_FS!K97</f>
        <v>-8788</v>
      </c>
      <c r="L82" s="26">
        <f>Historical_FS!L97</f>
        <v>-15835</v>
      </c>
      <c r="M82" s="44"/>
    </row>
    <row r="83" spans="2:13" x14ac:dyDescent="0.25">
      <c r="B83" s="19" t="str">
        <f>B82&amp;" Growth"</f>
        <v>Cash from Investing Activity Growth</v>
      </c>
      <c r="C83" s="35" t="str">
        <f t="shared" ref="C83:K83" si="32">IFERROR((C82/B82)-1,"-")</f>
        <v>-</v>
      </c>
      <c r="D83" s="33">
        <f t="shared" si="32"/>
        <v>-0.31945578231292515</v>
      </c>
      <c r="E83" s="33">
        <f t="shared" si="32"/>
        <v>-1.7461015593762494</v>
      </c>
      <c r="F83" s="33">
        <f t="shared" si="32"/>
        <v>-0.3762057877813505</v>
      </c>
      <c r="G83" s="33">
        <f t="shared" si="32"/>
        <v>-4.6022336769759455</v>
      </c>
      <c r="H83" s="33">
        <f t="shared" si="32"/>
        <v>1.1120915812067733</v>
      </c>
      <c r="I83" s="33">
        <f t="shared" si="32"/>
        <v>-1.2621951219512195</v>
      </c>
      <c r="J83" s="33">
        <f t="shared" si="32"/>
        <v>-4.0951765719207582</v>
      </c>
      <c r="K83" s="33">
        <f t="shared" si="32"/>
        <v>0.22276332266592469</v>
      </c>
      <c r="L83" s="33">
        <f>IFERROR((L82/K82)-1,"-")</f>
        <v>0.80188893946290385</v>
      </c>
    </row>
    <row r="84" spans="2:13" x14ac:dyDescent="0.25">
      <c r="B84" s="44" t="str">
        <f>Historical_FS!B110</f>
        <v>Cash from Financing Activity</v>
      </c>
      <c r="C84" s="26">
        <f>Historical_FS!C110</f>
        <v>-843</v>
      </c>
      <c r="D84" s="26">
        <f>Historical_FS!D110</f>
        <v>-2535</v>
      </c>
      <c r="E84" s="26">
        <f>Historical_FS!E110</f>
        <v>-5735</v>
      </c>
      <c r="F84" s="26">
        <f>Historical_FS!F110</f>
        <v>-6757</v>
      </c>
      <c r="G84" s="26">
        <f>Historical_FS!G110</f>
        <v>-5076</v>
      </c>
      <c r="H84" s="26">
        <f>Historical_FS!H110</f>
        <v>-4356</v>
      </c>
      <c r="I84" s="26">
        <f>Historical_FS!I110</f>
        <v>-12497</v>
      </c>
      <c r="J84" s="26">
        <f>Historical_FS!J110</f>
        <v>-1631</v>
      </c>
      <c r="K84" s="26">
        <f>Historical_FS!K110</f>
        <v>-1925</v>
      </c>
      <c r="L84" s="26">
        <f>Historical_FS!L110</f>
        <v>5076</v>
      </c>
      <c r="M84" s="44"/>
    </row>
    <row r="85" spans="2:13" x14ac:dyDescent="0.25">
      <c r="B85" s="19" t="str">
        <f>B84&amp;" Growth"</f>
        <v>Cash from Financing Activity Growth</v>
      </c>
      <c r="C85" s="35" t="str">
        <f t="shared" ref="C85:K85" si="33">IFERROR((C84/B84)-1,"-")</f>
        <v>-</v>
      </c>
      <c r="D85" s="33">
        <f t="shared" si="33"/>
        <v>2.0071174377224201</v>
      </c>
      <c r="E85" s="33">
        <f t="shared" si="33"/>
        <v>1.2623274161735698</v>
      </c>
      <c r="F85" s="33">
        <f t="shared" si="33"/>
        <v>0.17820401046207501</v>
      </c>
      <c r="G85" s="33">
        <f t="shared" si="33"/>
        <v>-0.24877904395441763</v>
      </c>
      <c r="H85" s="33">
        <f t="shared" si="33"/>
        <v>-0.14184397163120566</v>
      </c>
      <c r="I85" s="33">
        <f t="shared" si="33"/>
        <v>1.8689164370982554</v>
      </c>
      <c r="J85" s="33">
        <f t="shared" si="33"/>
        <v>-0.86948867728254786</v>
      </c>
      <c r="K85" s="33">
        <f t="shared" si="33"/>
        <v>0.18025751072961382</v>
      </c>
      <c r="L85" s="33">
        <f>IFERROR((L84/K84)-1,"-")</f>
        <v>-3.6368831168831171</v>
      </c>
    </row>
    <row r="86" spans="2:13" x14ac:dyDescent="0.25">
      <c r="B86" s="44" t="str">
        <f>Historical_FS!B119</f>
        <v>Net Cash Flow</v>
      </c>
      <c r="C86" s="26">
        <f>Historical_FS!C119</f>
        <v>7</v>
      </c>
      <c r="D86" s="26">
        <f>Historical_FS!D119</f>
        <v>-31</v>
      </c>
      <c r="E86" s="26">
        <f>Historical_FS!E119</f>
        <v>19</v>
      </c>
      <c r="F86" s="26">
        <f>Historical_FS!F119</f>
        <v>363</v>
      </c>
      <c r="G86" s="26">
        <f>Historical_FS!G119</f>
        <v>-296</v>
      </c>
      <c r="H86" s="26">
        <f>Historical_FS!H119</f>
        <v>-712</v>
      </c>
      <c r="I86" s="26">
        <f>Historical_FS!I119</f>
        <v>-892</v>
      </c>
      <c r="J86" s="26">
        <f>Historical_FS!J119</f>
        <v>251</v>
      </c>
      <c r="K86" s="26">
        <f>Historical_FS!K119</f>
        <v>184</v>
      </c>
      <c r="L86" s="26">
        <f>Historical_FS!L119</f>
        <v>-86</v>
      </c>
      <c r="M86" s="44"/>
    </row>
    <row r="87" spans="2:13" x14ac:dyDescent="0.25">
      <c r="B87" s="19" t="str">
        <f>B86&amp;" Growth"</f>
        <v>Net Cash Flow Growth</v>
      </c>
      <c r="C87" s="35" t="str">
        <f t="shared" ref="C87:K87" si="34">IFERROR((C86/B86)-1,"-")</f>
        <v>-</v>
      </c>
      <c r="D87" s="33">
        <f t="shared" si="34"/>
        <v>-5.4285714285714288</v>
      </c>
      <c r="E87" s="33">
        <f t="shared" si="34"/>
        <v>-1.6129032258064515</v>
      </c>
      <c r="F87" s="33">
        <f t="shared" si="34"/>
        <v>18.105263157894736</v>
      </c>
      <c r="G87" s="33">
        <f t="shared" si="34"/>
        <v>-1.8154269972451791</v>
      </c>
      <c r="H87" s="33">
        <f t="shared" si="34"/>
        <v>1.4054054054054053</v>
      </c>
      <c r="I87" s="33">
        <f t="shared" si="34"/>
        <v>0.25280898876404501</v>
      </c>
      <c r="J87" s="33">
        <f t="shared" si="34"/>
        <v>-1.2813901345291479</v>
      </c>
      <c r="K87" s="33">
        <f t="shared" si="34"/>
        <v>-0.26693227091633465</v>
      </c>
      <c r="L87" s="33">
        <f>IFERROR((L86/K86)-1,"-")</f>
        <v>-1.4673913043478262</v>
      </c>
    </row>
    <row r="89" spans="2:13" x14ac:dyDescent="0.25">
      <c r="C89" s="19"/>
    </row>
  </sheetData>
  <mergeCells count="1">
    <mergeCell ref="B9:M9"/>
  </mergeCells>
  <pageMargins left="0.7" right="0.7" top="0.75" bottom="0.75" header="0.3" footer="0.3"/>
  <pageSetup scale="40" orientation="landscape" horizontalDpi="1200" verticalDpi="1200" r:id="rId1"/>
  <ignoredErrors>
    <ignoredError sqref="B15:L15 B17:L17 B19:L19 B21:L21 B23 C23:L23 B25 C25:L25 B27 C27:L27 B29 C29:L29 B31 C31:L31 B33 C33:L33 B58:L58 B60:L60 B62:L62 B64:L64 B70 B68 C68:L68 C70:L70 B82:L82 B84:L84 B86:L86 B46:L46 C48:L48 B50:L50 B52:L52 C54:L54 B56:L56 B66:L66 B72:L72" formula="1"/>
  </ignoredErrors>
  <drawing r:id="rId2"/>
  <extLst>
    <ext xmlns:x14="http://schemas.microsoft.com/office/spreadsheetml/2009/9/main" uri="{05C60535-1F16-4fd2-B633-F4F36F0B64E0}">
      <x14:sparklineGroups xmlns:xm="http://schemas.microsoft.com/office/excel/2006/main">
        <x14:sparklineGroup displayEmptyCellsAs="gap" markers="1" xr2:uid="{00000000-0003-0000-0300-000020000000}">
          <x14:colorSeries theme="7" tint="0.39997558519241921"/>
          <x14:colorNegative rgb="FFD00000"/>
          <x14:colorAxis rgb="FF000000"/>
          <x14:colorMarkers theme="1"/>
          <x14:colorFirst rgb="FFD00000"/>
          <x14:colorLast rgb="FFD00000"/>
          <x14:colorHigh rgb="FFD00000"/>
          <x14:colorLow rgb="FFD00000"/>
          <x14:sparklines>
            <x14:sparkline>
              <xm:f>Horizontal!C14:L14</xm:f>
              <xm:sqref>M14</xm:sqref>
            </x14:sparkline>
          </x14:sparklines>
        </x14:sparklineGroup>
        <x14:sparklineGroup displayEmptyCellsAs="gap" markers="1" xr2:uid="{00000000-0003-0000-0300-00001F000000}">
          <x14:colorSeries theme="7" tint="0.39997558519241921"/>
          <x14:colorNegative rgb="FFD00000"/>
          <x14:colorAxis rgb="FF000000"/>
          <x14:colorMarkers theme="1"/>
          <x14:colorFirst rgb="FFD00000"/>
          <x14:colorLast rgb="FFD00000"/>
          <x14:colorHigh rgb="FFD00000"/>
          <x14:colorLow rgb="FFD00000"/>
          <x14:sparklines>
            <x14:sparkline>
              <xm:f>Horizontal!C20:L20</xm:f>
              <xm:sqref>M20</xm:sqref>
            </x14:sparkline>
          </x14:sparklines>
        </x14:sparklineGroup>
        <x14:sparklineGroup displayEmptyCellsAs="gap" markers="1" xr2:uid="{00000000-0003-0000-0300-00001E000000}">
          <x14:colorSeries theme="7" tint="0.39997558519241921"/>
          <x14:colorNegative rgb="FFD00000"/>
          <x14:colorAxis rgb="FF000000"/>
          <x14:colorMarkers theme="1"/>
          <x14:colorFirst rgb="FFD00000"/>
          <x14:colorLast rgb="FFD00000"/>
          <x14:colorHigh rgb="FFD00000"/>
          <x14:colorLow rgb="FFD00000"/>
          <x14:sparklines>
            <x14:sparkline>
              <xm:f>Horizontal!C18:L18</xm:f>
              <xm:sqref>M18</xm:sqref>
            </x14:sparkline>
            <x14:sparkline>
              <xm:f>Horizontal!C16:L16</xm:f>
              <xm:sqref>M16</xm:sqref>
            </x14:sparkline>
          </x14:sparklines>
        </x14:sparklineGroup>
        <x14:sparklineGroup displayEmptyCellsAs="gap" markers="1" xr2:uid="{00000000-0003-0000-0300-00001D000000}">
          <x14:colorSeries theme="7" tint="0.39997558519241921"/>
          <x14:colorNegative rgb="FFD00000"/>
          <x14:colorAxis rgb="FF000000"/>
          <x14:colorMarkers theme="1"/>
          <x14:colorFirst rgb="FFD00000"/>
          <x14:colorLast rgb="FFD00000"/>
          <x14:colorHigh rgb="FFD00000"/>
          <x14:colorLow rgb="FFD00000"/>
          <x14:sparklines>
            <x14:sparkline>
              <xm:f>Horizontal!C22:L22</xm:f>
              <xm:sqref>M22</xm:sqref>
            </x14:sparkline>
          </x14:sparklines>
        </x14:sparklineGroup>
        <x14:sparklineGroup displayEmptyCellsAs="gap" markers="1" xr2:uid="{00000000-0003-0000-0300-00001C000000}">
          <x14:colorSeries theme="7" tint="0.39997558519241921"/>
          <x14:colorNegative rgb="FFD00000"/>
          <x14:colorAxis rgb="FF000000"/>
          <x14:colorMarkers theme="1"/>
          <x14:colorFirst rgb="FFD00000"/>
          <x14:colorLast rgb="FFD00000"/>
          <x14:colorHigh rgb="FFD00000"/>
          <x14:colorLow rgb="FFD00000"/>
          <x14:sparklines>
            <x14:sparkline>
              <xm:f>Horizontal!C24:L24</xm:f>
              <xm:sqref>M24</xm:sqref>
            </x14:sparkline>
          </x14:sparklines>
        </x14:sparklineGroup>
        <x14:sparklineGroup displayEmptyCellsAs="gap" markers="1" xr2:uid="{00000000-0003-0000-0300-00001B000000}">
          <x14:colorSeries theme="7" tint="0.39997558519241921"/>
          <x14:colorNegative rgb="FFD00000"/>
          <x14:colorAxis rgb="FF000000"/>
          <x14:colorMarkers theme="1"/>
          <x14:colorFirst rgb="FFD00000"/>
          <x14:colorLast rgb="FFD00000"/>
          <x14:colorHigh rgb="FFD00000"/>
          <x14:colorLow rgb="FFD00000"/>
          <x14:sparklines>
            <x14:sparkline>
              <xm:f>Horizontal!C26:L26</xm:f>
              <xm:sqref>M26</xm:sqref>
            </x14:sparkline>
          </x14:sparklines>
        </x14:sparklineGroup>
        <x14:sparklineGroup displayEmptyCellsAs="gap" markers="1" xr2:uid="{00000000-0003-0000-0300-00001A000000}">
          <x14:colorSeries theme="7" tint="0.39997558519241921"/>
          <x14:colorNegative rgb="FFD00000"/>
          <x14:colorAxis rgb="FF000000"/>
          <x14:colorMarkers theme="1"/>
          <x14:colorFirst rgb="FFD00000"/>
          <x14:colorLast rgb="FFD00000"/>
          <x14:colorHigh rgb="FFD00000"/>
          <x14:colorLow rgb="FFD00000"/>
          <x14:sparklines>
            <x14:sparkline>
              <xm:f>Horizontal!C28:L28</xm:f>
              <xm:sqref>M28</xm:sqref>
            </x14:sparkline>
          </x14:sparklines>
        </x14:sparklineGroup>
        <x14:sparklineGroup displayEmptyCellsAs="gap" markers="1" xr2:uid="{00000000-0003-0000-0300-000019000000}">
          <x14:colorSeries theme="7" tint="0.39997558519241921"/>
          <x14:colorNegative rgb="FFD00000"/>
          <x14:colorAxis rgb="FF000000"/>
          <x14:colorMarkers theme="1"/>
          <x14:colorFirst rgb="FFD00000"/>
          <x14:colorLast rgb="FFD00000"/>
          <x14:colorHigh rgb="FFD00000"/>
          <x14:colorLow rgb="FFD00000"/>
          <x14:sparklines>
            <x14:sparkline>
              <xm:f>Horizontal!C30:L30</xm:f>
              <xm:sqref>M30</xm:sqref>
            </x14:sparkline>
          </x14:sparklines>
        </x14:sparklineGroup>
        <x14:sparklineGroup displayEmptyCellsAs="gap" markers="1" xr2:uid="{00000000-0003-0000-0300-000018000000}">
          <x14:colorSeries theme="7" tint="0.39997558519241921"/>
          <x14:colorNegative rgb="FFD00000"/>
          <x14:colorAxis rgb="FF000000"/>
          <x14:colorMarkers theme="1"/>
          <x14:colorFirst rgb="FFD00000"/>
          <x14:colorLast rgb="FFD00000"/>
          <x14:colorHigh rgb="FFD00000"/>
          <x14:colorLow rgb="FFD00000"/>
          <x14:sparklines>
            <x14:sparkline>
              <xm:f>Horizontal!C32:L32</xm:f>
              <xm:sqref>M32</xm:sqref>
            </x14:sparkline>
          </x14:sparklines>
        </x14:sparklineGroup>
        <x14:sparklineGroup displayEmptyCellsAs="gap" markers="1" xr2:uid="{00000000-0003-0000-0300-000017000000}">
          <x14:colorSeries theme="7" tint="0.39997558519241921"/>
          <x14:colorNegative rgb="FFD00000"/>
          <x14:colorAxis rgb="FF000000"/>
          <x14:colorMarkers theme="1"/>
          <x14:colorFirst rgb="FFD00000"/>
          <x14:colorLast rgb="FFD00000"/>
          <x14:colorHigh rgb="FFD00000"/>
          <x14:colorLow rgb="FFD00000"/>
          <x14:sparklines>
            <x14:sparkline>
              <xm:f>Horizontal!C34:L34</xm:f>
              <xm:sqref>M34</xm:sqref>
            </x14:sparkline>
          </x14:sparklines>
        </x14:sparklineGroup>
        <x14:sparklineGroup displayEmptyCellsAs="gap" markers="1" xr2:uid="{00000000-0003-0000-0300-000016000000}">
          <x14:colorSeries theme="7" tint="0.39997558519241921"/>
          <x14:colorNegative rgb="FFD00000"/>
          <x14:colorAxis rgb="FF000000"/>
          <x14:colorMarkers theme="1"/>
          <x14:colorFirst rgb="FFD00000"/>
          <x14:colorLast rgb="FFD00000"/>
          <x14:colorHigh rgb="FFD00000"/>
          <x14:colorLow rgb="FFD00000"/>
          <x14:sparklines>
            <x14:sparkline>
              <xm:f>Horizontal!C37:L37</xm:f>
              <xm:sqref>M37</xm:sqref>
            </x14:sparkline>
          </x14:sparklines>
        </x14:sparklineGroup>
        <x14:sparklineGroup displayEmptyCellsAs="gap" markers="1" xr2:uid="{00000000-0003-0000-0300-000015000000}">
          <x14:colorSeries theme="7" tint="0.39997558519241921"/>
          <x14:colorNegative rgb="FFD00000"/>
          <x14:colorAxis rgb="FF000000"/>
          <x14:colorMarkers theme="1"/>
          <x14:colorFirst rgb="FFD00000"/>
          <x14:colorLast rgb="FFD00000"/>
          <x14:colorHigh rgb="FFD00000"/>
          <x14:colorLow rgb="FFD00000"/>
          <x14:sparklines>
            <x14:sparkline>
              <xm:f>Horizontal!C40:L40</xm:f>
              <xm:sqref>M40</xm:sqref>
            </x14:sparkline>
          </x14:sparklines>
        </x14:sparklineGroup>
        <x14:sparklineGroup displayEmptyCellsAs="gap" markers="1" xr2:uid="{00000000-0003-0000-0300-000014000000}">
          <x14:colorSeries theme="7" tint="0.39997558519241921"/>
          <x14:colorNegative rgb="FFD00000"/>
          <x14:colorAxis rgb="FF000000"/>
          <x14:colorMarkers theme="1"/>
          <x14:colorFirst rgb="FFD00000"/>
          <x14:colorLast rgb="FFD00000"/>
          <x14:colorHigh rgb="FFD00000"/>
          <x14:colorLow rgb="FFD00000"/>
          <x14:sparklines>
            <x14:sparkline>
              <xm:f>Horizontal!C45:L45</xm:f>
              <xm:sqref>M45</xm:sqref>
            </x14:sparkline>
          </x14:sparklines>
        </x14:sparklineGroup>
        <x14:sparklineGroup displayEmptyCellsAs="gap" markers="1" xr2:uid="{00000000-0003-0000-0300-000013000000}">
          <x14:colorSeries theme="7" tint="0.39997558519241921"/>
          <x14:colorNegative rgb="FFD00000"/>
          <x14:colorAxis rgb="FF000000"/>
          <x14:colorMarkers theme="1"/>
          <x14:colorFirst rgb="FFD00000"/>
          <x14:colorLast rgb="FFD00000"/>
          <x14:colorHigh rgb="FFD00000"/>
          <x14:colorLow rgb="FFD00000"/>
          <x14:sparklines>
            <x14:sparkline>
              <xm:f>Horizontal!C47:L47</xm:f>
              <xm:sqref>M47</xm:sqref>
            </x14:sparkline>
          </x14:sparklines>
        </x14:sparklineGroup>
        <x14:sparklineGroup displayEmptyCellsAs="gap" markers="1" xr2:uid="{00000000-0003-0000-0300-000012000000}">
          <x14:colorSeries theme="7" tint="0.39997558519241921"/>
          <x14:colorNegative rgb="FFD00000"/>
          <x14:colorAxis rgb="FF000000"/>
          <x14:colorMarkers theme="1"/>
          <x14:colorFirst rgb="FFD00000"/>
          <x14:colorLast rgb="FFD00000"/>
          <x14:colorHigh rgb="FFD00000"/>
          <x14:colorLow rgb="FFD00000"/>
          <x14:sparklines>
            <x14:sparkline>
              <xm:f>Horizontal!C49:L49</xm:f>
              <xm:sqref>M49</xm:sqref>
            </x14:sparkline>
          </x14:sparklines>
        </x14:sparklineGroup>
        <x14:sparklineGroup displayEmptyCellsAs="gap" markers="1" xr2:uid="{00000000-0003-0000-0300-000011000000}">
          <x14:colorSeries theme="7" tint="0.39997558519241921"/>
          <x14:colorNegative rgb="FFD00000"/>
          <x14:colorAxis rgb="FF000000"/>
          <x14:colorMarkers theme="1"/>
          <x14:colorFirst rgb="FFD00000"/>
          <x14:colorLast rgb="FFD00000"/>
          <x14:colorHigh rgb="FFD00000"/>
          <x14:colorLow rgb="FFD00000"/>
          <x14:sparklines>
            <x14:sparkline>
              <xm:f>Horizontal!C51:L51</xm:f>
              <xm:sqref>M51</xm:sqref>
            </x14:sparkline>
          </x14:sparklines>
        </x14:sparklineGroup>
        <x14:sparklineGroup displayEmptyCellsAs="gap" markers="1" xr2:uid="{00000000-0003-0000-0300-000010000000}">
          <x14:colorSeries theme="7" tint="0.39997558519241921"/>
          <x14:colorNegative rgb="FFD00000"/>
          <x14:colorAxis rgb="FF000000"/>
          <x14:colorMarkers theme="1"/>
          <x14:colorFirst rgb="FFD00000"/>
          <x14:colorLast rgb="FFD00000"/>
          <x14:colorHigh rgb="FFD00000"/>
          <x14:colorLow rgb="FFD00000"/>
          <x14:sparklines>
            <x14:sparkline>
              <xm:f>Horizontal!C53:L53</xm:f>
              <xm:sqref>M53</xm:sqref>
            </x14:sparkline>
          </x14:sparklines>
        </x14:sparklineGroup>
        <x14:sparklineGroup displayEmptyCellsAs="gap" markers="1" xr2:uid="{00000000-0003-0000-0300-00000F000000}">
          <x14:colorSeries theme="7" tint="0.39997558519241921"/>
          <x14:colorNegative rgb="FFD00000"/>
          <x14:colorAxis rgb="FF000000"/>
          <x14:colorMarkers theme="1"/>
          <x14:colorFirst rgb="FFD00000"/>
          <x14:colorLast rgb="FFD00000"/>
          <x14:colorHigh rgb="FFD00000"/>
          <x14:colorLow rgb="FFD00000"/>
          <x14:sparklines>
            <x14:sparkline>
              <xm:f>Horizontal!C55:L55</xm:f>
              <xm:sqref>M55</xm:sqref>
            </x14:sparkline>
          </x14:sparklines>
        </x14:sparklineGroup>
        <x14:sparklineGroup displayEmptyCellsAs="gap" markers="1" xr2:uid="{00000000-0003-0000-0300-00000E000000}">
          <x14:colorSeries theme="7" tint="0.39997558519241921"/>
          <x14:colorNegative rgb="FFD00000"/>
          <x14:colorAxis rgb="FF000000"/>
          <x14:colorMarkers theme="1"/>
          <x14:colorFirst rgb="FFD00000"/>
          <x14:colorLast rgb="FFD00000"/>
          <x14:colorHigh rgb="FFD00000"/>
          <x14:colorLow rgb="FFD00000"/>
          <x14:sparklines>
            <x14:sparkline>
              <xm:f>Horizontal!C57:L57</xm:f>
              <xm:sqref>M57</xm:sqref>
            </x14:sparkline>
          </x14:sparklines>
        </x14:sparklineGroup>
        <x14:sparklineGroup displayEmptyCellsAs="gap" markers="1" xr2:uid="{00000000-0003-0000-0300-00000D000000}">
          <x14:colorSeries theme="7" tint="0.39997558519241921"/>
          <x14:colorNegative rgb="FFD00000"/>
          <x14:colorAxis rgb="FF000000"/>
          <x14:colorMarkers theme="1"/>
          <x14:colorFirst rgb="FFD00000"/>
          <x14:colorLast rgb="FFD00000"/>
          <x14:colorHigh rgb="FFD00000"/>
          <x14:colorLow rgb="FFD00000"/>
          <x14:sparklines>
            <x14:sparkline>
              <xm:f>Horizontal!C59:L59</xm:f>
              <xm:sqref>M59</xm:sqref>
            </x14:sparkline>
          </x14:sparklines>
        </x14:sparklineGroup>
        <x14:sparklineGroup displayEmptyCellsAs="gap" markers="1" xr2:uid="{00000000-0003-0000-0300-00000C000000}">
          <x14:colorSeries theme="7" tint="0.39997558519241921"/>
          <x14:colorNegative rgb="FFD00000"/>
          <x14:colorAxis rgb="FF000000"/>
          <x14:colorMarkers theme="1"/>
          <x14:colorFirst rgb="FFD00000"/>
          <x14:colorLast rgb="FFD00000"/>
          <x14:colorHigh rgb="FFD00000"/>
          <x14:colorLow rgb="FFD00000"/>
          <x14:sparklines>
            <x14:sparkline>
              <xm:f>Horizontal!C61:L61</xm:f>
              <xm:sqref>M61</xm:sqref>
            </x14:sparkline>
          </x14:sparklines>
        </x14:sparklineGroup>
        <x14:sparklineGroup displayEmptyCellsAs="gap" markers="1" xr2:uid="{00000000-0003-0000-0300-00000B000000}">
          <x14:colorSeries theme="7" tint="0.39997558519241921"/>
          <x14:colorNegative rgb="FFD00000"/>
          <x14:colorAxis rgb="FF000000"/>
          <x14:colorMarkers theme="1"/>
          <x14:colorFirst rgb="FFD00000"/>
          <x14:colorLast rgb="FFD00000"/>
          <x14:colorHigh rgb="FFD00000"/>
          <x14:colorLow rgb="FFD00000"/>
          <x14:sparklines>
            <x14:sparkline>
              <xm:f>Horizontal!C63:L63</xm:f>
              <xm:sqref>M63</xm:sqref>
            </x14:sparkline>
          </x14:sparklines>
        </x14:sparklineGroup>
        <x14:sparklineGroup displayEmptyCellsAs="gap" markers="1" xr2:uid="{00000000-0003-0000-0300-00000A000000}">
          <x14:colorSeries theme="7" tint="0.39997558519241921"/>
          <x14:colorNegative rgb="FFD00000"/>
          <x14:colorAxis rgb="FF000000"/>
          <x14:colorMarkers theme="1"/>
          <x14:colorFirst rgb="FFD00000"/>
          <x14:colorLast rgb="FFD00000"/>
          <x14:colorHigh rgb="FFD00000"/>
          <x14:colorLow rgb="FFD00000"/>
          <x14:sparklines>
            <x14:sparkline>
              <xm:f>Horizontal!C65:L65</xm:f>
              <xm:sqref>M65</xm:sqref>
            </x14:sparkline>
          </x14:sparklines>
        </x14:sparklineGroup>
        <x14:sparklineGroup displayEmptyCellsAs="gap" markers="1" xr2:uid="{00000000-0003-0000-0300-000009000000}">
          <x14:colorSeries theme="7" tint="0.39997558519241921"/>
          <x14:colorNegative rgb="FFD00000"/>
          <x14:colorAxis rgb="FF000000"/>
          <x14:colorMarkers theme="1"/>
          <x14:colorFirst rgb="FFD00000"/>
          <x14:colorLast rgb="FFD00000"/>
          <x14:colorHigh rgb="FFD00000"/>
          <x14:colorLow rgb="FFD00000"/>
          <x14:sparklines>
            <x14:sparkline>
              <xm:f>Horizontal!C67:L67</xm:f>
              <xm:sqref>M67</xm:sqref>
            </x14:sparkline>
          </x14:sparklines>
        </x14:sparklineGroup>
        <x14:sparklineGroup displayEmptyCellsAs="gap" markers="1" xr2:uid="{00000000-0003-0000-0300-000008000000}">
          <x14:colorSeries theme="7" tint="0.39997558519241921"/>
          <x14:colorNegative rgb="FFD00000"/>
          <x14:colorAxis rgb="FF000000"/>
          <x14:colorMarkers theme="1"/>
          <x14:colorFirst rgb="FFD00000"/>
          <x14:colorLast rgb="FFD00000"/>
          <x14:colorHigh rgb="FFD00000"/>
          <x14:colorLow rgb="FFD00000"/>
          <x14:sparklines>
            <x14:sparkline>
              <xm:f>Horizontal!C69:L69</xm:f>
              <xm:sqref>M69</xm:sqref>
            </x14:sparkline>
          </x14:sparklines>
        </x14:sparklineGroup>
        <x14:sparklineGroup displayEmptyCellsAs="gap" markers="1" xr2:uid="{00000000-0003-0000-0300-000007000000}">
          <x14:colorSeries theme="7" tint="0.39997558519241921"/>
          <x14:colorNegative rgb="FFD00000"/>
          <x14:colorAxis rgb="FF000000"/>
          <x14:colorMarkers theme="1"/>
          <x14:colorFirst rgb="FFD00000"/>
          <x14:colorLast rgb="FFD00000"/>
          <x14:colorHigh rgb="FFD00000"/>
          <x14:colorLow rgb="FFD00000"/>
          <x14:sparklines>
            <x14:sparkline>
              <xm:f>Horizontal!C71:L71</xm:f>
              <xm:sqref>M71</xm:sqref>
            </x14:sparkline>
          </x14:sparklines>
        </x14:sparklineGroup>
        <x14:sparklineGroup displayEmptyCellsAs="gap" markers="1" xr2:uid="{00000000-0003-0000-0300-000006000000}">
          <x14:colorSeries theme="7" tint="0.39997558519241921"/>
          <x14:colorNegative rgb="FFD00000"/>
          <x14:colorAxis rgb="FF000000"/>
          <x14:colorMarkers theme="1"/>
          <x14:colorFirst rgb="FFD00000"/>
          <x14:colorLast rgb="FFD00000"/>
          <x14:colorHigh rgb="FFD00000"/>
          <x14:colorLow rgb="FFD00000"/>
          <x14:sparklines>
            <x14:sparkline>
              <xm:f>Horizontal!C73:L73</xm:f>
              <xm:sqref>M73</xm:sqref>
            </x14:sparkline>
          </x14:sparklines>
        </x14:sparklineGroup>
        <x14:sparklineGroup displayEmptyCellsAs="gap" markers="1" xr2:uid="{00000000-0003-0000-0300-000005000000}">
          <x14:colorSeries theme="7" tint="0.39997558519241921"/>
          <x14:colorNegative rgb="FFD00000"/>
          <x14:colorAxis rgb="FF000000"/>
          <x14:colorMarkers theme="1"/>
          <x14:colorFirst rgb="FFD00000"/>
          <x14:colorLast rgb="FFD00000"/>
          <x14:colorHigh rgb="FFD00000"/>
          <x14:colorLow rgb="FFD00000"/>
          <x14:sparklines>
            <x14:sparkline>
              <xm:f>Horizontal!C76:L76</xm:f>
              <xm:sqref>M76</xm:sqref>
            </x14:sparkline>
          </x14:sparklines>
        </x14:sparklineGroup>
        <x14:sparklineGroup displayEmptyCellsAs="gap" markers="1" xr2:uid="{00000000-0003-0000-0300-000004000000}">
          <x14:colorSeries theme="7" tint="0.39997558519241921"/>
          <x14:colorNegative rgb="FFD00000"/>
          <x14:colorAxis rgb="FF000000"/>
          <x14:colorMarkers theme="1"/>
          <x14:colorFirst rgb="FFD00000"/>
          <x14:colorLast rgb="FFD00000"/>
          <x14:colorHigh rgb="FFD00000"/>
          <x14:colorLow rgb="FFD00000"/>
          <x14:sparklines>
            <x14:sparkline>
              <xm:f>Horizontal!C81:L81</xm:f>
              <xm:sqref>M81</xm:sqref>
            </x14:sparkline>
          </x14:sparklines>
        </x14:sparklineGroup>
        <x14:sparklineGroup displayEmptyCellsAs="gap" markers="1" xr2:uid="{00000000-0003-0000-0300-000003000000}">
          <x14:colorSeries theme="7" tint="0.39997558519241921"/>
          <x14:colorNegative rgb="FFD00000"/>
          <x14:colorAxis rgb="FF000000"/>
          <x14:colorMarkers theme="1"/>
          <x14:colorFirst rgb="FFD00000"/>
          <x14:colorLast rgb="FFD00000"/>
          <x14:colorHigh rgb="FFD00000"/>
          <x14:colorLow rgb="FFD00000"/>
          <x14:sparklines>
            <x14:sparkline>
              <xm:f>Horizontal!C83:L83</xm:f>
              <xm:sqref>M83</xm:sqref>
            </x14:sparkline>
          </x14:sparklines>
        </x14:sparklineGroup>
        <x14:sparklineGroup displayEmptyCellsAs="gap" markers="1" xr2:uid="{00000000-0003-0000-0300-000002000000}">
          <x14:colorSeries theme="7" tint="0.39997558519241921"/>
          <x14:colorNegative rgb="FFD00000"/>
          <x14:colorAxis rgb="FF000000"/>
          <x14:colorMarkers theme="1"/>
          <x14:colorFirst rgb="FFD00000"/>
          <x14:colorLast rgb="FFD00000"/>
          <x14:colorHigh rgb="FFD00000"/>
          <x14:colorLow rgb="FFD00000"/>
          <x14:sparklines>
            <x14:sparkline>
              <xm:f>Horizontal!C85:L85</xm:f>
              <xm:sqref>M85</xm:sqref>
            </x14:sparkline>
          </x14:sparklines>
        </x14:sparklineGroup>
        <x14:sparklineGroup displayEmptyCellsAs="gap" markers="1" xr2:uid="{00000000-0003-0000-0300-000001000000}">
          <x14:colorSeries theme="7" tint="0.39997558519241921"/>
          <x14:colorNegative rgb="FFD00000"/>
          <x14:colorAxis rgb="FF000000"/>
          <x14:colorMarkers theme="1"/>
          <x14:colorFirst rgb="FFD00000"/>
          <x14:colorLast rgb="FFD00000"/>
          <x14:colorHigh rgb="FFD00000"/>
          <x14:colorLow rgb="FFD00000"/>
          <x14:sparklines>
            <x14:sparkline>
              <xm:f>Horizontal!C87:L87</xm:f>
              <xm:sqref>M87</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245D-1AF7-4F2C-8173-B59321CB9EAD}">
  <dimension ref="B1:L23"/>
  <sheetViews>
    <sheetView showGridLines="0" zoomScale="80" zoomScaleNormal="80" workbookViewId="0">
      <selection activeCell="G29" sqref="G29"/>
    </sheetView>
  </sheetViews>
  <sheetFormatPr defaultRowHeight="15" x14ac:dyDescent="0.25"/>
  <cols>
    <col min="1" max="1" width="1.85546875" customWidth="1"/>
    <col min="3" max="3" width="11.42578125" bestFit="1" customWidth="1"/>
    <col min="4" max="4" width="11.42578125" customWidth="1"/>
  </cols>
  <sheetData>
    <row r="1" spans="2:12" s="152" customFormat="1" x14ac:dyDescent="0.25"/>
    <row r="2" spans="2:12" s="152" customFormat="1" x14ac:dyDescent="0.25"/>
    <row r="3" spans="2:12" s="152" customFormat="1" x14ac:dyDescent="0.25"/>
    <row r="4" spans="2:12" s="152" customFormat="1" x14ac:dyDescent="0.25"/>
    <row r="5" spans="2:12" s="152" customFormat="1" x14ac:dyDescent="0.25"/>
    <row r="7" spans="2:12" x14ac:dyDescent="0.25">
      <c r="B7" s="322" t="s">
        <v>309</v>
      </c>
      <c r="C7" s="322"/>
      <c r="D7" s="322"/>
      <c r="F7" s="322" t="s">
        <v>310</v>
      </c>
      <c r="G7" s="322"/>
      <c r="H7" s="322"/>
      <c r="J7" s="322" t="s">
        <v>311</v>
      </c>
      <c r="K7" s="322"/>
      <c r="L7" s="322"/>
    </row>
    <row r="8" spans="2:12" x14ac:dyDescent="0.25">
      <c r="C8" s="154"/>
      <c r="D8" s="154"/>
    </row>
    <row r="9" spans="2:12" x14ac:dyDescent="0.25">
      <c r="B9" s="155"/>
      <c r="C9" s="24"/>
      <c r="D9" s="24"/>
    </row>
    <row r="10" spans="2:12" x14ac:dyDescent="0.25">
      <c r="B10" s="155"/>
      <c r="C10" s="24"/>
      <c r="D10" s="24"/>
    </row>
    <row r="11" spans="2:12" x14ac:dyDescent="0.25">
      <c r="B11" s="155"/>
      <c r="C11" s="24"/>
      <c r="D11" s="24"/>
    </row>
    <row r="12" spans="2:12" x14ac:dyDescent="0.25">
      <c r="B12" s="155"/>
      <c r="C12" s="24"/>
      <c r="D12" s="24"/>
    </row>
    <row r="13" spans="2:12" x14ac:dyDescent="0.25">
      <c r="B13" s="155"/>
      <c r="C13" s="24"/>
      <c r="D13" s="24"/>
    </row>
    <row r="14" spans="2:12" x14ac:dyDescent="0.25">
      <c r="B14" s="155"/>
      <c r="C14" s="24"/>
      <c r="D14" s="24"/>
    </row>
    <row r="15" spans="2:12" x14ac:dyDescent="0.25">
      <c r="B15" s="155"/>
      <c r="C15" s="24"/>
      <c r="D15" s="24"/>
    </row>
    <row r="16" spans="2:12" x14ac:dyDescent="0.25">
      <c r="B16" s="155"/>
      <c r="C16" s="24"/>
      <c r="D16" s="24"/>
    </row>
    <row r="17" spans="2:4" x14ac:dyDescent="0.25">
      <c r="B17" s="155"/>
      <c r="C17" s="24"/>
      <c r="D17" s="24"/>
    </row>
    <row r="18" spans="2:4" x14ac:dyDescent="0.25">
      <c r="B18" s="155"/>
      <c r="C18" s="24"/>
      <c r="D18" s="24"/>
    </row>
    <row r="19" spans="2:4" x14ac:dyDescent="0.25">
      <c r="B19" s="156"/>
      <c r="C19" s="157"/>
      <c r="D19" s="157"/>
    </row>
    <row r="20" spans="2:4" x14ac:dyDescent="0.25">
      <c r="B20" s="156"/>
      <c r="C20" s="157"/>
      <c r="D20" s="157"/>
    </row>
    <row r="21" spans="2:4" x14ac:dyDescent="0.25">
      <c r="B21" s="156"/>
      <c r="C21" s="157"/>
      <c r="D21" s="157"/>
    </row>
    <row r="22" spans="2:4" x14ac:dyDescent="0.25">
      <c r="B22" s="156"/>
      <c r="C22" s="157"/>
      <c r="D22" s="157"/>
    </row>
    <row r="23" spans="2:4" x14ac:dyDescent="0.25">
      <c r="B23" s="156"/>
      <c r="C23" s="157"/>
      <c r="D23" s="157"/>
    </row>
  </sheetData>
  <mergeCells count="3">
    <mergeCell ref="F7:H7"/>
    <mergeCell ref="J7:L7"/>
    <mergeCell ref="B7:D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325C6-689C-4098-95D9-5499B7929A3D}">
  <sheetPr>
    <pageSetUpPr fitToPage="1"/>
  </sheetPr>
  <dimension ref="B2:L50"/>
  <sheetViews>
    <sheetView showGridLines="0" topLeftCell="A21" zoomScale="80" zoomScaleNormal="80" workbookViewId="0">
      <selection activeCell="E51" sqref="E51"/>
    </sheetView>
  </sheetViews>
  <sheetFormatPr defaultRowHeight="15" x14ac:dyDescent="0.25"/>
  <cols>
    <col min="1" max="1" width="1.85546875" customWidth="1"/>
    <col min="2" max="2" width="24.5703125" customWidth="1"/>
    <col min="3" max="3" width="13" bestFit="1" customWidth="1"/>
    <col min="4" max="4" width="14.7109375" customWidth="1"/>
    <col min="5" max="5" width="14.28515625" customWidth="1"/>
    <col min="6" max="6" width="18" customWidth="1"/>
    <col min="7" max="7" width="14.85546875" customWidth="1"/>
    <col min="8" max="8" width="12.85546875" customWidth="1"/>
    <col min="9" max="9" width="14.5703125" customWidth="1"/>
    <col min="10" max="10" width="15.28515625" customWidth="1"/>
    <col min="11" max="11" width="10.28515625" bestFit="1" customWidth="1"/>
    <col min="12" max="12" width="11.42578125" bestFit="1" customWidth="1"/>
  </cols>
  <sheetData>
    <row r="2" spans="2:10" x14ac:dyDescent="0.25">
      <c r="B2" s="152"/>
      <c r="C2" s="152"/>
      <c r="D2" s="152"/>
      <c r="E2" s="152"/>
      <c r="F2" s="152"/>
      <c r="G2" s="152"/>
      <c r="H2" s="152"/>
      <c r="I2" s="152"/>
      <c r="J2" s="152"/>
    </row>
    <row r="7" spans="2:10" x14ac:dyDescent="0.25">
      <c r="B7" s="198"/>
      <c r="C7" s="198"/>
      <c r="D7" s="198"/>
      <c r="E7" s="198"/>
      <c r="F7" s="198"/>
      <c r="G7" s="198"/>
      <c r="H7" s="198"/>
      <c r="I7" s="198"/>
      <c r="J7" s="198"/>
    </row>
    <row r="8" spans="2:10" ht="4.5" customHeight="1" x14ac:dyDescent="0.25">
      <c r="B8" s="27"/>
      <c r="C8" s="27"/>
      <c r="D8" s="27"/>
      <c r="E8" s="27"/>
      <c r="F8" s="27"/>
      <c r="G8" s="27"/>
      <c r="H8" s="27"/>
      <c r="I8" s="27"/>
      <c r="J8" s="27"/>
    </row>
    <row r="9" spans="2:10" x14ac:dyDescent="0.25">
      <c r="B9" s="9" t="s">
        <v>364</v>
      </c>
    </row>
    <row r="10" spans="2:10" ht="4.5" customHeight="1" x14ac:dyDescent="0.25"/>
    <row r="11" spans="2:10" x14ac:dyDescent="0.25">
      <c r="B11" s="53" t="s">
        <v>183</v>
      </c>
      <c r="C11" s="90"/>
      <c r="D11" s="51"/>
      <c r="E11" s="51"/>
      <c r="F11" s="51"/>
      <c r="G11" s="51"/>
      <c r="H11" s="51"/>
      <c r="I11" s="51"/>
      <c r="J11" s="51"/>
    </row>
    <row r="12" spans="2:10" x14ac:dyDescent="0.25">
      <c r="B12" s="52"/>
      <c r="C12" s="52"/>
      <c r="D12" s="52"/>
      <c r="E12" s="52"/>
      <c r="F12" s="52"/>
      <c r="G12" s="85" t="s">
        <v>187</v>
      </c>
      <c r="H12" s="85" t="s">
        <v>187</v>
      </c>
      <c r="I12" s="85" t="s">
        <v>190</v>
      </c>
      <c r="J12" s="85" t="s">
        <v>191</v>
      </c>
    </row>
    <row r="13" spans="2:10" ht="17.25" x14ac:dyDescent="0.25">
      <c r="B13" s="51" t="s">
        <v>184</v>
      </c>
      <c r="C13" s="51" t="s">
        <v>185</v>
      </c>
      <c r="D13" s="86" t="s">
        <v>107</v>
      </c>
      <c r="E13" s="86" t="s">
        <v>106</v>
      </c>
      <c r="F13" s="86" t="s">
        <v>186</v>
      </c>
      <c r="G13" s="86" t="s">
        <v>188</v>
      </c>
      <c r="H13" s="86" t="s">
        <v>189</v>
      </c>
      <c r="I13" s="86" t="s">
        <v>192</v>
      </c>
      <c r="J13" s="86" t="s">
        <v>193</v>
      </c>
    </row>
    <row r="15" spans="2:10" x14ac:dyDescent="0.25">
      <c r="B15" t="s">
        <v>217</v>
      </c>
      <c r="C15" t="s">
        <v>194</v>
      </c>
      <c r="D15" s="159">
        <v>25214.91</v>
      </c>
      <c r="E15" s="159">
        <v>363976.05</v>
      </c>
      <c r="F15" s="77">
        <v>0.25169999999999998</v>
      </c>
      <c r="G15" s="32">
        <f>D15/E15</f>
        <v>6.9276288920658374E-2</v>
      </c>
      <c r="H15" s="32">
        <f>D15/(D15+E15)</f>
        <v>6.4788015631195545E-2</v>
      </c>
      <c r="I15" s="105">
        <f>UltraTech_Beta!J16</f>
        <v>1.1995799769631752</v>
      </c>
      <c r="J15" s="105">
        <f>I15/(1+(1-F15)*G15)</f>
        <v>1.1404592025763234</v>
      </c>
    </row>
    <row r="16" spans="2:10" x14ac:dyDescent="0.25">
      <c r="B16" t="s">
        <v>218</v>
      </c>
      <c r="C16" t="s">
        <v>194</v>
      </c>
      <c r="D16" s="159">
        <v>186325.56</v>
      </c>
      <c r="E16" s="159">
        <v>195247.41</v>
      </c>
      <c r="F16" s="129">
        <f>$F$15</f>
        <v>0.25169999999999998</v>
      </c>
      <c r="G16" s="32">
        <f>D16/E16</f>
        <v>0.95430489961428933</v>
      </c>
      <c r="H16" s="32">
        <f>D16/(D16+E16)</f>
        <v>0.48830911686433137</v>
      </c>
      <c r="I16" s="106">
        <f>Grasim_Beta!J15</f>
        <v>0.99646395570938162</v>
      </c>
      <c r="J16" s="105">
        <f t="shared" ref="J16:J19" si="0">I16/(1+(1-F16)*G16)</f>
        <v>0.58133146289300486</v>
      </c>
    </row>
    <row r="17" spans="2:12" x14ac:dyDescent="0.25">
      <c r="B17" t="s">
        <v>219</v>
      </c>
      <c r="C17" t="s">
        <v>194</v>
      </c>
      <c r="D17" s="159">
        <v>788.5</v>
      </c>
      <c r="E17" s="159">
        <v>140263.57999999999</v>
      </c>
      <c r="F17" s="129">
        <f t="shared" ref="F17:F19" si="1">$F$15</f>
        <v>0.25169999999999998</v>
      </c>
      <c r="G17" s="32">
        <f>D17/E17</f>
        <v>5.6215590675783413E-3</v>
      </c>
      <c r="H17" s="32">
        <f t="shared" ref="H17:H19" si="2">D17/(D17+E17)</f>
        <v>5.5901338002247117E-3</v>
      </c>
      <c r="I17" s="106">
        <f>Ambuja_Beta!J15</f>
        <v>1.0537210891014142</v>
      </c>
      <c r="J17" s="105">
        <f t="shared" si="0"/>
        <v>1.0493070607456649</v>
      </c>
    </row>
    <row r="18" spans="2:12" x14ac:dyDescent="0.25">
      <c r="B18" t="s">
        <v>220</v>
      </c>
      <c r="C18" t="s">
        <v>194</v>
      </c>
      <c r="D18" s="159">
        <v>1046.1300000000001</v>
      </c>
      <c r="E18" s="159">
        <v>104451.6</v>
      </c>
      <c r="F18" s="129">
        <f t="shared" si="1"/>
        <v>0.25169999999999998</v>
      </c>
      <c r="G18" s="32">
        <f>D18/E18</f>
        <v>1.0015452132853877E-2</v>
      </c>
      <c r="H18" s="32">
        <f>D18/(D18+E18)</f>
        <v>9.9161375320587462E-3</v>
      </c>
      <c r="I18" s="106">
        <f>ShreeC_Beta!J15</f>
        <v>0.85573403553068794</v>
      </c>
      <c r="J18" s="105">
        <f t="shared" si="0"/>
        <v>0.84936839075946335</v>
      </c>
    </row>
    <row r="19" spans="2:12" x14ac:dyDescent="0.25">
      <c r="B19" t="s">
        <v>221</v>
      </c>
      <c r="C19" t="s">
        <v>194</v>
      </c>
      <c r="D19" s="159">
        <v>6028.23</v>
      </c>
      <c r="E19" s="159">
        <v>49938.35</v>
      </c>
      <c r="F19" s="129">
        <f t="shared" si="1"/>
        <v>0.25169999999999998</v>
      </c>
      <c r="G19" s="32">
        <f>D19/E19</f>
        <v>0.12071343967111448</v>
      </c>
      <c r="H19" s="32">
        <f t="shared" si="2"/>
        <v>0.10771124481788952</v>
      </c>
      <c r="I19" s="106">
        <f>JKC_Beta!J15</f>
        <v>1.0746141681765502</v>
      </c>
      <c r="J19" s="105">
        <f t="shared" si="0"/>
        <v>0.98558628979508534</v>
      </c>
      <c r="L19" s="32"/>
    </row>
    <row r="20" spans="2:12" x14ac:dyDescent="0.25">
      <c r="L20" s="8"/>
    </row>
    <row r="21" spans="2:12" x14ac:dyDescent="0.25">
      <c r="E21" s="79" t="s">
        <v>195</v>
      </c>
      <c r="F21" s="81">
        <f>AVERAGE(F15:F19)</f>
        <v>0.25169999999999998</v>
      </c>
      <c r="G21" s="81">
        <f>AVERAGE(G15:G19)</f>
        <v>0.23198632788129889</v>
      </c>
      <c r="H21" s="81">
        <f>AVERAGE(H15:H19)</f>
        <v>0.13526292972913997</v>
      </c>
      <c r="I21" s="103">
        <f>AVERAGE(I15:I19)</f>
        <v>1.0360226450962418</v>
      </c>
      <c r="J21" s="103">
        <f>AVERAGE(J15:J19)</f>
        <v>0.92121048135390837</v>
      </c>
    </row>
    <row r="22" spans="2:12" x14ac:dyDescent="0.25">
      <c r="E22" s="53" t="s">
        <v>196</v>
      </c>
      <c r="F22" s="82">
        <f>MEDIAN(F15:F19)</f>
        <v>0.25169999999999998</v>
      </c>
      <c r="G22" s="82">
        <f>MEDIAN(G15:G19)</f>
        <v>6.9276288920658374E-2</v>
      </c>
      <c r="H22" s="82">
        <f>MEDIAN(H15:H19)</f>
        <v>6.4788015631195545E-2</v>
      </c>
      <c r="I22" s="104">
        <f>MEDIAN(I15:I19)</f>
        <v>1.0537210891014142</v>
      </c>
      <c r="J22" s="104">
        <f>MEDIAN(J15:J19)</f>
        <v>0.98558628979508534</v>
      </c>
      <c r="K22" s="8"/>
    </row>
    <row r="23" spans="2:12" x14ac:dyDescent="0.25">
      <c r="C23" s="20"/>
    </row>
    <row r="25" spans="2:12" x14ac:dyDescent="0.25">
      <c r="B25" s="53" t="s">
        <v>197</v>
      </c>
      <c r="C25" s="51"/>
      <c r="D25" s="51"/>
      <c r="E25" s="51"/>
      <c r="G25" s="53" t="s">
        <v>201</v>
      </c>
      <c r="H25" s="53"/>
      <c r="I25" s="53"/>
      <c r="J25" s="53"/>
    </row>
    <row r="27" spans="2:12" x14ac:dyDescent="0.25">
      <c r="B27" t="s">
        <v>198</v>
      </c>
      <c r="E27" s="32">
        <f>RM!G13/D15</f>
        <v>6.5458889204839513E-2</v>
      </c>
      <c r="G27" t="s">
        <v>202</v>
      </c>
      <c r="J27" s="77">
        <f>6.53%-2.18%</f>
        <v>4.3499999999999997E-2</v>
      </c>
    </row>
    <row r="28" spans="2:12" x14ac:dyDescent="0.25">
      <c r="B28" t="s">
        <v>199</v>
      </c>
      <c r="E28" s="88">
        <f>F15</f>
        <v>0.25169999999999998</v>
      </c>
      <c r="G28" t="s">
        <v>203</v>
      </c>
      <c r="J28" s="88">
        <f>RM!G11-WACC!J27</f>
        <v>8.6961914569783125E-2</v>
      </c>
    </row>
    <row r="29" spans="2:12" x14ac:dyDescent="0.25">
      <c r="B29" s="83" t="s">
        <v>200</v>
      </c>
      <c r="C29" s="83"/>
      <c r="D29" s="83"/>
      <c r="E29" s="135">
        <f>E27*(1-E28)</f>
        <v>4.8982886791981407E-2</v>
      </c>
      <c r="G29" t="s">
        <v>204</v>
      </c>
      <c r="J29" s="14">
        <f>J38</f>
        <v>1.1009489099858338</v>
      </c>
    </row>
    <row r="30" spans="2:12" x14ac:dyDescent="0.25">
      <c r="G30" s="83" t="s">
        <v>201</v>
      </c>
      <c r="H30" s="83"/>
      <c r="I30" s="83"/>
      <c r="J30" s="136">
        <f>J27+J28*J29</f>
        <v>0.13924062505588392</v>
      </c>
    </row>
    <row r="33" spans="2:10" x14ac:dyDescent="0.25">
      <c r="B33" s="53" t="s">
        <v>205</v>
      </c>
      <c r="C33" s="51"/>
      <c r="D33" s="51"/>
      <c r="E33" s="51"/>
      <c r="G33" s="53" t="s">
        <v>204</v>
      </c>
      <c r="H33" s="51"/>
      <c r="I33" s="51"/>
      <c r="J33" s="51"/>
    </row>
    <row r="35" spans="2:10" x14ac:dyDescent="0.25">
      <c r="D35" s="84" t="s">
        <v>206</v>
      </c>
      <c r="E35" s="84" t="s">
        <v>207</v>
      </c>
      <c r="G35" t="s">
        <v>209</v>
      </c>
      <c r="J35" s="14">
        <f>J22</f>
        <v>0.98558628979508534</v>
      </c>
    </row>
    <row r="36" spans="2:10" x14ac:dyDescent="0.25">
      <c r="B36" t="s">
        <v>107</v>
      </c>
      <c r="C36" s="13">
        <f>D15</f>
        <v>25214.91</v>
      </c>
      <c r="D36" s="107">
        <f>C36/$C$38</f>
        <v>6.4788015631195545E-2</v>
      </c>
      <c r="E36" s="108">
        <f>H21</f>
        <v>0.13526292972913997</v>
      </c>
      <c r="G36" t="s">
        <v>211</v>
      </c>
      <c r="J36" s="88">
        <f>E40</f>
        <v>0.15642087563884802</v>
      </c>
    </row>
    <row r="37" spans="2:10" x14ac:dyDescent="0.25">
      <c r="B37" t="s">
        <v>43</v>
      </c>
      <c r="C37" s="13">
        <f>E15</f>
        <v>363976.05</v>
      </c>
      <c r="D37" s="107">
        <f>C37/$C$38</f>
        <v>0.93521198436880448</v>
      </c>
      <c r="E37" s="108">
        <f>E38-E36</f>
        <v>0.86473707027086</v>
      </c>
      <c r="G37" t="s">
        <v>199</v>
      </c>
      <c r="J37" s="88">
        <f>F15</f>
        <v>0.25169999999999998</v>
      </c>
    </row>
    <row r="38" spans="2:10" x14ac:dyDescent="0.25">
      <c r="B38" s="83" t="s">
        <v>208</v>
      </c>
      <c r="C38" s="87">
        <f>SUM(C36:C37)</f>
        <v>389190.95999999996</v>
      </c>
      <c r="D38" s="109">
        <f>SUM(D36:D37)</f>
        <v>1</v>
      </c>
      <c r="E38" s="109">
        <f>D38</f>
        <v>1</v>
      </c>
      <c r="G38" s="83" t="s">
        <v>204</v>
      </c>
      <c r="H38" s="83"/>
      <c r="I38" s="83"/>
      <c r="J38" s="137">
        <f>J35*(1+(1-J37)*J36)</f>
        <v>1.1009489099858338</v>
      </c>
    </row>
    <row r="40" spans="2:10" x14ac:dyDescent="0.25">
      <c r="B40" s="19" t="s">
        <v>210</v>
      </c>
      <c r="D40" s="89">
        <f>D36/D37</f>
        <v>6.9276288920658374E-2</v>
      </c>
      <c r="E40" s="89">
        <f>E36/E37</f>
        <v>0.15642087563884802</v>
      </c>
      <c r="G40" s="53" t="s">
        <v>365</v>
      </c>
      <c r="H40" s="51"/>
      <c r="I40" s="51"/>
      <c r="J40" s="51"/>
    </row>
    <row r="42" spans="2:10" x14ac:dyDescent="0.25">
      <c r="G42" t="s">
        <v>222</v>
      </c>
      <c r="J42" s="32">
        <f>E29</f>
        <v>4.8982886791981407E-2</v>
      </c>
    </row>
    <row r="43" spans="2:10" x14ac:dyDescent="0.25">
      <c r="B43" s="179" t="s">
        <v>369</v>
      </c>
      <c r="G43" t="s">
        <v>223</v>
      </c>
      <c r="J43" s="88">
        <f>E36</f>
        <v>0.13526292972913997</v>
      </c>
    </row>
    <row r="44" spans="2:10" x14ac:dyDescent="0.25">
      <c r="B44" s="178" t="s">
        <v>366</v>
      </c>
    </row>
    <row r="45" spans="2:10" x14ac:dyDescent="0.25">
      <c r="B45" s="178" t="s">
        <v>367</v>
      </c>
      <c r="G45" t="s">
        <v>201</v>
      </c>
      <c r="J45" s="28">
        <f>J30</f>
        <v>0.13924062505588392</v>
      </c>
    </row>
    <row r="46" spans="2:10" x14ac:dyDescent="0.25">
      <c r="B46" s="178" t="s">
        <v>368</v>
      </c>
      <c r="G46" t="s">
        <v>224</v>
      </c>
      <c r="J46" s="88">
        <f>E37</f>
        <v>0.86473707027086</v>
      </c>
    </row>
    <row r="47" spans="2:10" x14ac:dyDescent="0.25">
      <c r="B47" s="178" t="s">
        <v>1739</v>
      </c>
    </row>
    <row r="48" spans="2:10" x14ac:dyDescent="0.25">
      <c r="B48" s="295" t="s">
        <v>1740</v>
      </c>
      <c r="G48" s="115" t="s">
        <v>212</v>
      </c>
      <c r="H48" s="83"/>
      <c r="I48" s="83"/>
      <c r="J48" s="135">
        <f>(J42*J43)+(J45*J46)</f>
        <v>0.12703209894758255</v>
      </c>
    </row>
    <row r="49" spans="2:2" x14ac:dyDescent="0.25">
      <c r="B49" s="178" t="s">
        <v>370</v>
      </c>
    </row>
    <row r="50" spans="2:2" x14ac:dyDescent="0.25">
      <c r="B50" s="178" t="s">
        <v>1741</v>
      </c>
    </row>
  </sheetData>
  <pageMargins left="0.7" right="0.7" top="0.75" bottom="0.75" header="0.3" footer="0.3"/>
  <pageSetup scale="7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0A92C-AE9B-401A-A76B-EE68CEA092F9}">
  <sheetPr>
    <pageSetUpPr fitToPage="1"/>
  </sheetPr>
  <dimension ref="A2:N74"/>
  <sheetViews>
    <sheetView showGridLines="0" topLeftCell="A49" zoomScale="80" zoomScaleNormal="80" workbookViewId="0">
      <selection activeCell="K64" sqref="K64"/>
    </sheetView>
  </sheetViews>
  <sheetFormatPr defaultRowHeight="15" x14ac:dyDescent="0.25"/>
  <cols>
    <col min="1" max="1" width="1.85546875" customWidth="1"/>
    <col min="7" max="10" width="12.140625" customWidth="1"/>
    <col min="11" max="11" width="13" bestFit="1" customWidth="1"/>
  </cols>
  <sheetData>
    <row r="2" spans="2:11" x14ac:dyDescent="0.25">
      <c r="B2" s="152"/>
      <c r="C2" s="152"/>
      <c r="D2" s="152"/>
      <c r="E2" s="152"/>
      <c r="F2" s="152"/>
      <c r="G2" s="152"/>
      <c r="H2" s="152"/>
      <c r="I2" s="152"/>
      <c r="J2" s="152"/>
      <c r="K2" s="152"/>
    </row>
    <row r="7" spans="2:11" x14ac:dyDescent="0.25">
      <c r="B7" s="198"/>
      <c r="C7" s="198"/>
      <c r="D7" s="198"/>
      <c r="E7" s="198"/>
      <c r="F7" s="198"/>
      <c r="G7" s="198"/>
      <c r="H7" s="198"/>
      <c r="I7" s="198"/>
      <c r="J7" s="198"/>
      <c r="K7" s="198"/>
    </row>
    <row r="8" spans="2:11" ht="4.5" customHeight="1" x14ac:dyDescent="0.25">
      <c r="B8" s="27"/>
      <c r="C8" s="27"/>
      <c r="D8" s="27"/>
      <c r="E8" s="27"/>
      <c r="F8" s="27"/>
      <c r="G8" s="27"/>
      <c r="H8" s="27"/>
      <c r="I8" s="27"/>
      <c r="J8" s="27"/>
      <c r="K8" s="27"/>
    </row>
    <row r="9" spans="2:11" x14ac:dyDescent="0.25">
      <c r="B9" s="9" t="s">
        <v>364</v>
      </c>
    </row>
    <row r="10" spans="2:11" ht="4.5" customHeight="1" x14ac:dyDescent="0.25">
      <c r="B10" s="9"/>
    </row>
    <row r="11" spans="2:11" x14ac:dyDescent="0.25">
      <c r="B11" s="117" t="s">
        <v>232</v>
      </c>
      <c r="C11" s="116"/>
      <c r="D11" s="116"/>
      <c r="E11" s="116"/>
      <c r="F11" s="116"/>
      <c r="G11" s="120">
        <f>'Raw FS'!H2</f>
        <v>44256</v>
      </c>
      <c r="H11" s="120">
        <f>'Raw FS'!I2</f>
        <v>44621</v>
      </c>
      <c r="I11" s="120">
        <f>'Raw FS'!J2</f>
        <v>44986</v>
      </c>
      <c r="J11" s="120">
        <f>'Raw FS'!K2</f>
        <v>45352</v>
      </c>
      <c r="K11" s="120">
        <f>'Raw FS'!L2</f>
        <v>45717</v>
      </c>
    </row>
    <row r="13" spans="2:11" x14ac:dyDescent="0.25">
      <c r="B13" s="19" t="s">
        <v>73</v>
      </c>
    </row>
    <row r="14" spans="2:11" x14ac:dyDescent="0.25">
      <c r="B14" t="str">
        <f>'Raw FS'!B49</f>
        <v>Inventories</v>
      </c>
      <c r="G14" s="160">
        <f>'Raw FS'!H49</f>
        <v>4018</v>
      </c>
      <c r="H14" s="160">
        <f>'Raw FS'!I49</f>
        <v>5596</v>
      </c>
      <c r="I14" s="160">
        <f>'Raw FS'!J49</f>
        <v>6612</v>
      </c>
      <c r="J14" s="160">
        <f>'Raw FS'!K49</f>
        <v>8330</v>
      </c>
      <c r="K14" s="160">
        <f>'Raw FS'!L49</f>
        <v>9563</v>
      </c>
    </row>
    <row r="15" spans="2:11" x14ac:dyDescent="0.25">
      <c r="B15" t="str">
        <f>'Raw FS'!B50</f>
        <v>Trade receivables</v>
      </c>
      <c r="G15" s="160">
        <f>'Raw FS'!H50</f>
        <v>2572</v>
      </c>
      <c r="H15" s="160">
        <f>'Raw FS'!I50</f>
        <v>3072</v>
      </c>
      <c r="I15" s="160">
        <f>'Raw FS'!J50</f>
        <v>3867</v>
      </c>
      <c r="J15" s="160">
        <f>'Raw FS'!K50</f>
        <v>4278</v>
      </c>
      <c r="K15" s="160">
        <f>'Raw FS'!L50</f>
        <v>5890</v>
      </c>
    </row>
    <row r="16" spans="2:11" x14ac:dyDescent="0.25">
      <c r="B16" t="str">
        <f>'Raw FS'!B52</f>
        <v>Loans n Advances</v>
      </c>
      <c r="G16" s="160">
        <f>'Raw FS'!H52</f>
        <v>660</v>
      </c>
      <c r="H16" s="160">
        <f>'Raw FS'!I52</f>
        <v>873</v>
      </c>
      <c r="I16" s="160">
        <f>'Raw FS'!J52</f>
        <v>951</v>
      </c>
      <c r="J16" s="160">
        <f>'Raw FS'!K52</f>
        <v>985</v>
      </c>
      <c r="K16" s="160">
        <f>'Raw FS'!L52</f>
        <v>1259</v>
      </c>
    </row>
    <row r="17" spans="1:11" x14ac:dyDescent="0.25">
      <c r="B17" t="str">
        <f>'Raw FS'!B53</f>
        <v>Other asset items</v>
      </c>
      <c r="G17" s="160">
        <f>'Raw FS'!H53</f>
        <v>7642</v>
      </c>
      <c r="H17" s="160">
        <f>'Raw FS'!I53</f>
        <v>7304</v>
      </c>
      <c r="I17" s="160">
        <f>'Raw FS'!J53</f>
        <v>7885</v>
      </c>
      <c r="J17" s="160">
        <f>'Raw FS'!K53</f>
        <v>8483</v>
      </c>
      <c r="K17" s="160">
        <f>'Raw FS'!L53</f>
        <v>9292</v>
      </c>
    </row>
    <row r="18" spans="1:11" x14ac:dyDescent="0.25">
      <c r="B18" s="79" t="s">
        <v>74</v>
      </c>
      <c r="C18" s="52"/>
      <c r="D18" s="52"/>
      <c r="E18" s="52"/>
      <c r="F18" s="52"/>
      <c r="G18" s="161">
        <f t="shared" ref="G18:K18" si="0">SUM(G14:G17)</f>
        <v>14892</v>
      </c>
      <c r="H18" s="161">
        <f t="shared" si="0"/>
        <v>16845</v>
      </c>
      <c r="I18" s="161">
        <f t="shared" si="0"/>
        <v>19315</v>
      </c>
      <c r="J18" s="161">
        <f t="shared" si="0"/>
        <v>22076</v>
      </c>
      <c r="K18" s="161">
        <f t="shared" si="0"/>
        <v>26004</v>
      </c>
    </row>
    <row r="19" spans="1:11" x14ac:dyDescent="0.25">
      <c r="G19" s="162"/>
      <c r="H19" s="162"/>
      <c r="I19" s="162"/>
      <c r="J19" s="162"/>
      <c r="K19" s="162"/>
    </row>
    <row r="20" spans="1:11" x14ac:dyDescent="0.25">
      <c r="B20" s="19" t="s">
        <v>266</v>
      </c>
      <c r="G20" s="162"/>
      <c r="H20" s="162"/>
      <c r="I20" s="162"/>
      <c r="J20" s="162"/>
      <c r="K20" s="162"/>
    </row>
    <row r="21" spans="1:11" x14ac:dyDescent="0.25">
      <c r="B21" t="str">
        <f>'Raw FS'!B28</f>
        <v>Trade Payables</v>
      </c>
      <c r="G21" s="160">
        <f>'Raw FS'!H28</f>
        <v>4548</v>
      </c>
      <c r="H21" s="160">
        <f>'Raw FS'!I28</f>
        <v>5863</v>
      </c>
      <c r="I21" s="160">
        <f>'Raw FS'!J28</f>
        <v>7209</v>
      </c>
      <c r="J21" s="160">
        <f>'Raw FS'!K28</f>
        <v>8478</v>
      </c>
      <c r="K21" s="160">
        <f>'Raw FS'!L28</f>
        <v>9327</v>
      </c>
    </row>
    <row r="22" spans="1:11" x14ac:dyDescent="0.25">
      <c r="B22" t="str">
        <f>'Raw FS'!B29</f>
        <v>Advance from Customers</v>
      </c>
      <c r="G22" s="160">
        <f>'Raw FS'!H29</f>
        <v>415</v>
      </c>
      <c r="H22" s="160">
        <f>'Raw FS'!I29</f>
        <v>465</v>
      </c>
      <c r="I22" s="160">
        <f>'Raw FS'!J29</f>
        <v>384</v>
      </c>
      <c r="J22" s="160">
        <f>'Raw FS'!K29</f>
        <v>527</v>
      </c>
      <c r="K22" s="160">
        <f>'Raw FS'!L29</f>
        <v>541</v>
      </c>
    </row>
    <row r="23" spans="1:11" x14ac:dyDescent="0.25">
      <c r="B23" t="str">
        <f>'Raw FS'!B30</f>
        <v>Other liability items</v>
      </c>
      <c r="G23" s="160">
        <f>'Raw FS'!H30</f>
        <v>15313</v>
      </c>
      <c r="H23" s="160">
        <f>'Raw FS'!I30</f>
        <v>15753</v>
      </c>
      <c r="I23" s="160">
        <f>'Raw FS'!J30</f>
        <v>18349</v>
      </c>
      <c r="J23" s="160">
        <f>'Raw FS'!K30</f>
        <v>20106</v>
      </c>
      <c r="K23" s="160">
        <f>'Raw FS'!L30</f>
        <v>25768</v>
      </c>
    </row>
    <row r="24" spans="1:11" x14ac:dyDescent="0.25">
      <c r="B24" s="79" t="s">
        <v>267</v>
      </c>
      <c r="C24" s="52"/>
      <c r="D24" s="52"/>
      <c r="E24" s="52"/>
      <c r="F24" s="52"/>
      <c r="G24" s="161">
        <f t="shared" ref="G24:K24" si="1">SUM(G21:G23)</f>
        <v>20276</v>
      </c>
      <c r="H24" s="161">
        <f t="shared" si="1"/>
        <v>22081</v>
      </c>
      <c r="I24" s="161">
        <f t="shared" si="1"/>
        <v>25942</v>
      </c>
      <c r="J24" s="161">
        <f t="shared" si="1"/>
        <v>29111</v>
      </c>
      <c r="K24" s="161">
        <f t="shared" si="1"/>
        <v>35636</v>
      </c>
    </row>
    <row r="25" spans="1:11" x14ac:dyDescent="0.25">
      <c r="G25" s="162"/>
      <c r="H25" s="162"/>
      <c r="I25" s="162"/>
      <c r="J25" s="162"/>
      <c r="K25" s="162"/>
    </row>
    <row r="26" spans="1:11" x14ac:dyDescent="0.25">
      <c r="A26" t="s">
        <v>56</v>
      </c>
      <c r="B26" s="119" t="s">
        <v>268</v>
      </c>
      <c r="C26" s="119"/>
      <c r="D26" s="119"/>
      <c r="E26" s="119"/>
      <c r="F26" s="119"/>
      <c r="G26" s="163">
        <f t="shared" ref="G26:K26" si="2">G18-G24</f>
        <v>-5384</v>
      </c>
      <c r="H26" s="163">
        <f t="shared" si="2"/>
        <v>-5236</v>
      </c>
      <c r="I26" s="163">
        <f t="shared" si="2"/>
        <v>-6627</v>
      </c>
      <c r="J26" s="163">
        <f t="shared" si="2"/>
        <v>-7035</v>
      </c>
      <c r="K26" s="163">
        <f t="shared" si="2"/>
        <v>-9632</v>
      </c>
    </row>
    <row r="27" spans="1:11" x14ac:dyDescent="0.25">
      <c r="G27" s="162"/>
      <c r="H27" s="162"/>
      <c r="I27" s="162"/>
      <c r="J27" s="162"/>
      <c r="K27" s="162"/>
    </row>
    <row r="28" spans="1:11" x14ac:dyDescent="0.25">
      <c r="B28" s="19" t="s">
        <v>269</v>
      </c>
      <c r="G28" s="162"/>
      <c r="H28" s="162"/>
      <c r="I28" s="162"/>
      <c r="J28" s="162"/>
      <c r="K28" s="162"/>
    </row>
    <row r="29" spans="1:11" x14ac:dyDescent="0.25">
      <c r="B29" t="s">
        <v>246</v>
      </c>
      <c r="G29" s="160">
        <f>'Raw FS'!H34</f>
        <v>8085</v>
      </c>
      <c r="H29" s="160">
        <f>'Raw FS'!I34</f>
        <v>8454</v>
      </c>
      <c r="I29" s="160">
        <f>'Raw FS'!J34</f>
        <v>8709</v>
      </c>
      <c r="J29" s="160">
        <f>'Raw FS'!K34</f>
        <v>9259</v>
      </c>
      <c r="K29" s="160">
        <f>'Raw FS'!L34</f>
        <v>19872</v>
      </c>
    </row>
    <row r="30" spans="1:11" x14ac:dyDescent="0.25">
      <c r="B30" t="s">
        <v>247</v>
      </c>
      <c r="G30" s="160">
        <f>'Raw FS'!H35</f>
        <v>5606</v>
      </c>
      <c r="H30" s="160">
        <f>'Raw FS'!I35</f>
        <v>5831</v>
      </c>
      <c r="I30" s="160">
        <f>'Raw FS'!J35</f>
        <v>6287</v>
      </c>
      <c r="J30" s="160">
        <f>'Raw FS'!K35</f>
        <v>6772</v>
      </c>
      <c r="K30" s="160">
        <f>'Raw FS'!L35</f>
        <v>9361</v>
      </c>
    </row>
    <row r="31" spans="1:11" x14ac:dyDescent="0.25">
      <c r="B31" t="s">
        <v>248</v>
      </c>
      <c r="G31" s="160">
        <f>'Raw FS'!H36</f>
        <v>38655</v>
      </c>
      <c r="H31" s="160">
        <f>'Raw FS'!I36</f>
        <v>40604</v>
      </c>
      <c r="I31" s="160">
        <f>'Raw FS'!J36</f>
        <v>46270</v>
      </c>
      <c r="J31" s="160">
        <f>'Raw FS'!K36</f>
        <v>51343</v>
      </c>
      <c r="K31" s="160">
        <f>'Raw FS'!L36</f>
        <v>67010</v>
      </c>
    </row>
    <row r="32" spans="1:11" x14ac:dyDescent="0.25">
      <c r="B32" t="s">
        <v>249</v>
      </c>
      <c r="G32" s="160">
        <f>'Raw FS'!H37</f>
        <v>830</v>
      </c>
      <c r="H32" s="160">
        <f>'Raw FS'!I37</f>
        <v>719</v>
      </c>
      <c r="I32" s="160">
        <f>'Raw FS'!J37</f>
        <v>793</v>
      </c>
      <c r="J32" s="160">
        <f>'Raw FS'!K37</f>
        <v>801</v>
      </c>
      <c r="K32" s="160">
        <f>'Raw FS'!L37</f>
        <v>792</v>
      </c>
    </row>
    <row r="33" spans="1:14" x14ac:dyDescent="0.25">
      <c r="B33" t="s">
        <v>250</v>
      </c>
      <c r="G33" s="160">
        <f>'Raw FS'!H38</f>
        <v>289</v>
      </c>
      <c r="H33" s="160">
        <f>'Raw FS'!I38</f>
        <v>336</v>
      </c>
      <c r="I33" s="160">
        <f>'Raw FS'!J38</f>
        <v>387</v>
      </c>
      <c r="J33" s="160">
        <f>'Raw FS'!K38</f>
        <v>466</v>
      </c>
      <c r="K33" s="160">
        <f>'Raw FS'!L38</f>
        <v>555</v>
      </c>
    </row>
    <row r="34" spans="1:14" x14ac:dyDescent="0.25">
      <c r="B34" t="s">
        <v>251</v>
      </c>
      <c r="G34" s="160">
        <f>'Raw FS'!H39</f>
        <v>111</v>
      </c>
      <c r="H34" s="160">
        <f>'Raw FS'!I39</f>
        <v>114</v>
      </c>
      <c r="I34" s="160">
        <f>'Raw FS'!J39</f>
        <v>122</v>
      </c>
      <c r="J34" s="160">
        <f>'Raw FS'!K39</f>
        <v>154</v>
      </c>
      <c r="K34" s="160">
        <f>'Raw FS'!L39</f>
        <v>219</v>
      </c>
    </row>
    <row r="35" spans="1:14" x14ac:dyDescent="0.25">
      <c r="B35" t="s">
        <v>252</v>
      </c>
      <c r="G35" s="160">
        <f>'Raw FS'!H40</f>
        <v>959</v>
      </c>
      <c r="H35" s="160">
        <f>'Raw FS'!I40</f>
        <v>989</v>
      </c>
      <c r="I35" s="160">
        <f>'Raw FS'!J40</f>
        <v>1008</v>
      </c>
      <c r="J35" s="160">
        <f>'Raw FS'!K40</f>
        <v>1088</v>
      </c>
      <c r="K35" s="160">
        <f>'Raw FS'!L40</f>
        <v>1305</v>
      </c>
    </row>
    <row r="36" spans="1:14" x14ac:dyDescent="0.25">
      <c r="B36" t="s">
        <v>253</v>
      </c>
      <c r="G36" s="160">
        <f>'Raw FS'!H41</f>
        <v>133</v>
      </c>
      <c r="H36" s="160">
        <f>'Raw FS'!I41</f>
        <v>163</v>
      </c>
      <c r="I36" s="160">
        <f>'Raw FS'!J41</f>
        <v>200</v>
      </c>
      <c r="J36" s="160">
        <f>'Raw FS'!K41</f>
        <v>260</v>
      </c>
      <c r="K36" s="160">
        <f>'Raw FS'!L41</f>
        <v>354</v>
      </c>
      <c r="L36" s="20"/>
    </row>
    <row r="37" spans="1:14" x14ac:dyDescent="0.25">
      <c r="B37" t="s">
        <v>254</v>
      </c>
      <c r="G37" s="160">
        <f>'Raw FS'!H42</f>
        <v>6375</v>
      </c>
      <c r="H37" s="160">
        <f>'Raw FS'!I42</f>
        <v>6405</v>
      </c>
      <c r="I37" s="160">
        <f>'Raw FS'!J42</f>
        <v>6484</v>
      </c>
      <c r="J37" s="160">
        <f>'Raw FS'!K42</f>
        <v>6501</v>
      </c>
      <c r="K37" s="160">
        <f>'Raw FS'!L42</f>
        <v>8108</v>
      </c>
    </row>
    <row r="38" spans="1:14" x14ac:dyDescent="0.25">
      <c r="B38" t="s">
        <v>255</v>
      </c>
      <c r="G38" s="160">
        <f>'Raw FS'!H43</f>
        <v>6289</v>
      </c>
      <c r="H38" s="160">
        <f>'Raw FS'!I43</f>
        <v>6387</v>
      </c>
      <c r="I38" s="160">
        <f>'Raw FS'!J43</f>
        <v>6695</v>
      </c>
      <c r="J38" s="160">
        <f>'Raw FS'!K43</f>
        <v>6637</v>
      </c>
      <c r="K38" s="160">
        <f>'Raw FS'!L43</f>
        <v>11055</v>
      </c>
    </row>
    <row r="39" spans="1:14" x14ac:dyDescent="0.25">
      <c r="B39" s="79" t="s">
        <v>256</v>
      </c>
      <c r="C39" s="52"/>
      <c r="D39" s="52"/>
      <c r="E39" s="52"/>
      <c r="F39" s="52"/>
      <c r="G39" s="164">
        <f t="shared" ref="G39:K39" si="3">SUM(G29:G38)</f>
        <v>67332</v>
      </c>
      <c r="H39" s="164">
        <f t="shared" si="3"/>
        <v>70002</v>
      </c>
      <c r="I39" s="164">
        <f t="shared" si="3"/>
        <v>76955</v>
      </c>
      <c r="J39" s="164">
        <f t="shared" si="3"/>
        <v>83281</v>
      </c>
      <c r="K39" s="164">
        <f t="shared" si="3"/>
        <v>118631</v>
      </c>
    </row>
    <row r="40" spans="1:14" x14ac:dyDescent="0.25">
      <c r="B40" t="s">
        <v>270</v>
      </c>
      <c r="G40" s="160">
        <f>'Raw FS'!H45</f>
        <v>11921</v>
      </c>
      <c r="H40" s="160">
        <f>'Raw FS'!I45</f>
        <v>14514</v>
      </c>
      <c r="I40" s="160">
        <f>'Raw FS'!J45</f>
        <v>17378</v>
      </c>
      <c r="J40" s="160">
        <f>'Raw FS'!K45</f>
        <v>20403</v>
      </c>
      <c r="K40" s="160">
        <f>'Raw FS'!L45</f>
        <v>24067</v>
      </c>
    </row>
    <row r="41" spans="1:14" x14ac:dyDescent="0.25">
      <c r="A41" t="s">
        <v>56</v>
      </c>
      <c r="B41" s="119" t="s">
        <v>271</v>
      </c>
      <c r="C41" s="119"/>
      <c r="D41" s="119"/>
      <c r="E41" s="119"/>
      <c r="F41" s="119"/>
      <c r="G41" s="163">
        <f t="shared" ref="G41:K41" si="4">G39-G40</f>
        <v>55411</v>
      </c>
      <c r="H41" s="163">
        <f t="shared" si="4"/>
        <v>55488</v>
      </c>
      <c r="I41" s="163">
        <f t="shared" si="4"/>
        <v>59577</v>
      </c>
      <c r="J41" s="163">
        <f t="shared" si="4"/>
        <v>62878</v>
      </c>
      <c r="K41" s="163">
        <f t="shared" si="4"/>
        <v>94564</v>
      </c>
    </row>
    <row r="42" spans="1:14" x14ac:dyDescent="0.25">
      <c r="G42" s="162"/>
      <c r="H42" s="162"/>
      <c r="I42" s="162"/>
      <c r="J42" s="162"/>
      <c r="K42" s="162"/>
    </row>
    <row r="43" spans="1:14" x14ac:dyDescent="0.25">
      <c r="A43" t="s">
        <v>56</v>
      </c>
      <c r="B43" s="127" t="s">
        <v>272</v>
      </c>
      <c r="C43" s="20"/>
      <c r="D43" s="20"/>
      <c r="E43" s="20"/>
      <c r="F43" s="20"/>
      <c r="G43" s="165">
        <f>G41+G26</f>
        <v>50027</v>
      </c>
      <c r="H43" s="165">
        <f t="shared" ref="H43:K43" si="5">H41+H26</f>
        <v>50252</v>
      </c>
      <c r="I43" s="165">
        <f t="shared" si="5"/>
        <v>52950</v>
      </c>
      <c r="J43" s="165">
        <f t="shared" si="5"/>
        <v>55843</v>
      </c>
      <c r="K43" s="165">
        <f t="shared" si="5"/>
        <v>84932</v>
      </c>
    </row>
    <row r="44" spans="1:14" x14ac:dyDescent="0.25">
      <c r="B44" s="20" t="s">
        <v>99</v>
      </c>
      <c r="C44" s="20"/>
      <c r="D44" s="20"/>
      <c r="E44" s="20"/>
      <c r="F44" s="20"/>
      <c r="G44" s="165">
        <f>Historical_FS!H33</f>
        <v>9486.1999999999953</v>
      </c>
      <c r="H44" s="165">
        <f>Historical_FS!I33</f>
        <v>9469.0300000000007</v>
      </c>
      <c r="I44" s="165">
        <f>Historical_FS!J33</f>
        <v>8238.970000000003</v>
      </c>
      <c r="J44" s="165">
        <f>Historical_FS!K33</f>
        <v>10390.220000000005</v>
      </c>
      <c r="K44" s="165">
        <f>Historical_FS!L33</f>
        <v>9178.6700000000092</v>
      </c>
    </row>
    <row r="45" spans="1:14" x14ac:dyDescent="0.25">
      <c r="B45" s="20" t="s">
        <v>277</v>
      </c>
      <c r="C45" s="20"/>
      <c r="D45" s="20"/>
      <c r="E45" s="20"/>
      <c r="F45" s="20"/>
      <c r="G45" s="32">
        <f>WACC!$F$15</f>
        <v>0.25169999999999998</v>
      </c>
      <c r="H45" s="32">
        <f>WACC!$F$15</f>
        <v>0.25169999999999998</v>
      </c>
      <c r="I45" s="32">
        <f>WACC!$F$15</f>
        <v>0.25169999999999998</v>
      </c>
      <c r="J45" s="32">
        <f>WACC!$F$15</f>
        <v>0.25169999999999998</v>
      </c>
      <c r="K45" s="32">
        <f>WACC!$F$15</f>
        <v>0.25169999999999998</v>
      </c>
    </row>
    <row r="46" spans="1:14" x14ac:dyDescent="0.25">
      <c r="B46" s="79" t="s">
        <v>283</v>
      </c>
      <c r="C46" s="52"/>
      <c r="D46" s="52"/>
      <c r="E46" s="52"/>
      <c r="F46" s="128"/>
      <c r="G46" s="164">
        <f t="shared" ref="G46:K46" si="6">G44*(1-G45)</f>
        <v>7098.5234599999958</v>
      </c>
      <c r="H46" s="164">
        <f t="shared" si="6"/>
        <v>7085.6751490000006</v>
      </c>
      <c r="I46" s="164">
        <f t="shared" si="6"/>
        <v>6165.2212510000018</v>
      </c>
      <c r="J46" s="164">
        <f t="shared" si="6"/>
        <v>7775.0016260000029</v>
      </c>
      <c r="K46" s="164">
        <f t="shared" si="6"/>
        <v>6868.3987610000067</v>
      </c>
    </row>
    <row r="47" spans="1:14" x14ac:dyDescent="0.25">
      <c r="F47" s="20"/>
    </row>
    <row r="48" spans="1:14" x14ac:dyDescent="0.25">
      <c r="A48" t="s">
        <v>56</v>
      </c>
      <c r="B48" s="19" t="s">
        <v>273</v>
      </c>
      <c r="G48" s="33">
        <f>G46/G43</f>
        <v>0.14189384652287756</v>
      </c>
      <c r="H48" s="33">
        <f t="shared" ref="H48:K48" si="7">H46/H43</f>
        <v>0.14100284862294038</v>
      </c>
      <c r="I48" s="33">
        <f t="shared" si="7"/>
        <v>0.11643477338999059</v>
      </c>
      <c r="J48" s="33">
        <f t="shared" si="7"/>
        <v>0.13922965503286003</v>
      </c>
      <c r="K48" s="33">
        <f t="shared" si="7"/>
        <v>8.0869386815334704E-2</v>
      </c>
      <c r="N48" s="33"/>
    </row>
    <row r="50" spans="1:13" x14ac:dyDescent="0.25">
      <c r="A50" t="s">
        <v>56</v>
      </c>
      <c r="B50" s="117" t="s">
        <v>274</v>
      </c>
      <c r="C50" s="116"/>
      <c r="D50" s="116"/>
      <c r="E50" s="116"/>
      <c r="F50" s="116"/>
      <c r="G50" s="120">
        <f t="shared" ref="G50:K50" si="8">G11</f>
        <v>44256</v>
      </c>
      <c r="H50" s="120">
        <f t="shared" si="8"/>
        <v>44621</v>
      </c>
      <c r="I50" s="120">
        <f t="shared" si="8"/>
        <v>44986</v>
      </c>
      <c r="J50" s="120">
        <f t="shared" si="8"/>
        <v>45352</v>
      </c>
      <c r="K50" s="120">
        <f t="shared" si="8"/>
        <v>45717</v>
      </c>
    </row>
    <row r="52" spans="1:13" x14ac:dyDescent="0.25">
      <c r="B52" t="s">
        <v>275</v>
      </c>
      <c r="G52" s="165">
        <f>-SUM(Historical_FS!H98:H99)</f>
        <v>1839</v>
      </c>
      <c r="H52" s="165">
        <f>-SUM(Historical_FS!I98:I99)</f>
        <v>5540</v>
      </c>
      <c r="I52" s="165">
        <f>-SUM(Historical_FS!J98:J99)</f>
        <v>6105</v>
      </c>
      <c r="J52" s="165">
        <f>-SUM(Historical_FS!K98:K99)</f>
        <v>8884</v>
      </c>
      <c r="K52" s="165">
        <f>-SUM(Historical_FS!L98:L99)</f>
        <v>8950</v>
      </c>
    </row>
    <row r="53" spans="1:13" x14ac:dyDescent="0.25">
      <c r="B53" t="s">
        <v>276</v>
      </c>
      <c r="G53" s="165"/>
      <c r="H53" s="165">
        <f>H26-G26</f>
        <v>148</v>
      </c>
      <c r="I53" s="165">
        <f t="shared" ref="I53:K53" si="9">I26-H26</f>
        <v>-1391</v>
      </c>
      <c r="J53" s="165">
        <f t="shared" si="9"/>
        <v>-408</v>
      </c>
      <c r="K53" s="165">
        <f t="shared" si="9"/>
        <v>-2597</v>
      </c>
    </row>
    <row r="54" spans="1:13" x14ac:dyDescent="0.25">
      <c r="G54" s="165"/>
      <c r="H54" s="165"/>
      <c r="I54" s="165"/>
      <c r="J54" s="165"/>
      <c r="K54" s="165"/>
    </row>
    <row r="55" spans="1:13" x14ac:dyDescent="0.25">
      <c r="B55" t="s">
        <v>99</v>
      </c>
      <c r="G55" s="165">
        <f t="shared" ref="G55:K55" si="10">G44</f>
        <v>9486.1999999999953</v>
      </c>
      <c r="H55" s="165">
        <f t="shared" si="10"/>
        <v>9469.0300000000007</v>
      </c>
      <c r="I55" s="165">
        <f t="shared" si="10"/>
        <v>8238.970000000003</v>
      </c>
      <c r="J55" s="165">
        <f t="shared" si="10"/>
        <v>10390.220000000005</v>
      </c>
      <c r="K55" s="165">
        <f t="shared" si="10"/>
        <v>9178.6700000000092</v>
      </c>
    </row>
    <row r="56" spans="1:13" x14ac:dyDescent="0.25">
      <c r="B56" t="s">
        <v>277</v>
      </c>
      <c r="G56" s="88">
        <f>WACC!$F$15</f>
        <v>0.25169999999999998</v>
      </c>
      <c r="H56" s="88">
        <f>WACC!$F$15</f>
        <v>0.25169999999999998</v>
      </c>
      <c r="I56" s="88">
        <f>WACC!$F$15</f>
        <v>0.25169999999999998</v>
      </c>
      <c r="J56" s="88">
        <f>WACC!$F$15</f>
        <v>0.25169999999999998</v>
      </c>
      <c r="K56" s="88">
        <f>WACC!$F$15</f>
        <v>0.25169999999999998</v>
      </c>
      <c r="M56" s="290"/>
    </row>
    <row r="57" spans="1:13" x14ac:dyDescent="0.25">
      <c r="B57" s="79" t="s">
        <v>283</v>
      </c>
      <c r="C57" s="79"/>
      <c r="D57" s="79"/>
      <c r="E57" s="79"/>
      <c r="F57" s="79"/>
      <c r="G57" s="164">
        <f t="shared" ref="G57:K57" si="11">G55*(1-G56)</f>
        <v>7098.5234599999958</v>
      </c>
      <c r="H57" s="164">
        <f t="shared" si="11"/>
        <v>7085.6751490000006</v>
      </c>
      <c r="I57" s="164">
        <f t="shared" si="11"/>
        <v>6165.2212510000018</v>
      </c>
      <c r="J57" s="164">
        <f t="shared" si="11"/>
        <v>7775.0016260000029</v>
      </c>
      <c r="K57" s="164">
        <f t="shared" si="11"/>
        <v>6868.3987610000067</v>
      </c>
    </row>
    <row r="59" spans="1:13" x14ac:dyDescent="0.25">
      <c r="B59" t="s">
        <v>278</v>
      </c>
      <c r="G59" s="165"/>
      <c r="H59" s="165">
        <f>SUM(H52:H53)</f>
        <v>5688</v>
      </c>
      <c r="I59" s="165">
        <f>SUM(I52:I53)</f>
        <v>4714</v>
      </c>
      <c r="J59" s="165">
        <f t="shared" ref="J59" si="12">SUM(J52:J53)</f>
        <v>8476</v>
      </c>
      <c r="K59" s="165">
        <f>SUM(K52:K53)</f>
        <v>6353</v>
      </c>
    </row>
    <row r="60" spans="1:13" x14ac:dyDescent="0.25">
      <c r="G60" s="13"/>
      <c r="H60" s="13"/>
      <c r="I60" s="13"/>
      <c r="J60" s="13"/>
      <c r="K60" s="13"/>
    </row>
    <row r="61" spans="1:13" x14ac:dyDescent="0.25">
      <c r="A61" t="s">
        <v>56</v>
      </c>
      <c r="B61" s="119" t="s">
        <v>279</v>
      </c>
      <c r="C61" s="119"/>
      <c r="D61" s="119"/>
      <c r="E61" s="119"/>
      <c r="F61" s="119"/>
      <c r="G61" s="124"/>
      <c r="H61" s="124">
        <f>H59/H57</f>
        <v>0.80274636931425591</v>
      </c>
      <c r="I61" s="124">
        <f t="shared" ref="I61:K61" si="13">I59/I57</f>
        <v>0.76461165107990037</v>
      </c>
      <c r="J61" s="124">
        <f t="shared" si="13"/>
        <v>1.0901605437169071</v>
      </c>
      <c r="K61" s="124">
        <f t="shared" si="13"/>
        <v>0.92496085638962422</v>
      </c>
    </row>
    <row r="63" spans="1:13" x14ac:dyDescent="0.25">
      <c r="I63" s="125" t="s">
        <v>1735</v>
      </c>
      <c r="J63" s="125"/>
      <c r="K63" s="111">
        <f>AVERAGE(H61:K61)</f>
        <v>0.89561985512517184</v>
      </c>
    </row>
    <row r="64" spans="1:13" x14ac:dyDescent="0.25">
      <c r="I64" s="125" t="s">
        <v>1736</v>
      </c>
      <c r="J64" s="125"/>
      <c r="K64" s="111">
        <f>MEDIAN(H61:K61)</f>
        <v>0.86385361285194007</v>
      </c>
    </row>
    <row r="66" spans="1:11" x14ac:dyDescent="0.25">
      <c r="A66" t="s">
        <v>56</v>
      </c>
      <c r="B66" s="117" t="s">
        <v>280</v>
      </c>
      <c r="C66" s="116"/>
      <c r="D66" s="116"/>
      <c r="E66" s="116"/>
      <c r="F66" s="116"/>
      <c r="G66" s="120">
        <f t="shared" ref="G66:K66" si="14">G50</f>
        <v>44256</v>
      </c>
      <c r="H66" s="120">
        <f t="shared" si="14"/>
        <v>44621</v>
      </c>
      <c r="I66" s="120">
        <f t="shared" si="14"/>
        <v>44986</v>
      </c>
      <c r="J66" s="120">
        <f t="shared" si="14"/>
        <v>45352</v>
      </c>
      <c r="K66" s="120">
        <f t="shared" si="14"/>
        <v>45717</v>
      </c>
    </row>
    <row r="68" spans="1:11" x14ac:dyDescent="0.25">
      <c r="B68" t="s">
        <v>279</v>
      </c>
      <c r="G68" s="88"/>
      <c r="H68" s="88">
        <f t="shared" ref="H68:K68" si="15">H61</f>
        <v>0.80274636931425591</v>
      </c>
      <c r="I68" s="88">
        <f t="shared" si="15"/>
        <v>0.76461165107990037</v>
      </c>
      <c r="J68" s="88">
        <f t="shared" si="15"/>
        <v>1.0901605437169071</v>
      </c>
      <c r="K68" s="88">
        <f t="shared" si="15"/>
        <v>0.92496085638962422</v>
      </c>
    </row>
    <row r="69" spans="1:11" x14ac:dyDescent="0.25">
      <c r="B69" t="s">
        <v>281</v>
      </c>
      <c r="G69" s="88"/>
      <c r="H69" s="88">
        <f t="shared" ref="H69:K69" si="16">H48</f>
        <v>0.14100284862294038</v>
      </c>
      <c r="I69" s="88">
        <f t="shared" si="16"/>
        <v>0.11643477338999059</v>
      </c>
      <c r="J69" s="88">
        <f t="shared" si="16"/>
        <v>0.13922965503286003</v>
      </c>
      <c r="K69" s="88">
        <f t="shared" si="16"/>
        <v>8.0869386815334704E-2</v>
      </c>
    </row>
    <row r="71" spans="1:11" x14ac:dyDescent="0.25">
      <c r="B71" s="119" t="s">
        <v>282</v>
      </c>
      <c r="C71" s="54"/>
      <c r="D71" s="54"/>
      <c r="E71" s="54"/>
      <c r="F71" s="54"/>
      <c r="G71" s="126"/>
      <c r="H71" s="126">
        <f t="shared" ref="H71:K71" si="17">H68*H69</f>
        <v>0.11318952479503303</v>
      </c>
      <c r="I71" s="126">
        <f t="shared" si="17"/>
        <v>8.9027384324834757E-2</v>
      </c>
      <c r="J71" s="126">
        <f t="shared" si="17"/>
        <v>0.15178267643214011</v>
      </c>
      <c r="K71" s="126">
        <f t="shared" si="17"/>
        <v>7.480101728441578E-2</v>
      </c>
    </row>
    <row r="73" spans="1:11" x14ac:dyDescent="0.25">
      <c r="B73" s="178" t="s">
        <v>371</v>
      </c>
      <c r="I73" s="125" t="s">
        <v>1735</v>
      </c>
      <c r="J73" s="125"/>
      <c r="K73" s="111">
        <f>AVERAGE(H71:K71)</f>
        <v>0.10720015070910592</v>
      </c>
    </row>
    <row r="74" spans="1:11" x14ac:dyDescent="0.25">
      <c r="I74" s="125" t="s">
        <v>1736</v>
      </c>
      <c r="J74" s="125"/>
      <c r="K74" s="111">
        <f>MEDIAN(H71:K71)</f>
        <v>0.10110845455993389</v>
      </c>
    </row>
  </sheetData>
  <pageMargins left="0.7" right="0.7" top="0.75" bottom="0.75" header="0.3" footer="0.3"/>
  <pageSetup scale="63" orientation="portrait" r:id="rId1"/>
  <ignoredErrors>
    <ignoredError sqref="H52:K52" formulaRange="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1AACA-3CDB-4EB7-85F4-DA844F527E86}">
  <sheetPr>
    <pageSetUpPr fitToPage="1"/>
  </sheetPr>
  <dimension ref="A1:P50"/>
  <sheetViews>
    <sheetView showGridLines="0" topLeftCell="A21" zoomScale="80" zoomScaleNormal="80" workbookViewId="0">
      <selection activeCell="J29" sqref="J29"/>
    </sheetView>
  </sheetViews>
  <sheetFormatPr defaultRowHeight="15" x14ac:dyDescent="0.25"/>
  <cols>
    <col min="1" max="1" width="1.85546875" customWidth="1"/>
    <col min="5" max="5" width="12.5703125" customWidth="1"/>
    <col min="6" max="16" width="12.7109375" customWidth="1"/>
  </cols>
  <sheetData>
    <row r="1" spans="1:16" s="15" customFormat="1" x14ac:dyDescent="0.25">
      <c r="A1"/>
      <c r="B1"/>
      <c r="C1"/>
      <c r="D1"/>
      <c r="E1"/>
      <c r="F1"/>
      <c r="G1"/>
      <c r="H1"/>
      <c r="I1"/>
      <c r="J1"/>
      <c r="K1"/>
    </row>
    <row r="2" spans="1:16" s="15" customFormat="1" x14ac:dyDescent="0.25">
      <c r="A2"/>
      <c r="B2" s="152"/>
      <c r="C2" s="152"/>
      <c r="D2" s="152"/>
      <c r="E2" s="152"/>
      <c r="F2" s="152"/>
      <c r="G2" s="152"/>
      <c r="H2" s="152"/>
      <c r="I2" s="152"/>
      <c r="J2" s="152"/>
      <c r="K2" s="152"/>
      <c r="L2" s="152"/>
      <c r="M2" s="152"/>
      <c r="N2" s="152"/>
      <c r="O2" s="152"/>
      <c r="P2" s="152"/>
    </row>
    <row r="3" spans="1:16" s="15" customFormat="1" x14ac:dyDescent="0.25">
      <c r="A3"/>
      <c r="B3"/>
      <c r="C3"/>
      <c r="D3"/>
      <c r="E3"/>
      <c r="F3"/>
      <c r="G3"/>
      <c r="H3"/>
      <c r="I3"/>
      <c r="J3"/>
      <c r="K3"/>
      <c r="L3"/>
      <c r="M3"/>
      <c r="N3"/>
      <c r="O3"/>
      <c r="P3"/>
    </row>
    <row r="4" spans="1:16" s="15" customFormat="1" x14ac:dyDescent="0.25">
      <c r="A4"/>
      <c r="B4"/>
      <c r="C4"/>
      <c r="D4"/>
      <c r="E4"/>
      <c r="F4"/>
      <c r="G4"/>
      <c r="H4"/>
      <c r="I4"/>
      <c r="J4"/>
      <c r="K4"/>
      <c r="L4"/>
      <c r="M4"/>
      <c r="N4"/>
      <c r="O4"/>
      <c r="P4"/>
    </row>
    <row r="5" spans="1:16" s="15" customFormat="1" x14ac:dyDescent="0.25">
      <c r="A5"/>
      <c r="B5"/>
      <c r="C5"/>
      <c r="D5"/>
      <c r="E5"/>
      <c r="F5"/>
      <c r="G5"/>
      <c r="H5"/>
      <c r="I5"/>
      <c r="J5"/>
      <c r="K5"/>
      <c r="L5"/>
      <c r="M5"/>
      <c r="N5"/>
      <c r="O5"/>
      <c r="P5"/>
    </row>
    <row r="6" spans="1:16" s="15" customFormat="1" x14ac:dyDescent="0.25">
      <c r="A6"/>
      <c r="B6"/>
      <c r="C6"/>
      <c r="D6"/>
      <c r="E6"/>
      <c r="F6"/>
      <c r="G6"/>
      <c r="H6"/>
      <c r="I6"/>
      <c r="J6"/>
      <c r="K6"/>
      <c r="L6"/>
      <c r="M6"/>
      <c r="N6"/>
      <c r="O6"/>
      <c r="P6"/>
    </row>
    <row r="7" spans="1:16" s="15" customFormat="1" x14ac:dyDescent="0.25">
      <c r="A7"/>
      <c r="B7" s="198"/>
      <c r="C7" s="198"/>
      <c r="D7" s="198"/>
      <c r="E7" s="198"/>
      <c r="F7" s="198"/>
      <c r="G7" s="198"/>
      <c r="H7" s="198"/>
      <c r="I7" s="198"/>
      <c r="J7" s="198"/>
      <c r="K7" s="198"/>
      <c r="L7" s="198"/>
      <c r="M7" s="198"/>
      <c r="N7" s="198"/>
      <c r="O7" s="198"/>
      <c r="P7" s="198"/>
    </row>
    <row r="8" spans="1:16" s="15" customFormat="1" ht="4.5" customHeight="1" x14ac:dyDescent="0.25"/>
    <row r="9" spans="1:16" s="15" customFormat="1" x14ac:dyDescent="0.25">
      <c r="B9" s="174" t="s">
        <v>364</v>
      </c>
    </row>
    <row r="10" spans="1:16" s="15" customFormat="1" ht="4.5" customHeight="1" x14ac:dyDescent="0.25">
      <c r="B10" s="174"/>
    </row>
    <row r="11" spans="1:16" x14ac:dyDescent="0.25">
      <c r="B11" s="117" t="s">
        <v>284</v>
      </c>
      <c r="C11" s="116"/>
      <c r="D11" s="116"/>
      <c r="E11" s="116"/>
      <c r="F11" s="130">
        <f>Intrinsic_Growth!K11</f>
        <v>45717</v>
      </c>
      <c r="G11" s="131">
        <f>F11+365</f>
        <v>46082</v>
      </c>
      <c r="H11" s="131">
        <f t="shared" ref="H11:K11" si="0">G11+365</f>
        <v>46447</v>
      </c>
      <c r="I11" s="131">
        <f>H11+366</f>
        <v>46813</v>
      </c>
      <c r="J11" s="131">
        <f t="shared" si="0"/>
        <v>47178</v>
      </c>
      <c r="K11" s="131">
        <f t="shared" si="0"/>
        <v>47543</v>
      </c>
      <c r="L11" s="131">
        <f t="shared" ref="L11" si="1">K11+365</f>
        <v>47908</v>
      </c>
      <c r="M11" s="131">
        <f>L11+366</f>
        <v>48274</v>
      </c>
      <c r="N11" s="131">
        <f t="shared" ref="N11:P11" si="2">M11+365</f>
        <v>48639</v>
      </c>
      <c r="O11" s="131">
        <f t="shared" si="2"/>
        <v>49004</v>
      </c>
      <c r="P11" s="131">
        <f t="shared" si="2"/>
        <v>49369</v>
      </c>
    </row>
    <row r="13" spans="1:16" x14ac:dyDescent="0.25">
      <c r="B13" t="s">
        <v>283</v>
      </c>
      <c r="F13" s="165">
        <f>Intrinsic_Growth!K57</f>
        <v>6868.3987610000067</v>
      </c>
      <c r="G13" s="302">
        <f>F13*(1+G14)</f>
        <v>7562.8519450260819</v>
      </c>
      <c r="H13" s="302">
        <f>G13*(1+H14)</f>
        <v>8268.7030582344214</v>
      </c>
      <c r="I13" s="302">
        <f>H13*(1+I14)</f>
        <v>8976.125558989168</v>
      </c>
      <c r="J13" s="302">
        <f>I13*(1+J14)</f>
        <v>9674.2626966374282</v>
      </c>
      <c r="K13" s="302">
        <f>J13*(1+K14)</f>
        <v>10351.461085402048</v>
      </c>
      <c r="L13" s="302">
        <f t="shared" ref="L13:P13" si="3">K13*(1+L14)</f>
        <v>11024.30605595318</v>
      </c>
      <c r="M13" s="302">
        <f t="shared" si="3"/>
        <v>11707.813031422278</v>
      </c>
      <c r="N13" s="302">
        <f t="shared" si="3"/>
        <v>12398.574000276192</v>
      </c>
      <c r="O13" s="302">
        <f t="shared" si="3"/>
        <v>13092.89414429166</v>
      </c>
      <c r="P13" s="302">
        <f t="shared" si="3"/>
        <v>13786.817533939118</v>
      </c>
    </row>
    <row r="14" spans="1:16" x14ac:dyDescent="0.25">
      <c r="B14" s="178" t="s">
        <v>290</v>
      </c>
      <c r="C14" s="178"/>
      <c r="D14" s="178"/>
      <c r="E14" s="178"/>
      <c r="F14" s="178"/>
      <c r="G14" s="303">
        <f>E24</f>
        <v>0.10110845455993389</v>
      </c>
      <c r="H14" s="304">
        <f>G14+(($K$14-$G$14)/4)</f>
        <v>9.333134091995042E-2</v>
      </c>
      <c r="I14" s="304">
        <f>H14+(($K$14-$G$14)/4)</f>
        <v>8.5554227279966949E-2</v>
      </c>
      <c r="J14" s="304">
        <f>I14+(($K$14-$G$14)/4)</f>
        <v>7.7777113639983478E-2</v>
      </c>
      <c r="K14" s="305">
        <v>7.0000000000000007E-2</v>
      </c>
      <c r="L14" s="305">
        <v>6.5000000000000002E-2</v>
      </c>
      <c r="M14" s="305">
        <v>6.2E-2</v>
      </c>
      <c r="N14" s="305">
        <v>5.8999999999999997E-2</v>
      </c>
      <c r="O14" s="305">
        <v>5.6000000000000001E-2</v>
      </c>
      <c r="P14" s="305">
        <v>5.2999999999999999E-2</v>
      </c>
    </row>
    <row r="15" spans="1:16" x14ac:dyDescent="0.25">
      <c r="B15" t="s">
        <v>285</v>
      </c>
      <c r="F15" s="88">
        <f>Intrinsic_Growth!K64</f>
        <v>0.86385361285194007</v>
      </c>
      <c r="G15" s="306">
        <f>F15+(($K$15-$F$15)/4)</f>
        <v>0.77039020963895499</v>
      </c>
      <c r="H15" s="306">
        <f>G15+(($K$15-$F$15)/4)</f>
        <v>0.67692680642596992</v>
      </c>
      <c r="I15" s="306">
        <f>H15+(($K$15-$F$15)/4)</f>
        <v>0.58346340321298484</v>
      </c>
      <c r="J15" s="306">
        <f>I15+(($K$15-$F$15)/4)</f>
        <v>0.48999999999999982</v>
      </c>
      <c r="K15" s="307">
        <v>0.49</v>
      </c>
      <c r="L15" s="307">
        <v>0.45</v>
      </c>
      <c r="M15" s="307">
        <v>0.42</v>
      </c>
      <c r="N15" s="307">
        <v>0.39</v>
      </c>
      <c r="O15" s="307">
        <v>0.37</v>
      </c>
      <c r="P15" s="307">
        <v>0.35</v>
      </c>
    </row>
    <row r="16" spans="1:16" x14ac:dyDescent="0.25">
      <c r="G16" s="306"/>
      <c r="H16" s="306"/>
      <c r="I16" s="306"/>
      <c r="J16" s="306"/>
      <c r="K16" s="306"/>
      <c r="L16" s="308"/>
      <c r="M16" s="308"/>
      <c r="N16" s="308"/>
      <c r="O16" s="308"/>
      <c r="P16" s="308"/>
    </row>
    <row r="17" spans="2:16" x14ac:dyDescent="0.25">
      <c r="B17" s="119" t="s">
        <v>286</v>
      </c>
      <c r="C17" s="119"/>
      <c r="D17" s="119"/>
      <c r="E17" s="119"/>
      <c r="F17" s="163">
        <f t="shared" ref="F17:P17" si="4">F13*(1-F15)</f>
        <v>935.10767680236211</v>
      </c>
      <c r="G17" s="309">
        <f t="shared" si="4"/>
        <v>1736.5048496290601</v>
      </c>
      <c r="H17" s="309">
        <f t="shared" si="4"/>
        <v>2671.3963037391436</v>
      </c>
      <c r="I17" s="309">
        <f t="shared" si="4"/>
        <v>3738.8847926742919</v>
      </c>
      <c r="J17" s="309">
        <f t="shared" si="4"/>
        <v>4933.8739752850906</v>
      </c>
      <c r="K17" s="309">
        <f t="shared" si="4"/>
        <v>5279.2451535550445</v>
      </c>
      <c r="L17" s="309">
        <f t="shared" si="4"/>
        <v>6063.3683307742494</v>
      </c>
      <c r="M17" s="309">
        <f t="shared" si="4"/>
        <v>6790.5315582249223</v>
      </c>
      <c r="N17" s="309">
        <f t="shared" si="4"/>
        <v>7563.1301401684768</v>
      </c>
      <c r="O17" s="309">
        <f t="shared" si="4"/>
        <v>8248.5233109037454</v>
      </c>
      <c r="P17" s="309">
        <f t="shared" si="4"/>
        <v>8961.4313970604271</v>
      </c>
    </row>
    <row r="18" spans="2:16" x14ac:dyDescent="0.25">
      <c r="G18" s="308"/>
      <c r="H18" s="308"/>
      <c r="I18" s="308"/>
      <c r="J18" s="308"/>
      <c r="K18" s="308"/>
      <c r="L18" s="308"/>
      <c r="M18" s="308"/>
      <c r="N18" s="308"/>
      <c r="O18" s="308"/>
      <c r="P18" s="308"/>
    </row>
    <row r="19" spans="2:16" x14ac:dyDescent="0.25">
      <c r="B19" t="s">
        <v>287</v>
      </c>
      <c r="G19" s="310">
        <v>0.5</v>
      </c>
      <c r="H19" s="157">
        <f>G19+1</f>
        <v>1.5</v>
      </c>
      <c r="I19" s="157">
        <f t="shared" ref="I19:J19" si="5">H19+1</f>
        <v>2.5</v>
      </c>
      <c r="J19" s="157">
        <f t="shared" si="5"/>
        <v>3.5</v>
      </c>
      <c r="K19" s="157">
        <f>J19+1</f>
        <v>4.5</v>
      </c>
      <c r="L19" s="157">
        <f t="shared" ref="L19:P19" si="6">K19+1</f>
        <v>5.5</v>
      </c>
      <c r="M19" s="157">
        <f t="shared" si="6"/>
        <v>6.5</v>
      </c>
      <c r="N19" s="157">
        <f t="shared" si="6"/>
        <v>7.5</v>
      </c>
      <c r="O19" s="157">
        <f t="shared" si="6"/>
        <v>8.5</v>
      </c>
      <c r="P19" s="157">
        <f t="shared" si="6"/>
        <v>9.5</v>
      </c>
    </row>
    <row r="20" spans="2:16" x14ac:dyDescent="0.25">
      <c r="B20" t="s">
        <v>288</v>
      </c>
      <c r="G20" s="311">
        <f>1/(1+$E$26)^G19</f>
        <v>0.94195869062426285</v>
      </c>
      <c r="H20" s="311">
        <f>1/(1+$E$26)^H19</f>
        <v>0.83578692346372352</v>
      </c>
      <c r="I20" s="311">
        <f>1/(1+$E$26)^I19</f>
        <v>0.74158218230357187</v>
      </c>
      <c r="J20" s="311">
        <f>1/(1+$E$26)^J19</f>
        <v>0.65799561786754612</v>
      </c>
      <c r="K20" s="311">
        <f>1/(1+$E$26)^K19</f>
        <v>0.58383041484087217</v>
      </c>
      <c r="L20" s="311">
        <f t="shared" ref="L20:P20" si="7">1/(1+$E$26)^L19</f>
        <v>0.5180246555409117</v>
      </c>
      <c r="M20" s="311">
        <f t="shared" si="7"/>
        <v>0.45963611508903851</v>
      </c>
      <c r="N20" s="311">
        <f t="shared" si="7"/>
        <v>0.40782877037685494</v>
      </c>
      <c r="O20" s="311">
        <f t="shared" si="7"/>
        <v>0.3618608296584308</v>
      </c>
      <c r="P20" s="311">
        <f t="shared" si="7"/>
        <v>0.32107411137299002</v>
      </c>
    </row>
    <row r="21" spans="2:16" x14ac:dyDescent="0.25">
      <c r="G21" s="308"/>
      <c r="H21" s="308"/>
      <c r="I21" s="308"/>
      <c r="J21" s="308"/>
      <c r="K21" s="308"/>
      <c r="L21" s="308"/>
      <c r="M21" s="308"/>
      <c r="N21" s="308"/>
      <c r="O21" s="308"/>
      <c r="P21" s="308"/>
    </row>
    <row r="22" spans="2:16" ht="15.75" thickBot="1" x14ac:dyDescent="0.3">
      <c r="B22" s="134" t="s">
        <v>289</v>
      </c>
      <c r="C22" s="133"/>
      <c r="D22" s="133"/>
      <c r="E22" s="133"/>
      <c r="F22" s="133"/>
      <c r="G22" s="312">
        <f>G17*G20</f>
        <v>1635.7158344192719</v>
      </c>
      <c r="H22" s="312">
        <f>H17*H20</f>
        <v>2232.7180980545013</v>
      </c>
      <c r="I22" s="312">
        <f>I17*I20</f>
        <v>2772.6903439330395</v>
      </c>
      <c r="J22" s="312">
        <f>J17*J20</f>
        <v>3246.467454848319</v>
      </c>
      <c r="K22" s="312">
        <f>K17*K20</f>
        <v>3082.1838880467053</v>
      </c>
      <c r="L22" s="312">
        <f t="shared" ref="L22:P22" si="8">L17*L20</f>
        <v>3140.9742909670035</v>
      </c>
      <c r="M22" s="312">
        <f t="shared" si="8"/>
        <v>3121.1735448120185</v>
      </c>
      <c r="N22" s="312">
        <f t="shared" si="8"/>
        <v>3084.4620652650406</v>
      </c>
      <c r="O22" s="312">
        <f t="shared" si="8"/>
        <v>2984.8174887405357</v>
      </c>
      <c r="P22" s="312">
        <f t="shared" si="8"/>
        <v>2877.283622441189</v>
      </c>
    </row>
    <row r="23" spans="2:16" ht="15.75" thickTop="1" x14ac:dyDescent="0.25">
      <c r="F23" s="20"/>
    </row>
    <row r="24" spans="2:16" x14ac:dyDescent="0.25">
      <c r="B24" s="138" t="s">
        <v>290</v>
      </c>
      <c r="C24" s="138"/>
      <c r="D24" s="138"/>
      <c r="E24" s="188">
        <f>Intrinsic_Growth!K74</f>
        <v>0.10110845455993389</v>
      </c>
      <c r="G24" s="322" t="s">
        <v>381</v>
      </c>
      <c r="H24" s="322"/>
      <c r="I24" s="322"/>
      <c r="J24" s="322"/>
      <c r="K24" s="322"/>
    </row>
    <row r="25" spans="2:16" x14ac:dyDescent="0.25">
      <c r="B25" s="138" t="s">
        <v>291</v>
      </c>
      <c r="C25" s="138"/>
      <c r="D25" s="138"/>
      <c r="E25" s="139">
        <v>0.05</v>
      </c>
      <c r="G25" s="182">
        <f>E47</f>
        <v>1561.1671303916703</v>
      </c>
      <c r="H25" s="184">
        <v>0.12</v>
      </c>
      <c r="I25" s="184">
        <v>0.14000000000000001</v>
      </c>
      <c r="J25" s="184">
        <v>0.12703209894758255</v>
      </c>
      <c r="K25" s="184">
        <v>0.18</v>
      </c>
    </row>
    <row r="26" spans="2:16" x14ac:dyDescent="0.25">
      <c r="B26" s="138" t="s">
        <v>212</v>
      </c>
      <c r="C26" s="138"/>
      <c r="D26" s="138"/>
      <c r="E26" s="188">
        <f>WACC!J48</f>
        <v>0.12703209894758255</v>
      </c>
      <c r="G26" s="183">
        <v>0.02</v>
      </c>
      <c r="H26" s="165">
        <f t="dataTable" ref="H26:K30" dt2D="1" dtr="1" r1="E31" r2="E32"/>
        <v>1255.7212414445682</v>
      </c>
      <c r="I26" s="165">
        <v>1084.981957034794</v>
      </c>
      <c r="J26" s="165">
        <v>1188.4149536665263</v>
      </c>
      <c r="K26" s="165">
        <v>871.55785152257715</v>
      </c>
    </row>
    <row r="27" spans="2:16" x14ac:dyDescent="0.25">
      <c r="G27" s="183">
        <v>0.04</v>
      </c>
      <c r="H27" s="165">
        <v>1511.830168059229</v>
      </c>
      <c r="I27" s="165">
        <v>1255.7212414445678</v>
      </c>
      <c r="J27" s="165">
        <v>1408.3635542988191</v>
      </c>
      <c r="K27" s="165">
        <v>963.02532531352722</v>
      </c>
    </row>
    <row r="28" spans="2:16" x14ac:dyDescent="0.25">
      <c r="B28" s="322" t="s">
        <v>292</v>
      </c>
      <c r="C28" s="322"/>
      <c r="D28" s="322"/>
      <c r="E28" s="322"/>
      <c r="G28" s="183">
        <v>6.8000000000000005E-2</v>
      </c>
      <c r="H28" s="165">
        <v>2201.3542012525463</v>
      </c>
      <c r="I28" s="249">
        <v>1654.1129050673735</v>
      </c>
      <c r="J28" s="185">
        <v>1966.6731033125886</v>
      </c>
      <c r="K28" s="165">
        <v>1145.9602728954278</v>
      </c>
      <c r="L28" s="20"/>
    </row>
    <row r="29" spans="2:16" x14ac:dyDescent="0.25">
      <c r="G29" s="183">
        <v>0.08</v>
      </c>
      <c r="H29" s="165">
        <v>2792.3748011325324</v>
      </c>
      <c r="I29" s="165">
        <v>1938.678379083663</v>
      </c>
      <c r="J29" s="165">
        <v>2409.4483841506631</v>
      </c>
      <c r="K29" s="165">
        <v>1255.7212414445682</v>
      </c>
    </row>
    <row r="30" spans="2:16" x14ac:dyDescent="0.25">
      <c r="B30" t="s">
        <v>293</v>
      </c>
      <c r="E30" s="165">
        <f>P17*(1+$E$25)</f>
        <v>9409.5029669134492</v>
      </c>
      <c r="G30" s="183">
        <v>0.1</v>
      </c>
      <c r="H30" s="165">
        <v>5353.4640672791411</v>
      </c>
      <c r="I30" s="165">
        <v>2792.3748011325315</v>
      </c>
      <c r="J30" s="165">
        <v>4020.9864695863325</v>
      </c>
      <c r="K30" s="165">
        <v>1511.830168059229</v>
      </c>
    </row>
    <row r="31" spans="2:16" x14ac:dyDescent="0.25">
      <c r="B31" t="s">
        <v>212</v>
      </c>
      <c r="E31" s="189">
        <f>E26</f>
        <v>0.12703209894758255</v>
      </c>
    </row>
    <row r="32" spans="2:16" x14ac:dyDescent="0.25">
      <c r="B32" t="s">
        <v>291</v>
      </c>
      <c r="E32" s="189">
        <f>E25</f>
        <v>0.05</v>
      </c>
      <c r="G32" s="322" t="s">
        <v>382</v>
      </c>
      <c r="H32" s="322"/>
      <c r="I32" s="322"/>
      <c r="J32" s="322"/>
      <c r="K32" s="322"/>
    </row>
    <row r="33" spans="2:11" x14ac:dyDescent="0.25">
      <c r="G33" s="182">
        <f>E34</f>
        <v>122150.41645582399</v>
      </c>
      <c r="H33" s="184">
        <v>0.12</v>
      </c>
      <c r="I33" s="184">
        <v>0.14000000000000001</v>
      </c>
      <c r="J33" s="184">
        <v>0.12703209894758255</v>
      </c>
      <c r="K33" s="184">
        <v>0.18</v>
      </c>
    </row>
    <row r="34" spans="2:11" ht="15.75" thickBot="1" x14ac:dyDescent="0.3">
      <c r="B34" s="134" t="s">
        <v>294</v>
      </c>
      <c r="C34" s="133"/>
      <c r="D34" s="133"/>
      <c r="E34" s="167">
        <f>E30/(E31-E32)</f>
        <v>122150.41645582399</v>
      </c>
      <c r="G34" s="183">
        <v>0.02</v>
      </c>
      <c r="H34" s="165">
        <f t="dataTable" ref="H34:K38" dt2D="1" dtr="1" r1="E31" r2="E32" ca="1"/>
        <v>94095.029669134499</v>
      </c>
      <c r="I34" s="165">
        <v>78412.52472427873</v>
      </c>
      <c r="J34" s="165">
        <v>87912.907057177494</v>
      </c>
      <c r="K34" s="165">
        <v>58809.393543209058</v>
      </c>
    </row>
    <row r="35" spans="2:11" ht="15.75" thickTop="1" x14ac:dyDescent="0.25">
      <c r="G35" s="183">
        <v>0.04</v>
      </c>
      <c r="H35" s="165">
        <v>117618.78708641813</v>
      </c>
      <c r="I35" s="165">
        <v>94095.029669134485</v>
      </c>
      <c r="J35" s="165">
        <v>108115.31700023205</v>
      </c>
      <c r="K35" s="165">
        <v>67210.735477953218</v>
      </c>
    </row>
    <row r="36" spans="2:11" x14ac:dyDescent="0.25">
      <c r="B36" s="322" t="s">
        <v>301</v>
      </c>
      <c r="C36" s="322"/>
      <c r="D36" s="322"/>
      <c r="E36" s="322"/>
      <c r="G36" s="183">
        <v>6.8000000000000005E-2</v>
      </c>
      <c r="H36" s="165">
        <v>180951.98013295096</v>
      </c>
      <c r="I36" s="249">
        <v>130687.54120713122</v>
      </c>
      <c r="J36" s="185">
        <v>159396.38153928088</v>
      </c>
      <c r="K36" s="165">
        <v>84013.419347441522</v>
      </c>
    </row>
    <row r="37" spans="2:11" x14ac:dyDescent="0.25">
      <c r="G37" s="183">
        <v>0.08</v>
      </c>
      <c r="H37" s="165">
        <v>235237.57417283626</v>
      </c>
      <c r="I37" s="165">
        <v>156825.04944855746</v>
      </c>
      <c r="J37" s="165">
        <v>200065.55474805358</v>
      </c>
      <c r="K37" s="165">
        <v>94095.029669134499</v>
      </c>
    </row>
    <row r="38" spans="2:11" x14ac:dyDescent="0.25">
      <c r="B38" t="s">
        <v>289</v>
      </c>
      <c r="E38" s="165">
        <f>SUM(G22:P22)</f>
        <v>28178.486631527627</v>
      </c>
      <c r="G38" s="183">
        <v>0.1</v>
      </c>
      <c r="H38" s="165">
        <v>470475.1483456727</v>
      </c>
      <c r="I38" s="165">
        <v>235237.57417283618</v>
      </c>
      <c r="J38" s="165">
        <v>348086.28753391467</v>
      </c>
      <c r="K38" s="165">
        <v>117618.78708641813</v>
      </c>
    </row>
    <row r="39" spans="2:11" x14ac:dyDescent="0.25">
      <c r="B39" t="s">
        <v>295</v>
      </c>
      <c r="E39" s="165">
        <f>E34*P20</f>
        <v>39219.336417394341</v>
      </c>
    </row>
    <row r="40" spans="2:11" x14ac:dyDescent="0.25">
      <c r="B40" s="19" t="s">
        <v>296</v>
      </c>
      <c r="C40" s="19"/>
      <c r="D40" s="19"/>
      <c r="E40" s="166">
        <f>SUM(E38:E39)</f>
        <v>67397.823048921971</v>
      </c>
      <c r="F40" s="20"/>
    </row>
    <row r="41" spans="2:11" x14ac:dyDescent="0.25">
      <c r="E41" s="132"/>
    </row>
    <row r="42" spans="2:11" x14ac:dyDescent="0.25">
      <c r="B42" t="s">
        <v>297</v>
      </c>
      <c r="E42" s="165">
        <f>'Data Sheet'!K69</f>
        <v>1673.32</v>
      </c>
    </row>
    <row r="43" spans="2:11" x14ac:dyDescent="0.25">
      <c r="B43" t="s">
        <v>298</v>
      </c>
      <c r="E43" s="165">
        <f>SUM('Raw FS'!L22:L23)</f>
        <v>23031</v>
      </c>
    </row>
    <row r="44" spans="2:11" x14ac:dyDescent="0.25">
      <c r="B44" s="19" t="s">
        <v>299</v>
      </c>
      <c r="C44" s="19"/>
      <c r="D44" s="19"/>
      <c r="E44" s="166">
        <f>E40+E42-E43</f>
        <v>46040.143048921978</v>
      </c>
    </row>
    <row r="45" spans="2:11" x14ac:dyDescent="0.25">
      <c r="B45" t="s">
        <v>300</v>
      </c>
      <c r="E45" s="140">
        <f>'Data Sheet'!B6</f>
        <v>29.490848322800193</v>
      </c>
    </row>
    <row r="47" spans="2:11" ht="15.75" thickBot="1" x14ac:dyDescent="0.3">
      <c r="B47" s="134" t="s">
        <v>302</v>
      </c>
      <c r="C47" s="133"/>
      <c r="D47" s="133"/>
      <c r="E47" s="167">
        <f>E44/E45</f>
        <v>1561.1671303916703</v>
      </c>
    </row>
    <row r="48" spans="2:11" ht="15.75" thickTop="1" x14ac:dyDescent="0.25"/>
    <row r="49" spans="2:5" x14ac:dyDescent="0.25">
      <c r="B49" t="s">
        <v>303</v>
      </c>
      <c r="E49" s="153">
        <v>11937</v>
      </c>
    </row>
    <row r="50" spans="2:5" x14ac:dyDescent="0.25">
      <c r="B50" t="s">
        <v>304</v>
      </c>
      <c r="E50" s="141">
        <f>E49/E47</f>
        <v>7.6462024901877159</v>
      </c>
    </row>
  </sheetData>
  <mergeCells count="4">
    <mergeCell ref="G24:K24"/>
    <mergeCell ref="B36:E36"/>
    <mergeCell ref="B28:E28"/>
    <mergeCell ref="G32:K32"/>
  </mergeCells>
  <pageMargins left="0.7" right="0.7" top="0.75" bottom="0.75" header="0.3" footer="0.3"/>
  <pageSetup scale="72" orientation="landscape" r:id="rId1"/>
  <ignoredErrors>
    <ignoredError sqref="I11 M11" formula="1"/>
    <ignoredError sqref="E43" formulaRange="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3B515-ED29-49C7-AFFA-E751BC02EEF9}">
  <sheetPr>
    <pageSetUpPr fitToPage="1"/>
  </sheetPr>
  <dimension ref="B2:Q43"/>
  <sheetViews>
    <sheetView showGridLines="0" zoomScale="80" zoomScaleNormal="80" workbookViewId="0">
      <selection activeCell="N41" sqref="N41"/>
    </sheetView>
  </sheetViews>
  <sheetFormatPr defaultRowHeight="15" x14ac:dyDescent="0.25"/>
  <cols>
    <col min="1" max="1" width="1.85546875" customWidth="1"/>
    <col min="2" max="2" width="30.140625" bestFit="1" customWidth="1"/>
    <col min="4" max="4" width="12.28515625" customWidth="1"/>
    <col min="5" max="5" width="15.28515625" customWidth="1"/>
    <col min="6" max="7" width="13" bestFit="1" customWidth="1"/>
    <col min="8" max="8" width="15" customWidth="1"/>
    <col min="9" max="9" width="1.42578125" customWidth="1"/>
    <col min="10" max="10" width="13" bestFit="1" customWidth="1"/>
    <col min="11" max="11" width="12.5703125" customWidth="1"/>
    <col min="12" max="12" width="12.7109375" customWidth="1"/>
    <col min="13" max="13" width="1.42578125" customWidth="1"/>
    <col min="14" max="14" width="12.85546875" bestFit="1" customWidth="1"/>
    <col min="15" max="16" width="12.140625" bestFit="1" customWidth="1"/>
  </cols>
  <sheetData>
    <row r="2" spans="2:16" x14ac:dyDescent="0.25">
      <c r="B2" s="152"/>
      <c r="C2" s="152"/>
      <c r="D2" s="152"/>
      <c r="E2" s="152"/>
      <c r="F2" s="152"/>
      <c r="G2" s="152"/>
      <c r="H2" s="152"/>
      <c r="I2" s="152"/>
      <c r="J2" s="152"/>
      <c r="K2" s="152"/>
      <c r="L2" s="152"/>
      <c r="M2" s="152"/>
      <c r="N2" s="152"/>
      <c r="O2" s="152"/>
      <c r="P2" s="152"/>
    </row>
    <row r="7" spans="2:16" x14ac:dyDescent="0.25">
      <c r="B7" s="198"/>
      <c r="C7" s="198"/>
      <c r="D7" s="198"/>
      <c r="E7" s="198"/>
      <c r="F7" s="198"/>
      <c r="G7" s="198"/>
      <c r="H7" s="198"/>
      <c r="I7" s="198"/>
      <c r="J7" s="198"/>
      <c r="K7" s="198"/>
      <c r="L7" s="198"/>
      <c r="M7" s="198"/>
      <c r="N7" s="198"/>
      <c r="O7" s="198"/>
      <c r="P7" s="198"/>
    </row>
    <row r="8" spans="2:16" ht="4.5" customHeight="1" x14ac:dyDescent="0.25"/>
    <row r="9" spans="2:16" x14ac:dyDescent="0.25">
      <c r="B9" s="9" t="s">
        <v>364</v>
      </c>
    </row>
    <row r="10" spans="2:16" ht="18.75" x14ac:dyDescent="0.3">
      <c r="B10" s="173" t="s">
        <v>305</v>
      </c>
      <c r="C10" s="158"/>
      <c r="D10" s="158"/>
      <c r="E10" s="158"/>
      <c r="F10" s="158"/>
      <c r="G10" s="158"/>
      <c r="H10" s="158"/>
      <c r="I10" s="158"/>
      <c r="J10" s="158"/>
      <c r="K10" s="158"/>
      <c r="L10" s="158"/>
      <c r="M10" s="158"/>
      <c r="N10" s="158"/>
      <c r="O10" s="158"/>
      <c r="P10" s="158"/>
    </row>
    <row r="11" spans="2:16" ht="4.5" customHeight="1" x14ac:dyDescent="0.25"/>
    <row r="12" spans="2:16" x14ac:dyDescent="0.25">
      <c r="B12" s="152"/>
      <c r="C12" s="152"/>
      <c r="D12" s="323" t="s">
        <v>317</v>
      </c>
      <c r="E12" s="323"/>
      <c r="F12" s="323"/>
      <c r="G12" s="323"/>
      <c r="H12" s="323"/>
      <c r="I12" s="152"/>
      <c r="J12" s="323" t="s">
        <v>320</v>
      </c>
      <c r="K12" s="323"/>
      <c r="L12" s="323"/>
      <c r="M12" s="152"/>
      <c r="N12" s="323" t="s">
        <v>321</v>
      </c>
      <c r="O12" s="323"/>
      <c r="P12" s="323"/>
    </row>
    <row r="13" spans="2:16" x14ac:dyDescent="0.25">
      <c r="B13" s="116"/>
      <c r="C13" s="116"/>
      <c r="D13" s="110" t="s">
        <v>307</v>
      </c>
      <c r="E13" s="110" t="s">
        <v>312</v>
      </c>
      <c r="F13" s="110" t="s">
        <v>188</v>
      </c>
      <c r="G13" s="168"/>
      <c r="H13" s="110" t="s">
        <v>316</v>
      </c>
      <c r="I13" s="168"/>
      <c r="J13" s="168"/>
      <c r="K13" s="168"/>
      <c r="L13" s="168"/>
      <c r="M13" s="116"/>
      <c r="N13" s="116"/>
      <c r="O13" s="116"/>
      <c r="P13" s="116"/>
    </row>
    <row r="14" spans="2:16" x14ac:dyDescent="0.25">
      <c r="B14" s="117" t="s">
        <v>184</v>
      </c>
      <c r="C14" s="117" t="s">
        <v>306</v>
      </c>
      <c r="D14" s="110" t="s">
        <v>308</v>
      </c>
      <c r="E14" s="110" t="s">
        <v>313</v>
      </c>
      <c r="F14" s="110" t="s">
        <v>314</v>
      </c>
      <c r="G14" s="110" t="s">
        <v>315</v>
      </c>
      <c r="H14" s="110" t="s">
        <v>314</v>
      </c>
      <c r="I14" s="168"/>
      <c r="J14" s="110" t="s">
        <v>318</v>
      </c>
      <c r="K14" s="110" t="s">
        <v>60</v>
      </c>
      <c r="L14" s="110" t="s">
        <v>319</v>
      </c>
      <c r="M14" s="116"/>
      <c r="N14" s="117" t="s">
        <v>352</v>
      </c>
      <c r="O14" s="117" t="s">
        <v>353</v>
      </c>
      <c r="P14" s="117" t="s">
        <v>354</v>
      </c>
    </row>
    <row r="15" spans="2:16" ht="4.5" customHeight="1" x14ac:dyDescent="0.25"/>
    <row r="16" spans="2:16" x14ac:dyDescent="0.25">
      <c r="B16" s="261" t="str">
        <f>'Comps Rel.'!C3</f>
        <v>UltraTech Cem.</v>
      </c>
      <c r="C16" s="261"/>
      <c r="D16" s="262">
        <f>'Comps Rel.'!D3</f>
        <v>11764</v>
      </c>
      <c r="E16" s="262">
        <f>'Comps Rel.'!E3</f>
        <v>29.47</v>
      </c>
      <c r="F16" s="262">
        <f>D16*E16</f>
        <v>346685.07999999996</v>
      </c>
      <c r="G16" s="262">
        <f>'Comps Rel.'!I3</f>
        <v>23541.59</v>
      </c>
      <c r="H16" s="262">
        <f>F16+G16</f>
        <v>370226.67</v>
      </c>
      <c r="I16" s="262"/>
      <c r="J16" s="262">
        <f>'Comps Rel.'!K3</f>
        <v>81724.53</v>
      </c>
      <c r="K16" s="262">
        <f>'Comps Rel.'!N3</f>
        <v>15702.196735035579</v>
      </c>
      <c r="L16" s="262">
        <f>'Comps Rel.'!L3</f>
        <v>7297.12</v>
      </c>
      <c r="M16" s="261"/>
      <c r="N16" s="263">
        <f>$H16/J16</f>
        <v>4.5301780261079507</v>
      </c>
      <c r="O16" s="263">
        <f>$H16/K16</f>
        <v>23.578017537758299</v>
      </c>
      <c r="P16" s="263">
        <f>F16/L16</f>
        <v>47.509850461551949</v>
      </c>
    </row>
    <row r="17" spans="2:17" x14ac:dyDescent="0.25">
      <c r="B17" s="215" t="str">
        <f>'Comps Rel.'!C4</f>
        <v>Grasim Inds</v>
      </c>
      <c r="C17" s="215"/>
      <c r="D17" s="264">
        <f>'Comps Rel.'!D4</f>
        <v>2841.3</v>
      </c>
      <c r="E17" s="264">
        <f>'Comps Rel.'!E4</f>
        <v>68.05</v>
      </c>
      <c r="F17" s="264">
        <f t="shared" ref="F17:F25" si="0">D17*E17</f>
        <v>193350.465</v>
      </c>
      <c r="G17" s="264">
        <f>'Comps Rel.'!I4</f>
        <v>178420.13999999998</v>
      </c>
      <c r="H17" s="264">
        <f t="shared" ref="H17:H25" si="1">F17+G17</f>
        <v>371770.60499999998</v>
      </c>
      <c r="I17" s="264"/>
      <c r="J17" s="264">
        <f>'Comps Rel.'!K4</f>
        <v>153326.53</v>
      </c>
      <c r="K17" s="264">
        <f>'Comps Rel.'!N4</f>
        <v>32216.315424610057</v>
      </c>
      <c r="L17" s="264">
        <f>'Comps Rel.'!L4</f>
        <v>8574.66</v>
      </c>
      <c r="M17" s="215"/>
      <c r="N17" s="265">
        <f t="shared" ref="N17:N25" si="2">$H17/J17</f>
        <v>2.4246984849914752</v>
      </c>
      <c r="O17" s="265">
        <f t="shared" ref="O17:O25" si="3">$H17/K17</f>
        <v>11.539823847018964</v>
      </c>
      <c r="P17" s="265">
        <f t="shared" ref="P17:P25" si="4">F17/L17</f>
        <v>22.549053256922139</v>
      </c>
      <c r="Q17" s="20"/>
    </row>
    <row r="18" spans="2:17" x14ac:dyDescent="0.25">
      <c r="B18" s="215" t="str">
        <f>'Comps Rel.'!C5</f>
        <v>Ambuja Cements</v>
      </c>
      <c r="C18" s="215"/>
      <c r="D18" s="264">
        <f>'Comps Rel.'!D5</f>
        <v>555</v>
      </c>
      <c r="E18" s="264">
        <f>'Comps Rel.'!E5</f>
        <v>247.18</v>
      </c>
      <c r="F18" s="264">
        <f t="shared" si="0"/>
        <v>137184.9</v>
      </c>
      <c r="G18" s="264">
        <f>'Comps Rel.'!I5</f>
        <v>-5383.66</v>
      </c>
      <c r="H18" s="264">
        <f t="shared" si="1"/>
        <v>131801.24</v>
      </c>
      <c r="I18" s="264"/>
      <c r="J18" s="264">
        <f>'Comps Rel.'!K5</f>
        <v>37114.29</v>
      </c>
      <c r="K18" s="264">
        <f>'Comps Rel.'!N5</f>
        <v>9223.4107767669702</v>
      </c>
      <c r="L18" s="264">
        <f>'Comps Rel.'!L5</f>
        <v>5344.88</v>
      </c>
      <c r="M18" s="215"/>
      <c r="N18" s="265">
        <f t="shared" si="2"/>
        <v>3.5512262258014364</v>
      </c>
      <c r="O18" s="265">
        <f t="shared" si="3"/>
        <v>14.289859054309574</v>
      </c>
      <c r="P18" s="265">
        <f t="shared" si="4"/>
        <v>25.666600559788058</v>
      </c>
      <c r="Q18" s="20"/>
    </row>
    <row r="19" spans="2:17" x14ac:dyDescent="0.25">
      <c r="B19" s="215" t="str">
        <f>'Comps Rel.'!C6</f>
        <v>Shree Cement</v>
      </c>
      <c r="C19" s="215"/>
      <c r="D19" s="264">
        <f>'Comps Rel.'!D6</f>
        <v>28705</v>
      </c>
      <c r="E19" s="264">
        <f>'Comps Rel.'!E6</f>
        <v>3.61</v>
      </c>
      <c r="F19" s="264">
        <f>D19*E19</f>
        <v>103625.05</v>
      </c>
      <c r="G19" s="264">
        <f>'Comps Rel.'!I6</f>
        <v>752.55000000000018</v>
      </c>
      <c r="H19" s="264">
        <f t="shared" si="1"/>
        <v>104377.60000000001</v>
      </c>
      <c r="I19" s="264"/>
      <c r="J19" s="264">
        <f>'Comps Rel.'!K6</f>
        <v>19439.75</v>
      </c>
      <c r="K19" s="264">
        <f>'Comps Rel.'!N6</f>
        <v>5025.1608863198453</v>
      </c>
      <c r="L19" s="264">
        <f>'Comps Rel.'!L6</f>
        <v>1489.01</v>
      </c>
      <c r="M19" s="215"/>
      <c r="N19" s="265">
        <f t="shared" si="2"/>
        <v>5.3692871564706337</v>
      </c>
      <c r="O19" s="265">
        <f t="shared" si="3"/>
        <v>20.770996662843263</v>
      </c>
      <c r="P19" s="265">
        <f t="shared" si="4"/>
        <v>69.593253235371151</v>
      </c>
    </row>
    <row r="20" spans="2:17" x14ac:dyDescent="0.25">
      <c r="B20" s="215" t="str">
        <f>'Comps Rel.'!C7</f>
        <v>J K Cements</v>
      </c>
      <c r="C20" s="215"/>
      <c r="D20" s="264">
        <f>'Comps Rel.'!D7</f>
        <v>6257.5</v>
      </c>
      <c r="E20" s="264">
        <f>'Comps Rel.'!E7</f>
        <v>7.73</v>
      </c>
      <c r="F20" s="264">
        <f t="shared" si="0"/>
        <v>48370.475000000006</v>
      </c>
      <c r="G20" s="264">
        <f>'Comps Rel.'!I7</f>
        <v>4658.5599999999995</v>
      </c>
      <c r="H20" s="264">
        <f t="shared" si="1"/>
        <v>53029.035000000003</v>
      </c>
      <c r="I20" s="264"/>
      <c r="J20" s="264">
        <f>'Comps Rel.'!K7</f>
        <v>12424.11</v>
      </c>
      <c r="K20" s="264">
        <f>'Comps Rel.'!N7</f>
        <v>2413.896630236794</v>
      </c>
      <c r="L20" s="264">
        <f>'Comps Rel.'!L7</f>
        <v>1011.6</v>
      </c>
      <c r="M20" s="215"/>
      <c r="N20" s="265">
        <f t="shared" si="2"/>
        <v>4.268236115102007</v>
      </c>
      <c r="O20" s="265">
        <f t="shared" si="3"/>
        <v>21.968229432756637</v>
      </c>
      <c r="P20" s="265">
        <f t="shared" si="4"/>
        <v>47.815811585606966</v>
      </c>
    </row>
    <row r="21" spans="2:17" x14ac:dyDescent="0.25">
      <c r="B21" s="215" t="str">
        <f>'Comps Rel.'!C8</f>
        <v>Dalmia BharatLtd</v>
      </c>
      <c r="C21" s="215"/>
      <c r="D21" s="264">
        <f>'Comps Rel.'!D8</f>
        <v>2098.4</v>
      </c>
      <c r="E21" s="264">
        <f>'Comps Rel.'!E8</f>
        <v>18.760000000000002</v>
      </c>
      <c r="F21" s="264">
        <f t="shared" si="0"/>
        <v>39365.984000000004</v>
      </c>
      <c r="G21" s="264">
        <f>'Comps Rel.'!I8</f>
        <v>5544</v>
      </c>
      <c r="H21" s="264">
        <f t="shared" si="1"/>
        <v>44909.984000000004</v>
      </c>
      <c r="I21" s="264"/>
      <c r="J21" s="264">
        <f>'Comps Rel.'!K8</f>
        <v>14325</v>
      </c>
      <c r="K21" s="264">
        <f>'Comps Rel.'!N8</f>
        <v>3126.9268802228412</v>
      </c>
      <c r="L21" s="264">
        <f>'Comps Rel.'!L8</f>
        <v>1139</v>
      </c>
      <c r="M21" s="215"/>
      <c r="N21" s="265">
        <f t="shared" si="2"/>
        <v>3.1350774171029672</v>
      </c>
      <c r="O21" s="265">
        <f t="shared" si="3"/>
        <v>14.362339037745418</v>
      </c>
      <c r="P21" s="265">
        <f t="shared" si="4"/>
        <v>34.561882352941183</v>
      </c>
    </row>
    <row r="22" spans="2:17" x14ac:dyDescent="0.25">
      <c r="B22" s="215" t="str">
        <f>'Comps Rel.'!C9</f>
        <v>ACC</v>
      </c>
      <c r="C22" s="215"/>
      <c r="D22" s="264">
        <f>'Comps Rel.'!D9</f>
        <v>1850.1</v>
      </c>
      <c r="E22" s="264">
        <f>'Comps Rel.'!E9</f>
        <v>18.78</v>
      </c>
      <c r="F22" s="264">
        <f t="shared" si="0"/>
        <v>34744.877999999997</v>
      </c>
      <c r="G22" s="264">
        <f>'Comps Rel.'!I9</f>
        <v>-1219.5</v>
      </c>
      <c r="H22" s="264">
        <f t="shared" si="1"/>
        <v>33525.377999999997</v>
      </c>
      <c r="I22" s="264"/>
      <c r="J22" s="264">
        <f>'Comps Rel.'!K9</f>
        <v>22742.68</v>
      </c>
      <c r="K22" s="264">
        <f>'Comps Rel.'!N9</f>
        <v>4232.704545454545</v>
      </c>
      <c r="L22" s="264">
        <f>'Comps Rel.'!L9</f>
        <v>2417.9499999999998</v>
      </c>
      <c r="M22" s="215"/>
      <c r="N22" s="265">
        <f t="shared" si="2"/>
        <v>1.4741172984010678</v>
      </c>
      <c r="O22" s="265">
        <f t="shared" si="3"/>
        <v>7.9205570906201173</v>
      </c>
      <c r="P22" s="265">
        <f t="shared" si="4"/>
        <v>14.369560164602246</v>
      </c>
    </row>
    <row r="23" spans="2:17" x14ac:dyDescent="0.25">
      <c r="B23" s="215" t="str">
        <f>'Comps Rel.'!C10</f>
        <v>The Ramco Cement</v>
      </c>
      <c r="C23" s="215"/>
      <c r="D23" s="264">
        <f>'Comps Rel.'!D10</f>
        <v>1046.8</v>
      </c>
      <c r="E23" s="264">
        <f>'Comps Rel.'!E10</f>
        <v>23.63</v>
      </c>
      <c r="F23" s="264">
        <f t="shared" si="0"/>
        <v>24735.883999999998</v>
      </c>
      <c r="G23" s="264">
        <f>'Comps Rel.'!I10</f>
        <v>4465.46</v>
      </c>
      <c r="H23" s="264">
        <f t="shared" si="1"/>
        <v>29201.343999999997</v>
      </c>
      <c r="I23" s="264"/>
      <c r="J23" s="264">
        <f>'Comps Rel.'!K10</f>
        <v>8498.8700000000008</v>
      </c>
      <c r="K23" s="264">
        <f>'Comps Rel.'!N10</f>
        <v>1348.75519630485</v>
      </c>
      <c r="L23" s="264">
        <f>'Comps Rel.'!L10</f>
        <v>317.56</v>
      </c>
      <c r="M23" s="215"/>
      <c r="N23" s="265">
        <f t="shared" si="2"/>
        <v>3.4359090090800302</v>
      </c>
      <c r="O23" s="265">
        <f t="shared" si="3"/>
        <v>21.650588690966433</v>
      </c>
      <c r="P23" s="265">
        <f t="shared" si="4"/>
        <v>77.893576017130613</v>
      </c>
    </row>
    <row r="24" spans="2:17" x14ac:dyDescent="0.25">
      <c r="B24" s="215" t="str">
        <f>'Comps Rel.'!C11</f>
        <v>JSW Cement</v>
      </c>
      <c r="C24" s="215"/>
      <c r="D24" s="264">
        <f>'Comps Rel.'!D11</f>
        <v>135.27000000000001</v>
      </c>
      <c r="E24" s="264">
        <f>'Comps Rel.'!E11</f>
        <v>136.34</v>
      </c>
      <c r="F24" s="264">
        <f t="shared" si="0"/>
        <v>18442.711800000001</v>
      </c>
      <c r="G24" s="264">
        <f>'Comps Rel.'!I11</f>
        <v>6439.0099999999993</v>
      </c>
      <c r="H24" s="264">
        <f t="shared" si="1"/>
        <v>24881.721799999999</v>
      </c>
      <c r="I24" s="264"/>
      <c r="J24" s="264">
        <f>'Comps Rel.'!K11</f>
        <v>5785.29</v>
      </c>
      <c r="K24" s="264">
        <f>'Comps Rel.'!N11</f>
        <v>718.28088914549653</v>
      </c>
      <c r="L24" s="264">
        <f>'Comps Rel.'!L11</f>
        <v>-163.77000000000001</v>
      </c>
      <c r="M24" s="215"/>
      <c r="N24" s="265">
        <f t="shared" si="2"/>
        <v>4.3008599050350114</v>
      </c>
      <c r="O24" s="265">
        <f t="shared" si="3"/>
        <v>34.64065684609897</v>
      </c>
      <c r="P24" s="265">
        <f>F24/L24</f>
        <v>-112.61349331379374</v>
      </c>
    </row>
    <row r="25" spans="2:17" x14ac:dyDescent="0.25">
      <c r="B25" s="215" t="str">
        <f>'Comps Rel.'!C12</f>
        <v>Nuvoco Vistas</v>
      </c>
      <c r="C25" s="215"/>
      <c r="D25" s="264">
        <f>'Comps Rel.'!D12</f>
        <v>414.9</v>
      </c>
      <c r="E25" s="264">
        <f>'Comps Rel.'!E12</f>
        <v>35.72</v>
      </c>
      <c r="F25" s="264">
        <f t="shared" si="0"/>
        <v>14820.227999999999</v>
      </c>
      <c r="G25" s="264">
        <f>'Comps Rel.'!I12</f>
        <v>5621.42</v>
      </c>
      <c r="H25" s="264">
        <f t="shared" si="1"/>
        <v>20441.648000000001</v>
      </c>
      <c r="I25" s="264"/>
      <c r="J25" s="264">
        <f>'Comps Rel.'!K12</f>
        <v>10781.88</v>
      </c>
      <c r="K25" s="264">
        <f>'Comps Rel.'!N12</f>
        <v>1718.2089300758214</v>
      </c>
      <c r="L25" s="264">
        <f>'Comps Rel.'!L12</f>
        <v>273.76</v>
      </c>
      <c r="M25" s="215"/>
      <c r="N25" s="265">
        <f t="shared" si="2"/>
        <v>1.8959261279109025</v>
      </c>
      <c r="O25" s="265">
        <f t="shared" si="3"/>
        <v>11.897067721035501</v>
      </c>
      <c r="P25" s="265">
        <f t="shared" si="4"/>
        <v>54.135841613091756</v>
      </c>
    </row>
    <row r="26" spans="2:17" ht="4.5" customHeight="1" x14ac:dyDescent="0.25"/>
    <row r="27" spans="2:17" x14ac:dyDescent="0.25">
      <c r="B27" s="125" t="s">
        <v>355</v>
      </c>
      <c r="C27" s="125"/>
      <c r="D27" s="125"/>
      <c r="E27" s="125"/>
      <c r="F27" s="125"/>
      <c r="G27" s="125"/>
      <c r="H27" s="125"/>
      <c r="I27" s="125"/>
      <c r="J27" s="125"/>
      <c r="K27" s="125"/>
      <c r="L27" s="125"/>
      <c r="M27" s="125"/>
      <c r="N27" s="170">
        <f>MAX(N16:N25)</f>
        <v>5.3692871564706337</v>
      </c>
      <c r="O27" s="170">
        <f t="shared" ref="O27:P27" si="5">MAX(O16:O25)</f>
        <v>34.64065684609897</v>
      </c>
      <c r="P27" s="170">
        <f t="shared" si="5"/>
        <v>77.893576017130613</v>
      </c>
    </row>
    <row r="28" spans="2:17" x14ac:dyDescent="0.25">
      <c r="B28" s="125" t="s">
        <v>356</v>
      </c>
      <c r="C28" s="125"/>
      <c r="D28" s="125"/>
      <c r="E28" s="125"/>
      <c r="F28" s="125"/>
      <c r="G28" s="125"/>
      <c r="H28" s="125"/>
      <c r="I28" s="125"/>
      <c r="J28" s="125"/>
      <c r="K28" s="125"/>
      <c r="L28" s="125"/>
      <c r="M28" s="125"/>
      <c r="N28" s="170">
        <f>QUARTILE(N16:N25,3)</f>
        <v>4.29270395755176</v>
      </c>
      <c r="O28" s="170">
        <f t="shared" ref="O28:P28" si="6">QUARTILE(O16:O25,3)</f>
        <v>21.888819247309087</v>
      </c>
      <c r="P28" s="170">
        <f t="shared" si="6"/>
        <v>52.555834106220559</v>
      </c>
    </row>
    <row r="29" spans="2:17" x14ac:dyDescent="0.25">
      <c r="B29" s="125" t="s">
        <v>195</v>
      </c>
      <c r="C29" s="125"/>
      <c r="D29" s="125"/>
      <c r="E29" s="125"/>
      <c r="F29" s="125"/>
      <c r="G29" s="125"/>
      <c r="H29" s="125"/>
      <c r="I29" s="125"/>
      <c r="J29" s="125"/>
      <c r="K29" s="125"/>
      <c r="L29" s="125"/>
      <c r="M29" s="125"/>
      <c r="N29" s="169">
        <f>AVERAGE(N16:N25)</f>
        <v>3.4385515766003487</v>
      </c>
      <c r="O29" s="169">
        <f t="shared" ref="O29:P29" si="7">AVERAGE(O16:O25)</f>
        <v>18.26181359211532</v>
      </c>
      <c r="P29" s="169">
        <f t="shared" si="7"/>
        <v>28.148193593321231</v>
      </c>
    </row>
    <row r="30" spans="2:17" x14ac:dyDescent="0.25">
      <c r="B30" s="125" t="s">
        <v>196</v>
      </c>
      <c r="C30" s="125"/>
      <c r="D30" s="125"/>
      <c r="E30" s="125"/>
      <c r="F30" s="125"/>
      <c r="G30" s="125"/>
      <c r="H30" s="125"/>
      <c r="I30" s="125"/>
      <c r="J30" s="125"/>
      <c r="K30" s="125"/>
      <c r="L30" s="125"/>
      <c r="M30" s="125"/>
      <c r="N30" s="169">
        <f>MEDIAN(N16:N25)</f>
        <v>3.4935676174407333</v>
      </c>
      <c r="O30" s="169">
        <f t="shared" ref="O30:P30" si="8">MEDIAN(O16:O25)</f>
        <v>17.566667850294341</v>
      </c>
      <c r="P30" s="169">
        <f t="shared" si="8"/>
        <v>41.035866407246566</v>
      </c>
    </row>
    <row r="31" spans="2:17" x14ac:dyDescent="0.25">
      <c r="B31" s="125" t="s">
        <v>357</v>
      </c>
      <c r="C31" s="125"/>
      <c r="D31" s="125"/>
      <c r="E31" s="125"/>
      <c r="F31" s="125"/>
      <c r="G31" s="125"/>
      <c r="H31" s="125"/>
      <c r="I31" s="125"/>
      <c r="J31" s="125"/>
      <c r="K31" s="125"/>
      <c r="L31" s="125"/>
      <c r="M31" s="125"/>
      <c r="N31" s="170">
        <f>QUARTILE(N16:N25,1)</f>
        <v>2.6022932180193483</v>
      </c>
      <c r="O31" s="170">
        <f t="shared" ref="O31:P31" si="9">QUARTILE(O16:O25,1)</f>
        <v>12.49526555435402</v>
      </c>
      <c r="P31" s="170">
        <f t="shared" si="9"/>
        <v>23.328440082638618</v>
      </c>
    </row>
    <row r="32" spans="2:17" x14ac:dyDescent="0.25">
      <c r="B32" s="125" t="s">
        <v>358</v>
      </c>
      <c r="C32" s="125"/>
      <c r="D32" s="125"/>
      <c r="E32" s="125"/>
      <c r="F32" s="125"/>
      <c r="G32" s="125"/>
      <c r="H32" s="125"/>
      <c r="I32" s="125"/>
      <c r="J32" s="125"/>
      <c r="K32" s="125"/>
      <c r="L32" s="125"/>
      <c r="M32" s="125"/>
      <c r="N32" s="170">
        <f>MIN(N16:N25)</f>
        <v>1.4741172984010678</v>
      </c>
      <c r="O32" s="170">
        <f t="shared" ref="O32:P32" si="10">MIN(O16:O25)</f>
        <v>7.9205570906201173</v>
      </c>
      <c r="P32" s="170">
        <f t="shared" si="10"/>
        <v>-112.61349331379374</v>
      </c>
    </row>
    <row r="34" spans="2:16" x14ac:dyDescent="0.25">
      <c r="B34" s="117" t="s">
        <v>372</v>
      </c>
      <c r="C34" s="116"/>
      <c r="D34" s="116"/>
      <c r="E34" s="116"/>
      <c r="F34" s="116"/>
      <c r="G34" s="116"/>
      <c r="H34" s="116"/>
      <c r="I34" s="116"/>
      <c r="J34" s="116"/>
      <c r="K34" s="116"/>
      <c r="L34" s="116"/>
      <c r="M34" s="116"/>
      <c r="N34" s="117" t="str">
        <f>N14</f>
        <v>EV/Revenue</v>
      </c>
      <c r="O34" s="117" t="str">
        <f t="shared" ref="O34:P34" si="11">O14</f>
        <v>EV/EBITDA</v>
      </c>
      <c r="P34" s="117" t="str">
        <f t="shared" si="11"/>
        <v>P/E Ratio</v>
      </c>
    </row>
    <row r="35" spans="2:16" ht="4.5" customHeight="1" x14ac:dyDescent="0.25"/>
    <row r="36" spans="2:16" x14ac:dyDescent="0.25">
      <c r="B36" t="s">
        <v>359</v>
      </c>
      <c r="N36" s="162">
        <f>N30*J16</f>
        <v>285510.17155856371</v>
      </c>
      <c r="O36" s="162">
        <f>O30*K16</f>
        <v>275835.27456434624</v>
      </c>
      <c r="P36" s="162">
        <f>P38+P37</f>
        <v>322985.23147764709</v>
      </c>
    </row>
    <row r="37" spans="2:16" x14ac:dyDescent="0.25">
      <c r="B37" t="s">
        <v>315</v>
      </c>
      <c r="N37" s="162">
        <f>$G$16</f>
        <v>23541.59</v>
      </c>
      <c r="O37" s="162">
        <f>$G$16</f>
        <v>23541.59</v>
      </c>
      <c r="P37" s="162">
        <f t="shared" ref="P37" si="12">$G$16</f>
        <v>23541.59</v>
      </c>
    </row>
    <row r="38" spans="2:16" x14ac:dyDescent="0.25">
      <c r="B38" t="s">
        <v>360</v>
      </c>
      <c r="N38" s="162">
        <f>N36-N37</f>
        <v>261968.58155856372</v>
      </c>
      <c r="O38" s="162">
        <f>O36-O37</f>
        <v>252293.68456434624</v>
      </c>
      <c r="P38" s="162">
        <f>P30*L16</f>
        <v>299443.64147764706</v>
      </c>
    </row>
    <row r="39" spans="2:16" x14ac:dyDescent="0.25">
      <c r="B39" t="s">
        <v>361</v>
      </c>
      <c r="N39" s="165">
        <f>$E$16</f>
        <v>29.47</v>
      </c>
      <c r="O39" s="165">
        <f t="shared" ref="O39:P39" si="13">$E$16</f>
        <v>29.47</v>
      </c>
      <c r="P39" s="165">
        <f t="shared" si="13"/>
        <v>29.47</v>
      </c>
    </row>
    <row r="40" spans="2:16" ht="4.5" customHeight="1" x14ac:dyDescent="0.25"/>
    <row r="41" spans="2:16" x14ac:dyDescent="0.25">
      <c r="B41" s="171" t="s">
        <v>362</v>
      </c>
      <c r="C41" s="171"/>
      <c r="D41" s="171"/>
      <c r="E41" s="171"/>
      <c r="F41" s="171"/>
      <c r="G41" s="171"/>
      <c r="H41" s="171"/>
      <c r="I41" s="171"/>
      <c r="J41" s="171"/>
      <c r="K41" s="171"/>
      <c r="L41" s="171"/>
      <c r="M41" s="171"/>
      <c r="N41" s="172">
        <f>N38/N39</f>
        <v>8889.3308978134955</v>
      </c>
      <c r="O41" s="172">
        <f t="shared" ref="O41:P41" si="14">O38/O39</f>
        <v>8561.0344270222686</v>
      </c>
      <c r="P41" s="172">
        <f t="shared" si="14"/>
        <v>10160.965099343301</v>
      </c>
    </row>
    <row r="42" spans="2:16" s="15" customFormat="1" ht="4.5" customHeight="1" x14ac:dyDescent="0.25">
      <c r="B42" s="175"/>
      <c r="C42" s="175"/>
      <c r="D42" s="175"/>
      <c r="E42" s="175"/>
      <c r="F42" s="175"/>
      <c r="G42" s="175"/>
      <c r="H42" s="175"/>
      <c r="I42" s="175"/>
      <c r="J42" s="175"/>
      <c r="K42" s="175"/>
      <c r="L42" s="175"/>
      <c r="M42" s="175"/>
      <c r="N42" s="176"/>
      <c r="O42" s="176"/>
      <c r="P42" s="176"/>
    </row>
    <row r="43" spans="2:16" x14ac:dyDescent="0.25">
      <c r="B43" s="9" t="s">
        <v>363</v>
      </c>
      <c r="N43" s="37" t="str">
        <f>IF(N41&gt;$D$16,"Undervalued","Overvalued")</f>
        <v>Overvalued</v>
      </c>
      <c r="O43" s="37" t="str">
        <f>IF(O41&gt;$D$16,"Undervalued","Overvalued")</f>
        <v>Overvalued</v>
      </c>
      <c r="P43" s="37" t="str">
        <f>IF(P41&gt;$D$16,"Undervalued","Overvalued")</f>
        <v>Overvalued</v>
      </c>
    </row>
  </sheetData>
  <mergeCells count="3">
    <mergeCell ref="D12:H12"/>
    <mergeCell ref="J12:L12"/>
    <mergeCell ref="N12:P12"/>
  </mergeCells>
  <pageMargins left="0.7" right="0.7" top="0.75" bottom="0.75" header="0.3" footer="0.3"/>
  <pageSetup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20F06-B9CD-40D6-BC21-1E18D0C63879}">
  <dimension ref="B2:U17"/>
  <sheetViews>
    <sheetView showGridLines="0" zoomScale="80" zoomScaleNormal="80" workbookViewId="0">
      <selection activeCell="Q20" sqref="Q20"/>
    </sheetView>
  </sheetViews>
  <sheetFormatPr defaultRowHeight="15" x14ac:dyDescent="0.25"/>
  <cols>
    <col min="1" max="1" width="1.85546875" customWidth="1"/>
    <col min="17" max="17" width="18.5703125" customWidth="1"/>
    <col min="18" max="21" width="10.7109375" customWidth="1"/>
  </cols>
  <sheetData>
    <row r="2" spans="2:21" x14ac:dyDescent="0.25">
      <c r="B2" s="296"/>
      <c r="C2" s="296"/>
      <c r="D2" s="296"/>
      <c r="E2" s="296"/>
      <c r="F2" s="296"/>
      <c r="G2" s="296"/>
      <c r="H2" s="296"/>
      <c r="I2" s="296"/>
      <c r="J2" s="296"/>
      <c r="K2" s="296"/>
      <c r="L2" s="296"/>
      <c r="M2" s="296"/>
      <c r="N2" s="296"/>
      <c r="O2" s="296"/>
      <c r="P2" s="296"/>
      <c r="Q2" s="296"/>
      <c r="R2" s="296"/>
      <c r="S2" s="296"/>
      <c r="T2" s="296"/>
      <c r="U2" s="296"/>
    </row>
    <row r="8" spans="2:21" x14ac:dyDescent="0.25">
      <c r="B8" s="52"/>
      <c r="C8" s="52"/>
      <c r="D8" s="52"/>
      <c r="E8" s="52"/>
      <c r="F8" s="52"/>
      <c r="G8" s="52"/>
      <c r="H8" s="52"/>
      <c r="I8" s="52"/>
      <c r="J8" s="52"/>
      <c r="K8" s="52"/>
      <c r="L8" s="52"/>
      <c r="M8" s="52"/>
      <c r="N8" s="52"/>
      <c r="O8" s="52"/>
      <c r="P8" s="52"/>
      <c r="Q8" s="52"/>
      <c r="R8" s="52"/>
      <c r="S8" s="52"/>
      <c r="T8" s="52"/>
      <c r="U8" s="52"/>
    </row>
    <row r="9" spans="2:21" x14ac:dyDescent="0.25">
      <c r="Q9" s="117" t="s">
        <v>373</v>
      </c>
      <c r="R9" s="117"/>
      <c r="S9" s="117"/>
      <c r="T9" s="117"/>
      <c r="U9" s="117"/>
    </row>
    <row r="10" spans="2:21" x14ac:dyDescent="0.25">
      <c r="R10" s="187" t="s">
        <v>379</v>
      </c>
      <c r="S10" s="187" t="s">
        <v>358</v>
      </c>
      <c r="T10" s="187" t="s">
        <v>380</v>
      </c>
      <c r="U10" s="187" t="s">
        <v>355</v>
      </c>
    </row>
    <row r="11" spans="2:21" x14ac:dyDescent="0.25">
      <c r="Q11" s="19" t="s">
        <v>374</v>
      </c>
      <c r="R11" s="66">
        <f>'Relative_Val.'!$O$41</f>
        <v>8561.0344270222686</v>
      </c>
      <c r="S11" s="66">
        <f>'Relative_Val.'!$O$41</f>
        <v>8561.0344270222686</v>
      </c>
      <c r="T11" s="66">
        <f>'Relative_Val.'!$P$41</f>
        <v>10160.965099343301</v>
      </c>
      <c r="U11" s="66">
        <f>'Relative_Val.'!$P$41</f>
        <v>10160.965099343301</v>
      </c>
    </row>
    <row r="12" spans="2:21" x14ac:dyDescent="0.25">
      <c r="Q12" s="19" t="s">
        <v>375</v>
      </c>
      <c r="R12" s="66">
        <f>DCF!K26</f>
        <v>871.55785152257715</v>
      </c>
      <c r="S12" s="66">
        <f>DCF!K26</f>
        <v>871.55785152257715</v>
      </c>
      <c r="T12" s="66">
        <f>DCF!K30</f>
        <v>1511.830168059229</v>
      </c>
      <c r="U12" s="66">
        <f>DCF!K30</f>
        <v>1511.830168059229</v>
      </c>
    </row>
    <row r="13" spans="2:21" x14ac:dyDescent="0.25">
      <c r="Q13" s="19" t="s">
        <v>376</v>
      </c>
      <c r="R13" s="66">
        <f>DCF!I26</f>
        <v>1084.981957034794</v>
      </c>
      <c r="S13" s="66">
        <f>DCF!I26</f>
        <v>1084.981957034794</v>
      </c>
      <c r="T13" s="66">
        <f>DCF!I30</f>
        <v>2792.3748011325315</v>
      </c>
      <c r="U13" s="66">
        <f>DCF!I30</f>
        <v>2792.3748011325315</v>
      </c>
    </row>
    <row r="14" spans="2:21" x14ac:dyDescent="0.25">
      <c r="Q14" s="19" t="s">
        <v>377</v>
      </c>
      <c r="R14" s="66">
        <f>DCF!H26</f>
        <v>1255.7212414445682</v>
      </c>
      <c r="S14" s="66">
        <f>DCF!H26</f>
        <v>1255.7212414445682</v>
      </c>
      <c r="T14" s="66">
        <f>DCF!H30</f>
        <v>5353.4640672791411</v>
      </c>
      <c r="U14" s="66">
        <f>DCF!H30</f>
        <v>5353.4640672791411</v>
      </c>
    </row>
    <row r="15" spans="2:21" x14ac:dyDescent="0.25">
      <c r="Q15" s="19" t="s">
        <v>378</v>
      </c>
      <c r="R15" s="66">
        <f>S15</f>
        <v>10048</v>
      </c>
      <c r="S15" s="66">
        <v>10048</v>
      </c>
      <c r="T15" s="66">
        <v>13102</v>
      </c>
      <c r="U15" s="66">
        <f>T15</f>
        <v>13102</v>
      </c>
    </row>
    <row r="16" spans="2:21" x14ac:dyDescent="0.25">
      <c r="Q16" s="19" t="s">
        <v>1742</v>
      </c>
      <c r="R16" s="66">
        <v>6660</v>
      </c>
      <c r="S16" s="66">
        <v>6660</v>
      </c>
      <c r="T16" s="66">
        <v>9856</v>
      </c>
      <c r="U16" s="66">
        <v>9856</v>
      </c>
    </row>
    <row r="17" spans="17:21" x14ac:dyDescent="0.25">
      <c r="Q17" s="19" t="s">
        <v>390</v>
      </c>
      <c r="R17" s="66">
        <f>DCF!$E$49</f>
        <v>11937</v>
      </c>
      <c r="S17" s="66">
        <f>DCF!$E$49</f>
        <v>11937</v>
      </c>
      <c r="T17" s="66">
        <f>DCF!$E$49</f>
        <v>11937</v>
      </c>
      <c r="U17" s="66">
        <f>DCF!$E$49</f>
        <v>11937</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13A53-2BAD-4AC1-87D5-076EDE0FFE68}">
  <sheetPr>
    <pageSetUpPr fitToPage="1"/>
  </sheetPr>
  <dimension ref="B2:N1123"/>
  <sheetViews>
    <sheetView showGridLines="0" zoomScale="80" zoomScaleNormal="80" workbookViewId="0">
      <selection activeCell="E1" sqref="E1"/>
    </sheetView>
  </sheetViews>
  <sheetFormatPr defaultRowHeight="15" x14ac:dyDescent="0.25"/>
  <cols>
    <col min="1" max="1" width="1.85546875" customWidth="1"/>
    <col min="2" max="2" width="11.42578125" customWidth="1"/>
    <col min="3" max="3" width="13.140625" customWidth="1"/>
    <col min="4" max="4" width="11.42578125" customWidth="1"/>
    <col min="5" max="5" width="15.5703125" customWidth="1"/>
    <col min="6" max="6" width="1.140625" customWidth="1"/>
    <col min="7" max="7" width="16.140625" customWidth="1"/>
    <col min="8" max="8" width="21.5703125" customWidth="1"/>
    <col min="9" max="9" width="1.140625" customWidth="1"/>
    <col min="10" max="16" width="12.7109375" customWidth="1"/>
  </cols>
  <sheetData>
    <row r="2" spans="2:14" x14ac:dyDescent="0.25">
      <c r="B2" s="152"/>
      <c r="C2" s="152"/>
      <c r="D2" s="152"/>
      <c r="E2" s="152"/>
      <c r="F2" s="152"/>
      <c r="G2" s="152"/>
      <c r="H2" s="152"/>
      <c r="I2" s="152"/>
      <c r="J2" s="152"/>
      <c r="K2" s="152"/>
      <c r="L2" s="152"/>
      <c r="M2" s="152"/>
      <c r="N2" s="152"/>
    </row>
    <row r="7" spans="2:14" x14ac:dyDescent="0.25">
      <c r="B7" s="198"/>
      <c r="C7" s="198"/>
      <c r="D7" s="198"/>
      <c r="E7" s="198"/>
      <c r="F7" s="198"/>
      <c r="G7" s="198"/>
      <c r="H7" s="198"/>
      <c r="I7" s="198"/>
      <c r="J7" s="198"/>
      <c r="K7" s="198"/>
      <c r="L7" s="198"/>
      <c r="M7" s="198"/>
      <c r="N7" s="198"/>
    </row>
    <row r="9" spans="2:14" x14ac:dyDescent="0.25">
      <c r="B9" s="53" t="s">
        <v>1738</v>
      </c>
      <c r="C9" s="51"/>
      <c r="D9" s="51"/>
      <c r="E9" s="51"/>
      <c r="F9" s="51"/>
      <c r="G9" s="51"/>
      <c r="H9" s="51"/>
      <c r="I9" s="51"/>
      <c r="J9" s="51"/>
      <c r="K9" s="51"/>
      <c r="L9" s="51"/>
      <c r="M9" s="51"/>
      <c r="N9" s="51"/>
    </row>
    <row r="11" spans="2:14" x14ac:dyDescent="0.25">
      <c r="B11" s="91" t="s">
        <v>148</v>
      </c>
      <c r="C11" s="110" t="s">
        <v>308</v>
      </c>
      <c r="D11" s="110" t="s">
        <v>383</v>
      </c>
      <c r="E11" s="110" t="s">
        <v>384</v>
      </c>
      <c r="F11" s="110"/>
      <c r="G11" s="110" t="s">
        <v>392</v>
      </c>
      <c r="H11" s="110" t="s">
        <v>393</v>
      </c>
      <c r="I11" s="110"/>
      <c r="J11" s="322" t="s">
        <v>385</v>
      </c>
      <c r="K11" s="322"/>
      <c r="L11" s="322"/>
      <c r="M11" s="322"/>
      <c r="N11" s="322"/>
    </row>
    <row r="12" spans="2:14" x14ac:dyDescent="0.25">
      <c r="B12" s="67">
        <v>39726</v>
      </c>
      <c r="C12">
        <v>447.45</v>
      </c>
      <c r="D12" s="186">
        <f t="shared" ref="D12:D75" si="0">(C12-C13)/C13</f>
        <v>-0.3841442433418209</v>
      </c>
      <c r="E12" s="186">
        <v>0.19623045047453541</v>
      </c>
      <c r="G12">
        <v>1</v>
      </c>
      <c r="H12" s="186">
        <f ca="1">_xlfn.NORM.INV(RAND(),N$14,N$15)</f>
        <v>1.8844510950175218E-2</v>
      </c>
    </row>
    <row r="13" spans="2:14" x14ac:dyDescent="0.25">
      <c r="B13" s="67">
        <v>38907</v>
      </c>
      <c r="C13">
        <v>726.55</v>
      </c>
      <c r="D13" s="186">
        <f t="shared" si="0"/>
        <v>0.40640727835849771</v>
      </c>
      <c r="E13" s="186">
        <v>0.15462852602304322</v>
      </c>
      <c r="G13">
        <v>2</v>
      </c>
      <c r="H13" s="186">
        <f t="shared" ref="H13:H76" ca="1" si="1">_xlfn.NORM.INV(RAND(),N$14,N$15)</f>
        <v>-4.7747799750442799E-2</v>
      </c>
      <c r="J13" s="53" t="s">
        <v>394</v>
      </c>
      <c r="K13" s="51"/>
      <c r="L13" s="51"/>
      <c r="M13" s="51"/>
      <c r="N13" s="51"/>
    </row>
    <row r="14" spans="2:14" x14ac:dyDescent="0.25">
      <c r="B14" s="67">
        <v>39719</v>
      </c>
      <c r="C14">
        <v>516.6</v>
      </c>
      <c r="D14" s="186">
        <f t="shared" si="0"/>
        <v>-0.85545000489668011</v>
      </c>
      <c r="E14" s="186">
        <v>0.15454240697284621</v>
      </c>
      <c r="G14">
        <v>3</v>
      </c>
      <c r="H14" s="186">
        <f t="shared" ca="1" si="1"/>
        <v>9.4668687079941024E-3</v>
      </c>
      <c r="J14" s="213" t="s">
        <v>386</v>
      </c>
      <c r="K14" s="213"/>
      <c r="L14" s="213"/>
      <c r="M14" s="213"/>
      <c r="N14" s="266">
        <f>AVERAGE(E12:E1123)</f>
        <v>-2.5578950264895824E-3</v>
      </c>
    </row>
    <row r="15" spans="2:14" x14ac:dyDescent="0.25">
      <c r="B15" s="67">
        <v>43905</v>
      </c>
      <c r="C15" s="66">
        <v>3573.85</v>
      </c>
      <c r="D15" s="186">
        <f t="shared" si="0"/>
        <v>2.4465017599691397</v>
      </c>
      <c r="E15" s="186">
        <v>0.13686537727446241</v>
      </c>
      <c r="G15">
        <v>4</v>
      </c>
      <c r="H15" s="186">
        <f t="shared" ca="1" si="1"/>
        <v>-1.8327527628060045E-2</v>
      </c>
      <c r="J15" s="215" t="s">
        <v>387</v>
      </c>
      <c r="K15" s="215"/>
      <c r="L15" s="215"/>
      <c r="M15" s="215"/>
      <c r="N15" s="267">
        <f>_xlfn.STDEV.S(E12:E1123)</f>
        <v>4.1483832323394761E-2</v>
      </c>
    </row>
    <row r="16" spans="2:14" x14ac:dyDescent="0.25">
      <c r="B16" s="67">
        <v>40188</v>
      </c>
      <c r="C16" s="66">
        <v>1036.95</v>
      </c>
      <c r="D16" s="186">
        <f t="shared" si="0"/>
        <v>0.17534712383111367</v>
      </c>
      <c r="E16" s="186">
        <v>0.13619678956883807</v>
      </c>
      <c r="G16">
        <v>5</v>
      </c>
      <c r="H16" s="186">
        <f t="shared" ca="1" si="1"/>
        <v>1.7389019894432749E-2</v>
      </c>
      <c r="J16" s="215" t="s">
        <v>388</v>
      </c>
      <c r="K16" s="215"/>
      <c r="L16" s="215"/>
      <c r="M16" s="215"/>
      <c r="N16" s="267">
        <f>MIN(E12:E1123)</f>
        <v>-0.17212858926342067</v>
      </c>
    </row>
    <row r="17" spans="2:14" x14ac:dyDescent="0.25">
      <c r="B17" s="67">
        <v>39138</v>
      </c>
      <c r="C17">
        <v>882.25</v>
      </c>
      <c r="D17" s="186">
        <f t="shared" si="0"/>
        <v>-0.10748609003540718</v>
      </c>
      <c r="E17" s="186">
        <v>0.13159751170396977</v>
      </c>
      <c r="G17">
        <v>6</v>
      </c>
      <c r="H17" s="186">
        <f t="shared" ca="1" si="1"/>
        <v>3.2107556112526942E-2</v>
      </c>
      <c r="J17" s="215" t="s">
        <v>389</v>
      </c>
      <c r="K17" s="215"/>
      <c r="L17" s="215"/>
      <c r="M17" s="215"/>
      <c r="N17" s="267">
        <f>MAX(E12:E1123)</f>
        <v>0.19623045047453541</v>
      </c>
    </row>
    <row r="18" spans="2:14" x14ac:dyDescent="0.25">
      <c r="B18" s="67">
        <v>39278</v>
      </c>
      <c r="C18">
        <v>988.5</v>
      </c>
      <c r="D18" s="186">
        <f t="shared" si="0"/>
        <v>-9.7054121945649691E-2</v>
      </c>
      <c r="E18" s="186">
        <v>0.12913358844023068</v>
      </c>
      <c r="G18">
        <v>7</v>
      </c>
      <c r="H18" s="186">
        <f t="shared" ca="1" si="1"/>
        <v>3.1796768953562871E-2</v>
      </c>
      <c r="J18" s="215" t="s">
        <v>390</v>
      </c>
      <c r="K18" s="215"/>
      <c r="L18" s="215"/>
      <c r="M18" s="215"/>
      <c r="N18" s="215">
        <f>'Comps Rel.'!D3</f>
        <v>11764</v>
      </c>
    </row>
    <row r="19" spans="2:14" x14ac:dyDescent="0.25">
      <c r="B19" s="67">
        <v>40286</v>
      </c>
      <c r="C19" s="66">
        <v>1094.75</v>
      </c>
      <c r="D19" s="186">
        <f t="shared" si="0"/>
        <v>-0.69325712044158649</v>
      </c>
      <c r="E19" s="186">
        <v>0.12541763042919557</v>
      </c>
      <c r="G19">
        <v>8</v>
      </c>
      <c r="H19" s="186">
        <f t="shared" ca="1" si="1"/>
        <v>5.0086485568531444E-2</v>
      </c>
    </row>
    <row r="20" spans="2:14" x14ac:dyDescent="0.25">
      <c r="B20" s="67">
        <v>42708</v>
      </c>
      <c r="C20" s="66">
        <v>3568.95</v>
      </c>
      <c r="D20" s="186">
        <f t="shared" si="0"/>
        <v>8.5413714744018172</v>
      </c>
      <c r="E20" s="186">
        <v>0.12314131512281079</v>
      </c>
      <c r="G20">
        <v>9</v>
      </c>
      <c r="H20" s="186">
        <f t="shared" ca="1" si="1"/>
        <v>-1.1886398654198514E-2</v>
      </c>
      <c r="J20" s="53" t="s">
        <v>399</v>
      </c>
      <c r="K20" s="51"/>
      <c r="L20" s="51"/>
      <c r="M20" s="51"/>
      <c r="N20" s="51"/>
    </row>
    <row r="21" spans="2:14" x14ac:dyDescent="0.25">
      <c r="B21" s="67">
        <v>39733</v>
      </c>
      <c r="C21">
        <v>374.05</v>
      </c>
      <c r="D21" s="186">
        <f t="shared" si="0"/>
        <v>0.15840817590585332</v>
      </c>
      <c r="E21" s="186">
        <v>0.12243060765191301</v>
      </c>
      <c r="G21">
        <v>10</v>
      </c>
      <c r="H21" s="186">
        <f t="shared" ca="1" si="1"/>
        <v>1.8073960136948269E-2</v>
      </c>
      <c r="J21" s="213" t="s">
        <v>386</v>
      </c>
      <c r="K21" s="213"/>
      <c r="L21" s="213"/>
      <c r="M21" s="213"/>
      <c r="N21" s="266">
        <f ca="1">AVERAGE(H12:H1123)</f>
        <v>-1.858385863386927E-3</v>
      </c>
    </row>
    <row r="22" spans="2:14" x14ac:dyDescent="0.25">
      <c r="B22" s="67">
        <v>39761</v>
      </c>
      <c r="C22">
        <v>322.89999999999998</v>
      </c>
      <c r="D22" s="186">
        <f t="shared" si="0"/>
        <v>-0.5817899235850279</v>
      </c>
      <c r="E22" s="186">
        <v>0.11364028280738055</v>
      </c>
      <c r="G22">
        <v>11</v>
      </c>
      <c r="H22" s="186">
        <f t="shared" ca="1" si="1"/>
        <v>2.1304654166449437E-2</v>
      </c>
      <c r="J22" s="215" t="s">
        <v>387</v>
      </c>
      <c r="K22" s="215"/>
      <c r="L22" s="215"/>
      <c r="M22" s="215"/>
      <c r="N22" s="267">
        <f ca="1">_xlfn.STDEV.S(H12:H1123)</f>
        <v>4.2760945114837703E-2</v>
      </c>
    </row>
    <row r="23" spans="2:14" x14ac:dyDescent="0.25">
      <c r="B23" s="67">
        <v>39166</v>
      </c>
      <c r="C23">
        <v>772.1</v>
      </c>
      <c r="D23" s="186">
        <f t="shared" si="0"/>
        <v>-0.30994726963982488</v>
      </c>
      <c r="E23" s="186">
        <v>0.11349870204788008</v>
      </c>
      <c r="G23">
        <v>12</v>
      </c>
      <c r="H23" s="186">
        <f t="shared" ca="1" si="1"/>
        <v>3.8486573838820939E-2</v>
      </c>
      <c r="J23" s="215" t="s">
        <v>388</v>
      </c>
      <c r="K23" s="215"/>
      <c r="L23" s="215"/>
      <c r="M23" s="215"/>
      <c r="N23" s="267">
        <f ca="1">MIN(H12:H1123)</f>
        <v>-0.13578770491004891</v>
      </c>
    </row>
    <row r="24" spans="2:14" x14ac:dyDescent="0.25">
      <c r="B24" s="67">
        <v>39362</v>
      </c>
      <c r="C24" s="66">
        <v>1118.9000000000001</v>
      </c>
      <c r="D24" s="186">
        <f t="shared" si="0"/>
        <v>-0.83337800810102447</v>
      </c>
      <c r="E24" s="186">
        <v>0.1120608259205885</v>
      </c>
      <c r="G24">
        <v>13</v>
      </c>
      <c r="H24" s="186">
        <f t="shared" ca="1" si="1"/>
        <v>5.0019262500584577E-3</v>
      </c>
      <c r="J24" s="215" t="s">
        <v>389</v>
      </c>
      <c r="K24" s="215"/>
      <c r="L24" s="215"/>
      <c r="M24" s="215"/>
      <c r="N24" s="267">
        <f ca="1">MAX(H12:H1123)</f>
        <v>0.12804112693723776</v>
      </c>
    </row>
    <row r="25" spans="2:14" x14ac:dyDescent="0.25">
      <c r="B25" s="67">
        <v>44297</v>
      </c>
      <c r="C25" s="66">
        <v>6715.2</v>
      </c>
      <c r="D25" s="186">
        <f t="shared" si="0"/>
        <v>0.52786594314187241</v>
      </c>
      <c r="E25" s="186">
        <v>0.10667611529524221</v>
      </c>
      <c r="G25">
        <v>14</v>
      </c>
      <c r="H25" s="186">
        <f t="shared" ca="1" si="1"/>
        <v>5.5703625202574311E-2</v>
      </c>
      <c r="J25" s="215" t="s">
        <v>390</v>
      </c>
      <c r="K25" s="215"/>
      <c r="L25" s="215"/>
      <c r="M25" s="215"/>
      <c r="N25" s="215">
        <f>N18</f>
        <v>11764</v>
      </c>
    </row>
    <row r="26" spans="2:14" x14ac:dyDescent="0.25">
      <c r="B26" s="67">
        <v>43730</v>
      </c>
      <c r="C26" s="66">
        <v>4395.1499999999996</v>
      </c>
      <c r="D26" s="186">
        <f t="shared" si="0"/>
        <v>12.717696629213483</v>
      </c>
      <c r="E26" s="186">
        <v>0.10443391840786004</v>
      </c>
      <c r="G26">
        <v>15</v>
      </c>
      <c r="H26" s="186">
        <f t="shared" ca="1" si="1"/>
        <v>6.4072731569778385E-2</v>
      </c>
    </row>
    <row r="27" spans="2:14" x14ac:dyDescent="0.25">
      <c r="B27" s="67">
        <v>38263</v>
      </c>
      <c r="C27">
        <v>320.39999999999998</v>
      </c>
      <c r="D27" s="186">
        <f t="shared" si="0"/>
        <v>-0.97128324631965768</v>
      </c>
      <c r="E27" s="186">
        <v>0.10216718266253866</v>
      </c>
      <c r="G27">
        <v>16</v>
      </c>
      <c r="H27" s="186">
        <f t="shared" ca="1" si="1"/>
        <v>-6.6841768242109745E-2</v>
      </c>
      <c r="J27" s="91" t="s">
        <v>391</v>
      </c>
      <c r="K27" s="117" t="s">
        <v>395</v>
      </c>
      <c r="L27" s="110" t="s">
        <v>398</v>
      </c>
      <c r="M27" s="110" t="s">
        <v>396</v>
      </c>
      <c r="N27" s="110" t="s">
        <v>397</v>
      </c>
    </row>
    <row r="28" spans="2:14" x14ac:dyDescent="0.25">
      <c r="B28" s="67">
        <v>45704</v>
      </c>
      <c r="C28" s="66">
        <v>11157.25</v>
      </c>
      <c r="D28" s="186">
        <f t="shared" si="0"/>
        <v>10.081342801807617</v>
      </c>
      <c r="E28" s="186">
        <v>0.10157526571193018</v>
      </c>
      <c r="G28">
        <v>17</v>
      </c>
      <c r="H28" s="186">
        <f t="shared" ca="1" si="1"/>
        <v>-4.8426311151061371E-2</v>
      </c>
      <c r="J28" s="191">
        <v>0.05</v>
      </c>
      <c r="K28" s="191">
        <f>100%-J28</f>
        <v>0.95</v>
      </c>
      <c r="L28" s="192">
        <f ca="1">_xlfn.PERCENTILE.INC($H$12:$H$1123,J28)</f>
        <v>-6.8000614777506505E-2</v>
      </c>
      <c r="M28" s="193">
        <f ca="1">$N$25*(1-L28)</f>
        <v>12563.959232242587</v>
      </c>
      <c r="N28" s="193">
        <f ca="1">$N$25-M28</f>
        <v>-799.95923224258695</v>
      </c>
    </row>
    <row r="29" spans="2:14" x14ac:dyDescent="0.25">
      <c r="B29" s="67">
        <v>40573</v>
      </c>
      <c r="C29" s="66">
        <v>1006.85</v>
      </c>
      <c r="D29" s="186">
        <f t="shared" si="0"/>
        <v>-0.7584246074114952</v>
      </c>
      <c r="E29" s="186">
        <v>0.10062308701355495</v>
      </c>
      <c r="G29">
        <v>18</v>
      </c>
      <c r="H29" s="186">
        <f t="shared" ca="1" si="1"/>
        <v>-6.2521196012773539E-3</v>
      </c>
      <c r="J29" s="194">
        <v>0.01</v>
      </c>
      <c r="K29" s="194">
        <f t="shared" ref="K29:K31" si="2">100%-J29</f>
        <v>0.99</v>
      </c>
      <c r="L29" s="195">
        <f t="shared" ref="L29:L31" ca="1" si="3">_xlfn.PERCENTILE.INC($H$12:$H$1123,J29)</f>
        <v>-9.8022643246081329E-2</v>
      </c>
      <c r="M29" s="190">
        <f t="shared" ref="M29:M31" ca="1" si="4">$N$25*(1-L29)</f>
        <v>12917.1383751469</v>
      </c>
      <c r="N29" s="190">
        <f t="shared" ref="N29:N31" ca="1" si="5">$N$25-M29</f>
        <v>-1153.1383751469002</v>
      </c>
    </row>
    <row r="30" spans="2:14" x14ac:dyDescent="0.25">
      <c r="B30" s="67">
        <v>43891</v>
      </c>
      <c r="C30" s="66">
        <v>4167.8500000000004</v>
      </c>
      <c r="D30" s="186">
        <f t="shared" si="0"/>
        <v>2.6716293000924987</v>
      </c>
      <c r="E30" s="186">
        <v>0.10001583573068708</v>
      </c>
      <c r="G30">
        <v>19</v>
      </c>
      <c r="H30" s="186">
        <f t="shared" ca="1" si="1"/>
        <v>-6.6053155694871871E-2</v>
      </c>
      <c r="J30" s="194">
        <v>5.0000000000000001E-3</v>
      </c>
      <c r="K30" s="194">
        <f t="shared" si="2"/>
        <v>0.995</v>
      </c>
      <c r="L30" s="195">
        <f t="shared" ca="1" si="3"/>
        <v>-0.10183840212585742</v>
      </c>
      <c r="M30" s="190">
        <f t="shared" ca="1" si="4"/>
        <v>12962.026962608586</v>
      </c>
      <c r="N30" s="190">
        <f t="shared" ca="1" si="5"/>
        <v>-1198.0269626085865</v>
      </c>
    </row>
    <row r="31" spans="2:14" x14ac:dyDescent="0.25">
      <c r="B31" s="67">
        <v>39096</v>
      </c>
      <c r="C31" s="66">
        <v>1135.1500000000001</v>
      </c>
      <c r="D31" s="186">
        <f t="shared" si="0"/>
        <v>6.9131151400989022E-2</v>
      </c>
      <c r="E31" s="186">
        <v>9.8461389587768525E-2</v>
      </c>
      <c r="G31">
        <v>20</v>
      </c>
      <c r="H31" s="186">
        <f t="shared" ca="1" si="1"/>
        <v>1.1751365009274418E-2</v>
      </c>
      <c r="J31" s="196">
        <v>0.1</v>
      </c>
      <c r="K31" s="194">
        <f t="shared" si="2"/>
        <v>0.9</v>
      </c>
      <c r="L31" s="195">
        <f t="shared" ca="1" si="3"/>
        <v>-5.5533124215794885E-2</v>
      </c>
      <c r="M31" s="190">
        <f t="shared" ca="1" si="4"/>
        <v>12417.291673274611</v>
      </c>
      <c r="N31" s="190">
        <f t="shared" ca="1" si="5"/>
        <v>-653.29167327461073</v>
      </c>
    </row>
    <row r="32" spans="2:14" x14ac:dyDescent="0.25">
      <c r="B32" s="67">
        <v>39117</v>
      </c>
      <c r="C32" s="66">
        <v>1061.75</v>
      </c>
      <c r="D32" s="186">
        <f t="shared" si="0"/>
        <v>-2.0751671662439474E-2</v>
      </c>
      <c r="E32" s="186">
        <v>9.8381006569078805E-2</v>
      </c>
      <c r="G32">
        <v>21</v>
      </c>
      <c r="H32" s="186">
        <f t="shared" ca="1" si="1"/>
        <v>9.7258117681284131E-2</v>
      </c>
    </row>
    <row r="33" spans="2:8" x14ac:dyDescent="0.25">
      <c r="B33" s="67">
        <v>40538</v>
      </c>
      <c r="C33" s="66">
        <v>1084.25</v>
      </c>
      <c r="D33" s="186">
        <f t="shared" si="0"/>
        <v>0.43154211777132301</v>
      </c>
      <c r="E33" s="186">
        <v>9.7696785623892682E-2</v>
      </c>
      <c r="G33">
        <v>22</v>
      </c>
      <c r="H33" s="186">
        <f t="shared" ca="1" si="1"/>
        <v>-6.8084085228723107E-3</v>
      </c>
    </row>
    <row r="34" spans="2:8" x14ac:dyDescent="0.25">
      <c r="B34" s="67">
        <v>39565</v>
      </c>
      <c r="C34">
        <v>757.4</v>
      </c>
      <c r="D34" s="186">
        <f t="shared" si="0"/>
        <v>3.4558120475344838E-2</v>
      </c>
      <c r="E34" s="186">
        <v>9.5141700404858226E-2</v>
      </c>
      <c r="G34">
        <v>23</v>
      </c>
      <c r="H34" s="186">
        <f t="shared" ca="1" si="1"/>
        <v>-1.6226783323969384E-2</v>
      </c>
    </row>
    <row r="35" spans="2:8" x14ac:dyDescent="0.25">
      <c r="B35" s="67">
        <v>39971</v>
      </c>
      <c r="C35">
        <v>732.1</v>
      </c>
      <c r="D35" s="186">
        <f t="shared" si="0"/>
        <v>-0.82602186311787074</v>
      </c>
      <c r="E35" s="186">
        <v>9.1627525534928866E-2</v>
      </c>
      <c r="G35">
        <v>24</v>
      </c>
      <c r="H35" s="186">
        <f t="shared" ca="1" si="1"/>
        <v>2.5444941077894068E-2</v>
      </c>
    </row>
    <row r="36" spans="2:8" x14ac:dyDescent="0.25">
      <c r="B36" s="67">
        <v>43688</v>
      </c>
      <c r="C36" s="66">
        <v>4208</v>
      </c>
      <c r="D36" s="186">
        <f t="shared" si="0"/>
        <v>0.10158509928140426</v>
      </c>
      <c r="E36" s="186">
        <v>8.9647314723703922E-2</v>
      </c>
      <c r="G36">
        <v>25</v>
      </c>
      <c r="H36" s="186">
        <f t="shared" ca="1" si="1"/>
        <v>-1.1288166084653684E-2</v>
      </c>
    </row>
    <row r="37" spans="2:8" x14ac:dyDescent="0.25">
      <c r="B37" s="67">
        <v>43478</v>
      </c>
      <c r="C37" s="66">
        <v>3819.95</v>
      </c>
      <c r="D37" s="186">
        <f t="shared" si="0"/>
        <v>3.4969686267584907</v>
      </c>
      <c r="E37" s="186">
        <v>8.8056853138885616E-2</v>
      </c>
      <c r="G37">
        <v>26</v>
      </c>
      <c r="H37" s="186">
        <f t="shared" ca="1" si="1"/>
        <v>5.1453025148516015E-3</v>
      </c>
    </row>
    <row r="38" spans="2:8" x14ac:dyDescent="0.25">
      <c r="B38" s="67">
        <v>39516</v>
      </c>
      <c r="C38">
        <v>849.45</v>
      </c>
      <c r="D38" s="186">
        <f t="shared" si="0"/>
        <v>-0.8707126821658232</v>
      </c>
      <c r="E38" s="186">
        <v>8.743519170453827E-2</v>
      </c>
      <c r="G38">
        <v>27</v>
      </c>
      <c r="H38" s="186">
        <f t="shared" ca="1" si="1"/>
        <v>4.8655689541833413E-2</v>
      </c>
    </row>
    <row r="39" spans="2:8" x14ac:dyDescent="0.25">
      <c r="B39" s="67">
        <v>44612</v>
      </c>
      <c r="C39" s="66">
        <v>6570.25</v>
      </c>
      <c r="D39" s="186">
        <f t="shared" si="0"/>
        <v>-0.44253775666044459</v>
      </c>
      <c r="E39" s="186">
        <v>8.5937887377485381E-2</v>
      </c>
      <c r="G39">
        <v>28</v>
      </c>
      <c r="H39" s="186">
        <f t="shared" ca="1" si="1"/>
        <v>-4.4558121346984558E-2</v>
      </c>
    </row>
    <row r="40" spans="2:8" x14ac:dyDescent="0.25">
      <c r="B40" s="67">
        <v>45655</v>
      </c>
      <c r="C40" s="66">
        <v>11786</v>
      </c>
      <c r="D40" s="186">
        <f t="shared" si="0"/>
        <v>4.7720750281600468</v>
      </c>
      <c r="E40" s="186">
        <v>8.4747634650075399E-2</v>
      </c>
      <c r="G40">
        <v>29</v>
      </c>
      <c r="H40" s="186">
        <f t="shared" ca="1" si="1"/>
        <v>2.3597077167636159E-2</v>
      </c>
    </row>
    <row r="41" spans="2:8" x14ac:dyDescent="0.25">
      <c r="B41" s="67">
        <v>41273</v>
      </c>
      <c r="C41" s="66">
        <v>2041.9</v>
      </c>
      <c r="D41" s="186">
        <f t="shared" si="0"/>
        <v>3.4906531779195076</v>
      </c>
      <c r="E41" s="186">
        <v>8.4213879891679569E-2</v>
      </c>
      <c r="G41">
        <v>30</v>
      </c>
      <c r="H41" s="186">
        <f t="shared" ca="1" si="1"/>
        <v>-2.7517644082886653E-2</v>
      </c>
    </row>
    <row r="42" spans="2:8" x14ac:dyDescent="0.25">
      <c r="B42" s="67">
        <v>38627</v>
      </c>
      <c r="C42">
        <v>454.7</v>
      </c>
      <c r="D42" s="186">
        <f t="shared" si="0"/>
        <v>0.30062929061784888</v>
      </c>
      <c r="E42" s="186">
        <v>8.3134826107670257E-2</v>
      </c>
      <c r="G42">
        <v>31</v>
      </c>
      <c r="H42" s="186">
        <f t="shared" ca="1" si="1"/>
        <v>-1.1945909538378652E-2</v>
      </c>
    </row>
    <row r="43" spans="2:8" x14ac:dyDescent="0.25">
      <c r="B43" s="67">
        <v>39754</v>
      </c>
      <c r="C43">
        <v>349.6</v>
      </c>
      <c r="D43" s="186">
        <f t="shared" si="0"/>
        <v>-0.89039206157608441</v>
      </c>
      <c r="E43" s="186">
        <v>8.2688138742644926E-2</v>
      </c>
      <c r="G43">
        <v>32</v>
      </c>
      <c r="H43" s="186">
        <f t="shared" ca="1" si="1"/>
        <v>-1.2625984120723547E-2</v>
      </c>
    </row>
    <row r="44" spans="2:8" x14ac:dyDescent="0.25">
      <c r="B44" s="67">
        <v>42064</v>
      </c>
      <c r="C44" s="66">
        <v>3189.55</v>
      </c>
      <c r="D44" s="186">
        <f t="shared" si="0"/>
        <v>7.8463458604909162</v>
      </c>
      <c r="E44" s="186">
        <v>8.2340764871559974E-2</v>
      </c>
      <c r="G44">
        <v>33</v>
      </c>
      <c r="H44" s="186">
        <f t="shared" ca="1" si="1"/>
        <v>-9.8025583522903775E-2</v>
      </c>
    </row>
    <row r="45" spans="2:8" x14ac:dyDescent="0.25">
      <c r="B45" s="67">
        <v>38459</v>
      </c>
      <c r="C45">
        <v>360.55</v>
      </c>
      <c r="D45" s="186">
        <f t="shared" si="0"/>
        <v>2.6915408715465647E-2</v>
      </c>
      <c r="E45" s="186">
        <v>7.9006434236121609E-2</v>
      </c>
      <c r="G45">
        <v>34</v>
      </c>
      <c r="H45" s="186">
        <f t="shared" ca="1" si="1"/>
        <v>1.0744258680805514E-2</v>
      </c>
    </row>
    <row r="46" spans="2:8" x14ac:dyDescent="0.25">
      <c r="B46" s="67">
        <v>38480</v>
      </c>
      <c r="C46">
        <v>351.1</v>
      </c>
      <c r="D46" s="186">
        <f t="shared" si="0"/>
        <v>-0.63678684115243367</v>
      </c>
      <c r="E46" s="186">
        <v>7.8482567961910651E-2</v>
      </c>
      <c r="G46">
        <v>35</v>
      </c>
      <c r="H46" s="186">
        <f t="shared" ca="1" si="1"/>
        <v>-1.5738384354858428E-2</v>
      </c>
    </row>
    <row r="47" spans="2:8" x14ac:dyDescent="0.25">
      <c r="B47" s="67">
        <v>39124</v>
      </c>
      <c r="C47">
        <v>966.65</v>
      </c>
      <c r="D47" s="186">
        <f t="shared" si="0"/>
        <v>2.3338506639075707</v>
      </c>
      <c r="E47" s="186">
        <v>7.8369031682284693E-2</v>
      </c>
      <c r="G47">
        <v>36</v>
      </c>
      <c r="H47" s="186">
        <f t="shared" ca="1" si="1"/>
        <v>0.12804112693723776</v>
      </c>
    </row>
    <row r="48" spans="2:8" x14ac:dyDescent="0.25">
      <c r="B48" s="67">
        <v>39768</v>
      </c>
      <c r="C48">
        <v>289.95</v>
      </c>
      <c r="D48" s="186">
        <f t="shared" si="0"/>
        <v>-0.54563973987307057</v>
      </c>
      <c r="E48" s="186">
        <v>7.7881040892193262E-2</v>
      </c>
      <c r="G48">
        <v>37</v>
      </c>
      <c r="H48" s="186">
        <f t="shared" ca="1" si="1"/>
        <v>-2.1399577954386999E-2</v>
      </c>
    </row>
    <row r="49" spans="2:8" x14ac:dyDescent="0.25">
      <c r="B49" s="67">
        <v>39607</v>
      </c>
      <c r="C49">
        <v>638.15</v>
      </c>
      <c r="D49" s="186">
        <f t="shared" si="0"/>
        <v>-0.34702752481326105</v>
      </c>
      <c r="E49" s="186">
        <v>7.6955531178803521E-2</v>
      </c>
      <c r="G49">
        <v>38</v>
      </c>
      <c r="H49" s="186">
        <f t="shared" ca="1" si="1"/>
        <v>-3.8717767000373216E-2</v>
      </c>
    </row>
    <row r="50" spans="2:8" x14ac:dyDescent="0.25">
      <c r="B50" s="67">
        <v>39446</v>
      </c>
      <c r="C50">
        <v>977.3</v>
      </c>
      <c r="D50" s="186">
        <f t="shared" si="0"/>
        <v>1.3518228853326917</v>
      </c>
      <c r="E50" s="186">
        <v>7.5670023664080127E-2</v>
      </c>
      <c r="G50">
        <v>39</v>
      </c>
      <c r="H50" s="186">
        <f t="shared" ca="1" si="1"/>
        <v>-2.7520152802242511E-2</v>
      </c>
    </row>
    <row r="51" spans="2:8" x14ac:dyDescent="0.25">
      <c r="B51" s="67">
        <v>38641</v>
      </c>
      <c r="C51">
        <v>415.55</v>
      </c>
      <c r="D51" s="186">
        <f t="shared" si="0"/>
        <v>-0.73711014107673822</v>
      </c>
      <c r="E51" s="186">
        <v>7.5300815111916219E-2</v>
      </c>
      <c r="G51">
        <v>40</v>
      </c>
      <c r="H51" s="186">
        <f t="shared" ca="1" si="1"/>
        <v>-6.6386328124166158E-2</v>
      </c>
    </row>
    <row r="52" spans="2:8" x14ac:dyDescent="0.25">
      <c r="B52" s="67">
        <v>41504</v>
      </c>
      <c r="C52" s="66">
        <v>1580.7</v>
      </c>
      <c r="D52" s="186">
        <f t="shared" si="0"/>
        <v>-0.56503673536776633</v>
      </c>
      <c r="E52" s="186">
        <v>7.1770010509543444E-2</v>
      </c>
      <c r="G52">
        <v>41</v>
      </c>
      <c r="H52" s="186">
        <f t="shared" ca="1" si="1"/>
        <v>1.2898991302780442E-2</v>
      </c>
    </row>
    <row r="53" spans="2:8" x14ac:dyDescent="0.25">
      <c r="B53" s="67">
        <v>42680</v>
      </c>
      <c r="C53" s="66">
        <v>3634.1</v>
      </c>
      <c r="D53" s="186">
        <f t="shared" si="0"/>
        <v>3.7067737339722835</v>
      </c>
      <c r="E53" s="186">
        <v>7.1121197830700228E-2</v>
      </c>
      <c r="G53">
        <v>42</v>
      </c>
      <c r="H53" s="186">
        <f t="shared" ca="1" si="1"/>
        <v>-1.223324133802085E-2</v>
      </c>
    </row>
    <row r="54" spans="2:8" x14ac:dyDescent="0.25">
      <c r="B54" s="67">
        <v>38837</v>
      </c>
      <c r="C54">
        <v>772.1</v>
      </c>
      <c r="D54" s="186">
        <f t="shared" si="0"/>
        <v>-0.6888387369778548</v>
      </c>
      <c r="E54" s="186">
        <v>7.0651043472231917E-2</v>
      </c>
      <c r="G54">
        <v>43</v>
      </c>
      <c r="H54" s="186">
        <f t="shared" ca="1" si="1"/>
        <v>-2.0669424641468592E-2</v>
      </c>
    </row>
    <row r="55" spans="2:8" x14ac:dyDescent="0.25">
      <c r="B55" s="67">
        <v>41917</v>
      </c>
      <c r="C55" s="66">
        <v>2481.35</v>
      </c>
      <c r="D55" s="186">
        <f t="shared" si="0"/>
        <v>5.2541902961562696</v>
      </c>
      <c r="E55" s="186">
        <v>7.05856973357782E-2</v>
      </c>
      <c r="G55">
        <v>44</v>
      </c>
      <c r="H55" s="186">
        <f t="shared" ca="1" si="1"/>
        <v>-7.0724155729734207E-3</v>
      </c>
    </row>
    <row r="56" spans="2:8" x14ac:dyDescent="0.25">
      <c r="B56" s="67">
        <v>39817</v>
      </c>
      <c r="C56">
        <v>396.75</v>
      </c>
      <c r="D56" s="186">
        <f t="shared" si="0"/>
        <v>-0.57414265013685395</v>
      </c>
      <c r="E56" s="186">
        <v>7.0416835289356605E-2</v>
      </c>
      <c r="G56">
        <v>45</v>
      </c>
      <c r="H56" s="186">
        <f t="shared" ca="1" si="1"/>
        <v>-6.279404328746364E-3</v>
      </c>
    </row>
    <row r="57" spans="2:8" x14ac:dyDescent="0.25">
      <c r="B57" s="67">
        <v>40349</v>
      </c>
      <c r="C57">
        <v>931.65</v>
      </c>
      <c r="D57" s="186">
        <f t="shared" si="0"/>
        <v>-0.7705267306247614</v>
      </c>
      <c r="E57" s="186">
        <v>7.0185514904370833E-2</v>
      </c>
      <c r="G57">
        <v>46</v>
      </c>
      <c r="H57" s="186">
        <f t="shared" ca="1" si="1"/>
        <v>1.3171047089113451E-2</v>
      </c>
    </row>
    <row r="58" spans="2:8" x14ac:dyDescent="0.25">
      <c r="B58" s="67">
        <v>43366</v>
      </c>
      <c r="C58" s="66">
        <v>4059.95</v>
      </c>
      <c r="D58" s="186">
        <f t="shared" si="0"/>
        <v>-0.38766260699068666</v>
      </c>
      <c r="E58" s="186">
        <v>7.0153935368232279E-2</v>
      </c>
      <c r="G58">
        <v>47</v>
      </c>
      <c r="H58" s="186">
        <f t="shared" ca="1" si="1"/>
        <v>-1.1803191455296411E-2</v>
      </c>
    </row>
    <row r="59" spans="2:8" x14ac:dyDescent="0.25">
      <c r="B59" s="67">
        <v>44675</v>
      </c>
      <c r="C59" s="66">
        <v>6630.25</v>
      </c>
      <c r="D59" s="186">
        <f t="shared" si="0"/>
        <v>0.87597261126672876</v>
      </c>
      <c r="E59" s="186">
        <v>6.9360665784974712E-2</v>
      </c>
      <c r="G59">
        <v>48</v>
      </c>
      <c r="H59" s="186">
        <f t="shared" ca="1" si="1"/>
        <v>-2.0899974545298693E-2</v>
      </c>
    </row>
    <row r="60" spans="2:8" x14ac:dyDescent="0.25">
      <c r="B60" s="67">
        <v>43947</v>
      </c>
      <c r="C60" s="66">
        <v>3534.3</v>
      </c>
      <c r="D60" s="186">
        <f t="shared" si="0"/>
        <v>2.9074626865671642</v>
      </c>
      <c r="E60" s="186">
        <v>6.9120938955774688E-2</v>
      </c>
      <c r="G60">
        <v>49</v>
      </c>
      <c r="H60" s="186">
        <f t="shared" ca="1" si="1"/>
        <v>1.5678661825970885E-2</v>
      </c>
    </row>
    <row r="61" spans="2:8" x14ac:dyDescent="0.25">
      <c r="B61" s="67">
        <v>39502</v>
      </c>
      <c r="C61">
        <v>904.5</v>
      </c>
      <c r="D61" s="186">
        <f t="shared" si="0"/>
        <v>-0.87397504580508978</v>
      </c>
      <c r="E61" s="186">
        <v>6.8959404360928941E-2</v>
      </c>
      <c r="G61">
        <v>50</v>
      </c>
      <c r="H61" s="186">
        <f t="shared" ca="1" si="1"/>
        <v>-1.6595564282633375E-2</v>
      </c>
    </row>
    <row r="62" spans="2:8" x14ac:dyDescent="0.25">
      <c r="B62" s="67">
        <v>44941</v>
      </c>
      <c r="C62" s="66">
        <v>7177.15</v>
      </c>
      <c r="D62" s="186">
        <f t="shared" si="0"/>
        <v>1.030856948826417</v>
      </c>
      <c r="E62" s="186">
        <v>6.8728036214187743E-2</v>
      </c>
      <c r="G62">
        <v>51</v>
      </c>
      <c r="H62" s="186">
        <f t="shared" ca="1" si="1"/>
        <v>-2.2822874009947449E-2</v>
      </c>
    </row>
    <row r="63" spans="2:8" x14ac:dyDescent="0.25">
      <c r="B63" s="67">
        <v>43933</v>
      </c>
      <c r="C63" s="66">
        <v>3534.05</v>
      </c>
      <c r="D63" s="186">
        <f t="shared" si="0"/>
        <v>0.33423312883435591</v>
      </c>
      <c r="E63" s="186">
        <v>6.8350488973533574E-2</v>
      </c>
      <c r="G63">
        <v>52</v>
      </c>
      <c r="H63" s="186">
        <f t="shared" ca="1" si="1"/>
        <v>5.7086694529732473E-2</v>
      </c>
    </row>
    <row r="64" spans="2:8" x14ac:dyDescent="0.25">
      <c r="B64" s="67">
        <v>41910</v>
      </c>
      <c r="C64" s="66">
        <v>2648.75</v>
      </c>
      <c r="D64" s="186">
        <f t="shared" si="0"/>
        <v>0.19442189754689759</v>
      </c>
      <c r="E64" s="186">
        <v>6.7463276039252867E-2</v>
      </c>
      <c r="G64">
        <v>53</v>
      </c>
      <c r="H64" s="186">
        <f t="shared" ca="1" si="1"/>
        <v>-4.3477687353488767E-2</v>
      </c>
    </row>
    <row r="65" spans="2:8" x14ac:dyDescent="0.25">
      <c r="B65" s="67">
        <v>41742</v>
      </c>
      <c r="C65" s="66">
        <v>2217.6</v>
      </c>
      <c r="D65" s="186">
        <f t="shared" si="0"/>
        <v>1.692732681682958</v>
      </c>
      <c r="E65" s="186">
        <v>6.6358915175995389E-2</v>
      </c>
      <c r="G65">
        <v>54</v>
      </c>
      <c r="H65" s="186">
        <f t="shared" ca="1" si="1"/>
        <v>-9.162424697390292E-3</v>
      </c>
    </row>
    <row r="66" spans="2:8" x14ac:dyDescent="0.25">
      <c r="B66" s="67">
        <v>40097</v>
      </c>
      <c r="C66">
        <v>823.55</v>
      </c>
      <c r="D66" s="186">
        <f t="shared" si="0"/>
        <v>-0.90564654258823263</v>
      </c>
      <c r="E66" s="186">
        <v>6.6084142394821951E-2</v>
      </c>
      <c r="G66">
        <v>55</v>
      </c>
      <c r="H66" s="186">
        <f t="shared" ca="1" si="1"/>
        <v>-2.3518572500699074E-2</v>
      </c>
    </row>
    <row r="67" spans="2:8" x14ac:dyDescent="0.25">
      <c r="B67" s="67">
        <v>45179</v>
      </c>
      <c r="C67" s="66">
        <v>8728.35</v>
      </c>
      <c r="D67" s="186">
        <f t="shared" si="0"/>
        <v>1.4180934175531916</v>
      </c>
      <c r="E67" s="186">
        <v>6.6071035982118956E-2</v>
      </c>
      <c r="G67">
        <v>56</v>
      </c>
      <c r="H67" s="186">
        <f t="shared" ca="1" si="1"/>
        <v>3.6980813976568522E-2</v>
      </c>
    </row>
    <row r="68" spans="2:8" x14ac:dyDescent="0.25">
      <c r="B68" s="67">
        <v>43387</v>
      </c>
      <c r="C68" s="66">
        <v>3609.6</v>
      </c>
      <c r="D68" s="186">
        <f t="shared" si="0"/>
        <v>1.1434679334916864</v>
      </c>
      <c r="E68" s="186">
        <v>6.5816281335813659E-2</v>
      </c>
      <c r="G68">
        <v>57</v>
      </c>
      <c r="H68" s="186">
        <f t="shared" ca="1" si="1"/>
        <v>5.5472922778247891E-2</v>
      </c>
    </row>
    <row r="69" spans="2:8" x14ac:dyDescent="0.25">
      <c r="B69" s="67">
        <v>41497</v>
      </c>
      <c r="C69" s="66">
        <v>1684</v>
      </c>
      <c r="D69" s="186">
        <f t="shared" si="0"/>
        <v>-0.69443209551718821</v>
      </c>
      <c r="E69" s="186">
        <v>6.5350793952046529E-2</v>
      </c>
      <c r="G69">
        <v>58</v>
      </c>
      <c r="H69" s="186">
        <f t="shared" ca="1" si="1"/>
        <v>-2.0354650480926387E-2</v>
      </c>
    </row>
    <row r="70" spans="2:8" x14ac:dyDescent="0.25">
      <c r="B70" s="67">
        <v>44717</v>
      </c>
      <c r="C70" s="66">
        <v>5511.05</v>
      </c>
      <c r="D70" s="186">
        <f t="shared" si="0"/>
        <v>2.0975746845403704</v>
      </c>
      <c r="E70" s="186">
        <v>6.4464102910783611E-2</v>
      </c>
      <c r="G70">
        <v>59</v>
      </c>
      <c r="H70" s="186">
        <f t="shared" ca="1" si="1"/>
        <v>-3.5723376858842651E-2</v>
      </c>
    </row>
    <row r="71" spans="2:8" x14ac:dyDescent="0.25">
      <c r="B71" s="67">
        <v>41483</v>
      </c>
      <c r="C71" s="66">
        <v>1779.15</v>
      </c>
      <c r="D71" s="186">
        <f t="shared" si="0"/>
        <v>0.73846980652726224</v>
      </c>
      <c r="E71" s="186">
        <v>6.4180398959236884E-2</v>
      </c>
      <c r="G71">
        <v>60</v>
      </c>
      <c r="H71" s="186">
        <f t="shared" ca="1" si="1"/>
        <v>-1.3758096522869594E-2</v>
      </c>
    </row>
    <row r="72" spans="2:8" x14ac:dyDescent="0.25">
      <c r="B72" s="67">
        <v>40699</v>
      </c>
      <c r="C72" s="66">
        <v>1023.4</v>
      </c>
      <c r="D72" s="186">
        <f t="shared" si="0"/>
        <v>-0.15291975334188643</v>
      </c>
      <c r="E72" s="186">
        <v>6.1783472532032944E-2</v>
      </c>
      <c r="G72">
        <v>61</v>
      </c>
      <c r="H72" s="186">
        <f t="shared" ca="1" si="1"/>
        <v>-5.5271370264036127E-2</v>
      </c>
    </row>
    <row r="73" spans="2:8" x14ac:dyDescent="0.25">
      <c r="B73" s="67">
        <v>40881</v>
      </c>
      <c r="C73" s="66">
        <v>1208.1500000000001</v>
      </c>
      <c r="D73" s="186">
        <f t="shared" si="0"/>
        <v>0.92242819635611428</v>
      </c>
      <c r="E73" s="186">
        <v>6.1503316786012382E-2</v>
      </c>
      <c r="G73">
        <v>62</v>
      </c>
      <c r="H73" s="186">
        <f t="shared" ca="1" si="1"/>
        <v>-4.7827833854031193E-2</v>
      </c>
    </row>
    <row r="74" spans="2:8" x14ac:dyDescent="0.25">
      <c r="B74" s="67">
        <v>38865</v>
      </c>
      <c r="C74">
        <v>628.45000000000005</v>
      </c>
      <c r="D74" s="186">
        <f t="shared" si="0"/>
        <v>-0.83695891868052052</v>
      </c>
      <c r="E74" s="186">
        <v>6.1033260172210189E-2</v>
      </c>
      <c r="G74">
        <v>63</v>
      </c>
      <c r="H74" s="186">
        <f t="shared" ca="1" si="1"/>
        <v>-2.8161590066011644E-3</v>
      </c>
    </row>
    <row r="75" spans="2:8" x14ac:dyDescent="0.25">
      <c r="B75" s="67">
        <v>42673</v>
      </c>
      <c r="C75" s="66">
        <v>3854.55</v>
      </c>
      <c r="D75" s="186">
        <f t="shared" si="0"/>
        <v>0.29551641851241889</v>
      </c>
      <c r="E75" s="186">
        <v>6.0661511791090028E-2</v>
      </c>
      <c r="G75">
        <v>64</v>
      </c>
      <c r="H75" s="186">
        <f t="shared" ca="1" si="1"/>
        <v>-3.3993567727272633E-2</v>
      </c>
    </row>
    <row r="76" spans="2:8" x14ac:dyDescent="0.25">
      <c r="B76" s="67">
        <v>42148</v>
      </c>
      <c r="C76" s="66">
        <v>2975.3</v>
      </c>
      <c r="D76" s="186">
        <f t="shared" ref="D76:D139" si="6">(C76-C77)/C77</f>
        <v>-0.21473250811581196</v>
      </c>
      <c r="E76" s="186">
        <v>6.0240534521158191E-2</v>
      </c>
      <c r="G76">
        <v>65</v>
      </c>
      <c r="H76" s="186">
        <f t="shared" ca="1" si="1"/>
        <v>3.0472688562465194E-2</v>
      </c>
    </row>
    <row r="77" spans="2:8" x14ac:dyDescent="0.25">
      <c r="B77" s="67">
        <v>43898</v>
      </c>
      <c r="C77" s="66">
        <v>3788.9</v>
      </c>
      <c r="D77" s="186">
        <f t="shared" si="6"/>
        <v>4.6869043151969985</v>
      </c>
      <c r="E77" s="186">
        <v>6.0173202568658504E-2</v>
      </c>
      <c r="G77">
        <v>66</v>
      </c>
      <c r="H77" s="186">
        <f t="shared" ref="H77:H140" ca="1" si="7">_xlfn.NORM.INV(RAND(),N$14,N$15)</f>
        <v>1.34322631843924E-2</v>
      </c>
    </row>
    <row r="78" spans="2:8" x14ac:dyDescent="0.25">
      <c r="B78" s="67">
        <v>38858</v>
      </c>
      <c r="C78">
        <v>666.25</v>
      </c>
      <c r="D78" s="186">
        <f t="shared" si="6"/>
        <v>0.78763080225382354</v>
      </c>
      <c r="E78" s="186">
        <v>6.0147983133105182E-2</v>
      </c>
      <c r="G78">
        <v>67</v>
      </c>
      <c r="H78" s="186">
        <f t="shared" ca="1" si="7"/>
        <v>-1.2797993650813423E-2</v>
      </c>
    </row>
    <row r="79" spans="2:8" x14ac:dyDescent="0.25">
      <c r="B79" s="67">
        <v>38424</v>
      </c>
      <c r="C79">
        <v>372.7</v>
      </c>
      <c r="D79" s="186">
        <f t="shared" si="6"/>
        <v>-0.94910972745644218</v>
      </c>
      <c r="E79" s="186">
        <v>5.98606569031708E-2</v>
      </c>
      <c r="G79">
        <v>68</v>
      </c>
      <c r="H79" s="186">
        <f t="shared" ca="1" si="7"/>
        <v>-2.4041723964352821E-2</v>
      </c>
    </row>
    <row r="80" spans="2:8" x14ac:dyDescent="0.25">
      <c r="B80" s="67">
        <v>44598</v>
      </c>
      <c r="C80" s="66">
        <v>7323.6</v>
      </c>
      <c r="D80" s="186">
        <f t="shared" si="6"/>
        <v>11.873264194058711</v>
      </c>
      <c r="E80" s="186">
        <v>5.884394066448833E-2</v>
      </c>
      <c r="G80">
        <v>69</v>
      </c>
      <c r="H80" s="186">
        <f t="shared" ca="1" si="7"/>
        <v>-3.7244600106891762E-2</v>
      </c>
    </row>
    <row r="81" spans="2:8" x14ac:dyDescent="0.25">
      <c r="B81" s="67">
        <v>39621</v>
      </c>
      <c r="C81">
        <v>568.9</v>
      </c>
      <c r="D81" s="186">
        <f t="shared" si="6"/>
        <v>-0.46859091121386204</v>
      </c>
      <c r="E81" s="186">
        <v>5.8221726190476102E-2</v>
      </c>
      <c r="G81">
        <v>70</v>
      </c>
      <c r="H81" s="186">
        <f t="shared" ca="1" si="7"/>
        <v>-1.8346666347056249E-2</v>
      </c>
    </row>
    <row r="82" spans="2:8" x14ac:dyDescent="0.25">
      <c r="B82" s="67">
        <v>40643</v>
      </c>
      <c r="C82" s="66">
        <v>1070.55</v>
      </c>
      <c r="D82" s="186">
        <f t="shared" si="6"/>
        <v>-0.91140691333096113</v>
      </c>
      <c r="E82" s="186">
        <v>5.8221716996985105E-2</v>
      </c>
      <c r="G82">
        <v>71</v>
      </c>
      <c r="H82" s="186">
        <f t="shared" ca="1" si="7"/>
        <v>7.1964871386473034E-3</v>
      </c>
    </row>
    <row r="83" spans="2:8" x14ac:dyDescent="0.25">
      <c r="B83" s="67">
        <v>45634</v>
      </c>
      <c r="C83" s="66">
        <v>12083.9</v>
      </c>
      <c r="D83" s="186">
        <f t="shared" si="6"/>
        <v>10.799531295771898</v>
      </c>
      <c r="E83" s="186">
        <v>5.787547711594359E-2</v>
      </c>
      <c r="G83">
        <v>72</v>
      </c>
      <c r="H83" s="186">
        <f t="shared" ca="1" si="7"/>
        <v>1.284380851201331E-2</v>
      </c>
    </row>
    <row r="84" spans="2:8" x14ac:dyDescent="0.25">
      <c r="B84" s="67">
        <v>39425</v>
      </c>
      <c r="C84" s="66">
        <v>1024.0999999999999</v>
      </c>
      <c r="D84" s="186">
        <f t="shared" si="6"/>
        <v>-0.65507485559354006</v>
      </c>
      <c r="E84" s="186">
        <v>5.7190048518633074E-2</v>
      </c>
      <c r="G84">
        <v>73</v>
      </c>
      <c r="H84" s="186">
        <f t="shared" ca="1" si="7"/>
        <v>2.7360447242179203E-2</v>
      </c>
    </row>
    <row r="85" spans="2:8" x14ac:dyDescent="0.25">
      <c r="B85" s="67">
        <v>42099</v>
      </c>
      <c r="C85" s="66">
        <v>2969.05</v>
      </c>
      <c r="D85" s="186">
        <f t="shared" si="6"/>
        <v>0.46771961046023036</v>
      </c>
      <c r="E85" s="186">
        <v>5.6921132726981502E-2</v>
      </c>
      <c r="G85">
        <v>74</v>
      </c>
      <c r="H85" s="186">
        <f t="shared" ca="1" si="7"/>
        <v>3.3480161096910918E-2</v>
      </c>
    </row>
    <row r="86" spans="2:8" x14ac:dyDescent="0.25">
      <c r="B86" s="67">
        <v>41217</v>
      </c>
      <c r="C86" s="66">
        <v>2022.9</v>
      </c>
      <c r="D86" s="186">
        <f t="shared" si="6"/>
        <v>1.324771591104982</v>
      </c>
      <c r="E86" s="186">
        <v>5.6675720852486414E-2</v>
      </c>
      <c r="G86">
        <v>75</v>
      </c>
      <c r="H86" s="186">
        <f t="shared" ca="1" si="7"/>
        <v>-6.0760497210029067E-3</v>
      </c>
    </row>
    <row r="87" spans="2:8" x14ac:dyDescent="0.25">
      <c r="B87" s="67">
        <v>40090</v>
      </c>
      <c r="C87">
        <v>870.15</v>
      </c>
      <c r="D87" s="186">
        <f t="shared" si="6"/>
        <v>0.74904522613065327</v>
      </c>
      <c r="E87" s="186">
        <v>5.6584299678222358E-2</v>
      </c>
      <c r="G87">
        <v>76</v>
      </c>
      <c r="H87" s="186">
        <f t="shared" ca="1" si="7"/>
        <v>5.7483781124961997E-2</v>
      </c>
    </row>
    <row r="88" spans="2:8" x14ac:dyDescent="0.25">
      <c r="B88" s="67">
        <v>39873</v>
      </c>
      <c r="C88">
        <v>497.5</v>
      </c>
      <c r="D88" s="186">
        <f t="shared" si="6"/>
        <v>-0.19667366381398346</v>
      </c>
      <c r="E88" s="186">
        <v>5.6263269639065819E-2</v>
      </c>
      <c r="G88">
        <v>77</v>
      </c>
      <c r="H88" s="186">
        <f t="shared" ca="1" si="7"/>
        <v>-3.6429340725889188E-4</v>
      </c>
    </row>
    <row r="89" spans="2:8" x14ac:dyDescent="0.25">
      <c r="B89" s="67">
        <v>39670</v>
      </c>
      <c r="C89">
        <v>619.29999999999995</v>
      </c>
      <c r="D89" s="186">
        <f t="shared" si="6"/>
        <v>-0.90444965593853177</v>
      </c>
      <c r="E89" s="186">
        <v>5.6015005541819263E-2</v>
      </c>
      <c r="G89">
        <v>78</v>
      </c>
      <c r="H89" s="186">
        <f t="shared" ca="1" si="7"/>
        <v>-6.8498081127783897E-3</v>
      </c>
    </row>
    <row r="90" spans="2:8" x14ac:dyDescent="0.25">
      <c r="B90" s="67">
        <v>44815</v>
      </c>
      <c r="C90" s="66">
        <v>6481.4</v>
      </c>
      <c r="D90" s="186">
        <f t="shared" si="6"/>
        <v>0.59185578151095386</v>
      </c>
      <c r="E90" s="186">
        <v>5.5611202045619236E-2</v>
      </c>
      <c r="G90">
        <v>79</v>
      </c>
      <c r="H90" s="186">
        <f t="shared" ca="1" si="7"/>
        <v>-4.7313887059555942E-2</v>
      </c>
    </row>
    <row r="91" spans="2:8" x14ac:dyDescent="0.25">
      <c r="B91" s="67">
        <v>43226</v>
      </c>
      <c r="C91" s="66">
        <v>4071.6</v>
      </c>
      <c r="D91" s="186">
        <f t="shared" si="6"/>
        <v>1.1785494529013616</v>
      </c>
      <c r="E91" s="186">
        <v>5.5133005947367739E-2</v>
      </c>
      <c r="G91">
        <v>80</v>
      </c>
      <c r="H91" s="186">
        <f t="shared" ca="1" si="7"/>
        <v>-3.0201738536757426E-2</v>
      </c>
    </row>
    <row r="92" spans="2:8" x14ac:dyDescent="0.25">
      <c r="B92" s="67">
        <v>41357</v>
      </c>
      <c r="C92" s="66">
        <v>1868.95</v>
      </c>
      <c r="D92" s="186">
        <f t="shared" si="6"/>
        <v>2.4295806954766492</v>
      </c>
      <c r="E92" s="186">
        <v>5.4980102170415789E-2</v>
      </c>
      <c r="G92">
        <v>81</v>
      </c>
      <c r="H92" s="186">
        <f t="shared" ca="1" si="7"/>
        <v>7.3201637454798046E-2</v>
      </c>
    </row>
    <row r="93" spans="2:8" x14ac:dyDescent="0.25">
      <c r="B93" s="67">
        <v>39712</v>
      </c>
      <c r="C93">
        <v>544.95000000000005</v>
      </c>
      <c r="D93" s="186">
        <f t="shared" si="6"/>
        <v>-0.9515289785462695</v>
      </c>
      <c r="E93" s="186">
        <v>5.4878048780487847E-2</v>
      </c>
      <c r="G93">
        <v>82</v>
      </c>
      <c r="H93" s="186">
        <f t="shared" ca="1" si="7"/>
        <v>-3.8998557992370675E-2</v>
      </c>
    </row>
    <row r="94" spans="2:8" x14ac:dyDescent="0.25">
      <c r="B94" s="67">
        <v>45452</v>
      </c>
      <c r="C94" s="66">
        <v>11242.8</v>
      </c>
      <c r="D94" s="186">
        <f t="shared" si="6"/>
        <v>1.6698963416806183</v>
      </c>
      <c r="E94" s="186">
        <v>5.4434273709483762E-2</v>
      </c>
      <c r="G94">
        <v>83</v>
      </c>
      <c r="H94" s="186">
        <f t="shared" ca="1" si="7"/>
        <v>8.8040342690065179E-2</v>
      </c>
    </row>
    <row r="95" spans="2:8" x14ac:dyDescent="0.25">
      <c r="B95" s="67">
        <v>42988</v>
      </c>
      <c r="C95" s="66">
        <v>4210.95</v>
      </c>
      <c r="D95" s="186">
        <f t="shared" si="6"/>
        <v>-0.39118208368273433</v>
      </c>
      <c r="E95" s="186">
        <v>5.2842784278427819E-2</v>
      </c>
      <c r="G95">
        <v>84</v>
      </c>
      <c r="H95" s="186">
        <f t="shared" ca="1" si="7"/>
        <v>-3.6411158371089276E-3</v>
      </c>
    </row>
    <row r="96" spans="2:8" x14ac:dyDescent="0.25">
      <c r="B96" s="67">
        <v>44605</v>
      </c>
      <c r="C96" s="66">
        <v>6916.6</v>
      </c>
      <c r="D96" s="186">
        <f t="shared" si="6"/>
        <v>3.6850911061437381</v>
      </c>
      <c r="E96" s="186">
        <v>5.2714889083368272E-2</v>
      </c>
      <c r="G96">
        <v>85</v>
      </c>
      <c r="H96" s="186">
        <f t="shared" ca="1" si="7"/>
        <v>0.10846641433509074</v>
      </c>
    </row>
    <row r="97" spans="2:8" x14ac:dyDescent="0.25">
      <c r="B97" s="67">
        <v>40951</v>
      </c>
      <c r="C97" s="66">
        <v>1476.3</v>
      </c>
      <c r="D97" s="186">
        <f t="shared" si="6"/>
        <v>0.7534295385711739</v>
      </c>
      <c r="E97" s="186">
        <v>5.2695379349686149E-2</v>
      </c>
      <c r="G97">
        <v>86</v>
      </c>
      <c r="H97" s="186">
        <f t="shared" ca="1" si="7"/>
        <v>1.5516245484134984E-2</v>
      </c>
    </row>
    <row r="98" spans="2:8" x14ac:dyDescent="0.25">
      <c r="B98" s="67">
        <v>39187</v>
      </c>
      <c r="C98">
        <v>841.95</v>
      </c>
      <c r="D98" s="186">
        <f t="shared" si="6"/>
        <v>-0.77815106122287647</v>
      </c>
      <c r="E98" s="186">
        <v>5.197725994877244E-2</v>
      </c>
      <c r="G98">
        <v>87</v>
      </c>
      <c r="H98" s="186">
        <f t="shared" ca="1" si="7"/>
        <v>4.5959223558126691E-2</v>
      </c>
    </row>
    <row r="99" spans="2:8" x14ac:dyDescent="0.25">
      <c r="B99" s="67">
        <v>43380</v>
      </c>
      <c r="C99" s="66">
        <v>3795.15</v>
      </c>
      <c r="D99" s="186">
        <f t="shared" si="6"/>
        <v>-0.18256421302030046</v>
      </c>
      <c r="E99" s="186">
        <v>5.14045877659575E-2</v>
      </c>
      <c r="G99">
        <v>88</v>
      </c>
      <c r="H99" s="186">
        <f t="shared" ca="1" si="7"/>
        <v>4.0087142620128052E-2</v>
      </c>
    </row>
    <row r="100" spans="2:8" x14ac:dyDescent="0.25">
      <c r="B100" s="67">
        <v>43849</v>
      </c>
      <c r="C100" s="66">
        <v>4642.75</v>
      </c>
      <c r="D100" s="186">
        <f t="shared" si="6"/>
        <v>-0.6205973686361036</v>
      </c>
      <c r="E100" s="186">
        <v>5.1323566042435549E-2</v>
      </c>
      <c r="G100">
        <v>89</v>
      </c>
      <c r="H100" s="186">
        <f t="shared" ca="1" si="7"/>
        <v>-1.5731947183951073E-2</v>
      </c>
    </row>
    <row r="101" spans="2:8" x14ac:dyDescent="0.25">
      <c r="B101" s="67">
        <v>45767</v>
      </c>
      <c r="C101" s="66">
        <v>12237</v>
      </c>
      <c r="D101" s="186">
        <f t="shared" si="6"/>
        <v>3.4866083704559205</v>
      </c>
      <c r="E101" s="186">
        <v>5.0927516317416696E-2</v>
      </c>
      <c r="G101">
        <v>90</v>
      </c>
      <c r="H101" s="186">
        <f t="shared" ca="1" si="7"/>
        <v>-4.7480707472304252E-3</v>
      </c>
    </row>
    <row r="102" spans="2:8" x14ac:dyDescent="0.25">
      <c r="B102" s="67">
        <v>41805</v>
      </c>
      <c r="C102" s="66">
        <v>2727.45</v>
      </c>
      <c r="D102" s="186">
        <f t="shared" si="6"/>
        <v>1.3514527114406412</v>
      </c>
      <c r="E102" s="186">
        <v>5.0676066104241198E-2</v>
      </c>
      <c r="G102">
        <v>91</v>
      </c>
      <c r="H102" s="186">
        <f t="shared" ca="1" si="7"/>
        <v>2.7861542664099091E-2</v>
      </c>
    </row>
    <row r="103" spans="2:8" x14ac:dyDescent="0.25">
      <c r="B103" s="67">
        <v>40272</v>
      </c>
      <c r="C103" s="66">
        <v>1159.9000000000001</v>
      </c>
      <c r="D103" s="186">
        <f t="shared" si="6"/>
        <v>-0.85067651943303668</v>
      </c>
      <c r="E103" s="186">
        <v>5.0586477061727406E-2</v>
      </c>
      <c r="G103">
        <v>92</v>
      </c>
      <c r="H103" s="186">
        <f t="shared" ca="1" si="7"/>
        <v>5.1689470505208182E-2</v>
      </c>
    </row>
    <row r="104" spans="2:8" x14ac:dyDescent="0.25">
      <c r="B104" s="67">
        <v>44514</v>
      </c>
      <c r="C104" s="66">
        <v>7767.7</v>
      </c>
      <c r="D104" s="186">
        <f t="shared" si="6"/>
        <v>1.9693042813455657</v>
      </c>
      <c r="E104" s="186">
        <v>5.0434429831975366E-2</v>
      </c>
      <c r="G104">
        <v>93</v>
      </c>
      <c r="H104" s="186">
        <f t="shared" ca="1" si="7"/>
        <v>4.6975624522839571E-2</v>
      </c>
    </row>
    <row r="105" spans="2:8" x14ac:dyDescent="0.25">
      <c r="B105" s="67">
        <v>41952</v>
      </c>
      <c r="C105" s="66">
        <v>2616</v>
      </c>
      <c r="D105" s="186">
        <f t="shared" si="6"/>
        <v>-0.40008255744622306</v>
      </c>
      <c r="E105" s="186">
        <v>5.0307142570361819E-2</v>
      </c>
      <c r="G105">
        <v>94</v>
      </c>
      <c r="H105" s="186">
        <f t="shared" ca="1" si="7"/>
        <v>6.2632737306292756E-3</v>
      </c>
    </row>
    <row r="106" spans="2:8" x14ac:dyDescent="0.25">
      <c r="B106" s="67">
        <v>42869</v>
      </c>
      <c r="C106" s="66">
        <v>4360.6000000000004</v>
      </c>
      <c r="D106" s="186">
        <f t="shared" si="6"/>
        <v>-1.5243558185226169E-2</v>
      </c>
      <c r="E106" s="186">
        <v>4.9634122857693225E-2</v>
      </c>
      <c r="G106">
        <v>95</v>
      </c>
      <c r="H106" s="186">
        <f t="shared" ca="1" si="7"/>
        <v>8.0670848977443879E-3</v>
      </c>
    </row>
    <row r="107" spans="2:8" x14ac:dyDescent="0.25">
      <c r="B107" s="67">
        <v>43877</v>
      </c>
      <c r="C107" s="66">
        <v>4428.1000000000004</v>
      </c>
      <c r="D107" s="186">
        <f t="shared" si="6"/>
        <v>4.9437583892617454</v>
      </c>
      <c r="E107" s="186">
        <v>4.9412266565551234E-2</v>
      </c>
      <c r="G107">
        <v>96</v>
      </c>
      <c r="H107" s="186">
        <f t="shared" ca="1" si="7"/>
        <v>-5.0428804504611777E-2</v>
      </c>
    </row>
    <row r="108" spans="2:8" x14ac:dyDescent="0.25">
      <c r="B108" s="67">
        <v>40034</v>
      </c>
      <c r="C108">
        <v>745</v>
      </c>
      <c r="D108" s="186">
        <f t="shared" si="6"/>
        <v>3.3072176384940755E-2</v>
      </c>
      <c r="E108" s="186">
        <v>4.9369673920698576E-2</v>
      </c>
      <c r="G108">
        <v>97</v>
      </c>
      <c r="H108" s="186">
        <f t="shared" ca="1" si="7"/>
        <v>-5.4215345672107812E-2</v>
      </c>
    </row>
    <row r="109" spans="2:8" x14ac:dyDescent="0.25">
      <c r="B109" s="67">
        <v>38844</v>
      </c>
      <c r="C109">
        <v>721.15</v>
      </c>
      <c r="D109" s="186">
        <f t="shared" si="6"/>
        <v>-0.9313389920070837</v>
      </c>
      <c r="E109" s="186">
        <v>4.9021747036147978E-2</v>
      </c>
      <c r="G109">
        <v>98</v>
      </c>
      <c r="H109" s="186">
        <f t="shared" ca="1" si="7"/>
        <v>7.1860663285185117E-2</v>
      </c>
    </row>
    <row r="110" spans="2:8" x14ac:dyDescent="0.25">
      <c r="B110" s="67">
        <v>45284</v>
      </c>
      <c r="C110" s="66">
        <v>10503.05</v>
      </c>
      <c r="D110" s="186">
        <f t="shared" si="6"/>
        <v>1.3467880683722488</v>
      </c>
      <c r="E110" s="186">
        <v>4.8621961751389026E-2</v>
      </c>
      <c r="G110">
        <v>99</v>
      </c>
      <c r="H110" s="186">
        <f t="shared" ca="1" si="7"/>
        <v>-1.6872968667309834E-2</v>
      </c>
    </row>
    <row r="111" spans="2:8" x14ac:dyDescent="0.25">
      <c r="B111" s="67">
        <v>43338</v>
      </c>
      <c r="C111" s="66">
        <v>4475.5</v>
      </c>
      <c r="D111" s="186">
        <f t="shared" si="6"/>
        <v>1.3997962411860909</v>
      </c>
      <c r="E111" s="186">
        <v>4.8568483201349558E-2</v>
      </c>
      <c r="G111">
        <v>100</v>
      </c>
      <c r="H111" s="186">
        <f t="shared" ca="1" si="7"/>
        <v>2.9151086697395575E-2</v>
      </c>
    </row>
    <row r="112" spans="2:8" x14ac:dyDescent="0.25">
      <c r="B112" s="67">
        <v>41476</v>
      </c>
      <c r="C112" s="66">
        <v>1864.95</v>
      </c>
      <c r="D112" s="186">
        <f t="shared" si="6"/>
        <v>3.1010445299615172</v>
      </c>
      <c r="E112" s="186">
        <v>4.8225276114998709E-2</v>
      </c>
      <c r="G112">
        <v>101</v>
      </c>
      <c r="H112" s="186">
        <f t="shared" ca="1" si="7"/>
        <v>-5.6109032966094926E-3</v>
      </c>
    </row>
    <row r="113" spans="2:8" x14ac:dyDescent="0.25">
      <c r="B113" s="67">
        <v>38697</v>
      </c>
      <c r="C113">
        <v>454.75</v>
      </c>
      <c r="D113" s="186">
        <f t="shared" si="6"/>
        <v>-0.88215400961426327</v>
      </c>
      <c r="E113" s="186">
        <v>4.8052546669739626E-2</v>
      </c>
      <c r="G113">
        <v>102</v>
      </c>
      <c r="H113" s="186">
        <f t="shared" ca="1" si="7"/>
        <v>1.0596417901124871E-2</v>
      </c>
    </row>
    <row r="114" spans="2:8" x14ac:dyDescent="0.25">
      <c r="B114" s="67">
        <v>43233</v>
      </c>
      <c r="C114" s="66">
        <v>3858.85</v>
      </c>
      <c r="D114" s="186">
        <f t="shared" si="6"/>
        <v>1.6318715045696355</v>
      </c>
      <c r="E114" s="186">
        <v>4.7988267724019887E-2</v>
      </c>
      <c r="G114">
        <v>103</v>
      </c>
      <c r="H114" s="186">
        <f t="shared" ca="1" si="7"/>
        <v>-2.2247640797798316E-2</v>
      </c>
    </row>
    <row r="115" spans="2:8" x14ac:dyDescent="0.25">
      <c r="B115" s="67">
        <v>41056</v>
      </c>
      <c r="C115" s="66">
        <v>1466.2</v>
      </c>
      <c r="D115" s="186">
        <f t="shared" si="6"/>
        <v>-0.87517452749872293</v>
      </c>
      <c r="E115" s="186">
        <v>4.7884505431675238E-2</v>
      </c>
      <c r="G115">
        <v>104</v>
      </c>
      <c r="H115" s="186">
        <f t="shared" ca="1" si="7"/>
        <v>2.287132098674232E-2</v>
      </c>
    </row>
    <row r="116" spans="2:8" x14ac:dyDescent="0.25">
      <c r="B116" s="67">
        <v>45795</v>
      </c>
      <c r="C116" s="66">
        <v>11746</v>
      </c>
      <c r="D116" s="186">
        <f t="shared" si="6"/>
        <v>0.1588969463765971</v>
      </c>
      <c r="E116" s="186">
        <v>4.7814451382694023E-2</v>
      </c>
      <c r="G116">
        <v>105</v>
      </c>
      <c r="H116" s="186">
        <f t="shared" ca="1" si="7"/>
        <v>6.2588024732650335E-2</v>
      </c>
    </row>
    <row r="117" spans="2:8" x14ac:dyDescent="0.25">
      <c r="B117" s="67">
        <v>45347</v>
      </c>
      <c r="C117" s="66">
        <v>10135.5</v>
      </c>
      <c r="D117" s="186">
        <f t="shared" si="6"/>
        <v>0.70401815736381979</v>
      </c>
      <c r="E117" s="186">
        <v>4.7797253221546279E-2</v>
      </c>
      <c r="G117">
        <v>106</v>
      </c>
      <c r="H117" s="186">
        <f t="shared" ca="1" si="7"/>
        <v>1.8458149233088732E-3</v>
      </c>
    </row>
    <row r="118" spans="2:8" x14ac:dyDescent="0.25">
      <c r="B118" s="67">
        <v>44703</v>
      </c>
      <c r="C118" s="66">
        <v>5948</v>
      </c>
      <c r="D118" s="186">
        <f t="shared" si="6"/>
        <v>0.32161624690315621</v>
      </c>
      <c r="E118" s="186">
        <v>4.7395159231182302E-2</v>
      </c>
      <c r="G118">
        <v>107</v>
      </c>
      <c r="H118" s="186">
        <f t="shared" ca="1" si="7"/>
        <v>2.375453597815072E-2</v>
      </c>
    </row>
    <row r="119" spans="2:8" x14ac:dyDescent="0.25">
      <c r="B119" s="67">
        <v>43667</v>
      </c>
      <c r="C119" s="66">
        <v>4500.55</v>
      </c>
      <c r="D119" s="186">
        <f t="shared" si="6"/>
        <v>-0.33655922696483448</v>
      </c>
      <c r="E119" s="186">
        <v>4.6870820297507589E-2</v>
      </c>
      <c r="G119">
        <v>108</v>
      </c>
      <c r="H119" s="186">
        <f t="shared" ca="1" si="7"/>
        <v>-3.5030755931732313E-2</v>
      </c>
    </row>
    <row r="120" spans="2:8" x14ac:dyDescent="0.25">
      <c r="B120" s="67">
        <v>44808</v>
      </c>
      <c r="C120" s="66">
        <v>6783.65</v>
      </c>
      <c r="D120" s="186">
        <f t="shared" si="6"/>
        <v>7.6360916613621894</v>
      </c>
      <c r="E120" s="186">
        <v>4.6633443391859784E-2</v>
      </c>
      <c r="G120">
        <v>109</v>
      </c>
      <c r="H120" s="186">
        <f t="shared" ca="1" si="7"/>
        <v>2.9135029519181028E-2</v>
      </c>
    </row>
    <row r="121" spans="2:8" x14ac:dyDescent="0.25">
      <c r="B121" s="67">
        <v>40069</v>
      </c>
      <c r="C121">
        <v>785.5</v>
      </c>
      <c r="D121" s="186">
        <f t="shared" si="6"/>
        <v>-0.69800076893502494</v>
      </c>
      <c r="E121" s="186">
        <v>4.5312396034333562E-2</v>
      </c>
      <c r="G121">
        <v>110</v>
      </c>
      <c r="H121" s="186">
        <f t="shared" ca="1" si="7"/>
        <v>-1.100267758023365E-2</v>
      </c>
    </row>
    <row r="122" spans="2:8" x14ac:dyDescent="0.25">
      <c r="B122" s="67">
        <v>41819</v>
      </c>
      <c r="C122" s="66">
        <v>2601</v>
      </c>
      <c r="D122" s="186">
        <f t="shared" si="6"/>
        <v>-0.11468881362855046</v>
      </c>
      <c r="E122" s="186">
        <v>4.5249959813534767E-2</v>
      </c>
      <c r="G122">
        <v>111</v>
      </c>
      <c r="H122" s="186">
        <f t="shared" ca="1" si="7"/>
        <v>2.9128541433008404E-2</v>
      </c>
    </row>
    <row r="123" spans="2:8" x14ac:dyDescent="0.25">
      <c r="B123" s="67">
        <v>42260</v>
      </c>
      <c r="C123" s="66">
        <v>2937.95</v>
      </c>
      <c r="D123" s="186">
        <f t="shared" si="6"/>
        <v>0.561617987083743</v>
      </c>
      <c r="E123" s="186">
        <v>4.5124684287289642E-2</v>
      </c>
      <c r="G123">
        <v>112</v>
      </c>
      <c r="H123" s="186">
        <f t="shared" ca="1" si="7"/>
        <v>1.1654753404053156E-2</v>
      </c>
    </row>
    <row r="124" spans="2:8" x14ac:dyDescent="0.25">
      <c r="B124" s="67">
        <v>41609</v>
      </c>
      <c r="C124" s="66">
        <v>1881.35</v>
      </c>
      <c r="D124" s="186">
        <f t="shared" si="6"/>
        <v>-0.39387544701826738</v>
      </c>
      <c r="E124" s="186">
        <v>4.4788137946354119E-2</v>
      </c>
      <c r="G124">
        <v>113</v>
      </c>
      <c r="H124" s="186">
        <f t="shared" ca="1" si="7"/>
        <v>-3.1415178335745128E-2</v>
      </c>
    </row>
    <row r="125" spans="2:8" x14ac:dyDescent="0.25">
      <c r="B125" s="67">
        <v>42225</v>
      </c>
      <c r="C125" s="66">
        <v>3103.9</v>
      </c>
      <c r="D125" s="186">
        <f t="shared" si="6"/>
        <v>3.0417995963278854</v>
      </c>
      <c r="E125" s="186">
        <v>4.4064717952167917E-2</v>
      </c>
      <c r="G125">
        <v>114</v>
      </c>
      <c r="H125" s="186">
        <f t="shared" ca="1" si="7"/>
        <v>-4.2671780061326353E-2</v>
      </c>
    </row>
    <row r="126" spans="2:8" x14ac:dyDescent="0.25">
      <c r="B126" s="67">
        <v>40111</v>
      </c>
      <c r="C126">
        <v>767.95</v>
      </c>
      <c r="D126" s="186">
        <f t="shared" si="6"/>
        <v>-0.7280630311614732</v>
      </c>
      <c r="E126" s="186">
        <v>4.4048671062470388E-2</v>
      </c>
      <c r="G126">
        <v>115</v>
      </c>
      <c r="H126" s="186">
        <f t="shared" ca="1" si="7"/>
        <v>2.6258103460182088E-2</v>
      </c>
    </row>
    <row r="127" spans="2:8" x14ac:dyDescent="0.25">
      <c r="B127" s="67">
        <v>42365</v>
      </c>
      <c r="C127" s="66">
        <v>2824</v>
      </c>
      <c r="D127" s="186">
        <f t="shared" si="6"/>
        <v>-0.10073717897686561</v>
      </c>
      <c r="E127" s="186">
        <v>4.3915422149933533E-2</v>
      </c>
      <c r="G127">
        <v>116</v>
      </c>
      <c r="H127" s="186">
        <f t="shared" ca="1" si="7"/>
        <v>4.0840312655727753E-2</v>
      </c>
    </row>
    <row r="128" spans="2:8" x14ac:dyDescent="0.25">
      <c r="B128" s="67">
        <v>42029</v>
      </c>
      <c r="C128" s="66">
        <v>3140.35</v>
      </c>
      <c r="D128" s="186">
        <f t="shared" si="6"/>
        <v>-0.73725977426938738</v>
      </c>
      <c r="E128" s="186">
        <v>4.3877873252779767E-2</v>
      </c>
      <c r="G128">
        <v>117</v>
      </c>
      <c r="H128" s="186">
        <f t="shared" ca="1" si="7"/>
        <v>2.9431757321622025E-4</v>
      </c>
    </row>
    <row r="129" spans="2:8" x14ac:dyDescent="0.25">
      <c r="B129" s="67">
        <v>45557</v>
      </c>
      <c r="C129" s="66">
        <v>11952.3</v>
      </c>
      <c r="D129" s="186">
        <f t="shared" si="6"/>
        <v>14.985421960679414</v>
      </c>
      <c r="E129" s="186">
        <v>4.38462042313486E-2</v>
      </c>
      <c r="G129">
        <v>118</v>
      </c>
      <c r="H129" s="186">
        <f t="shared" ca="1" si="7"/>
        <v>-6.6540131835176345E-3</v>
      </c>
    </row>
    <row r="130" spans="2:8" x14ac:dyDescent="0.25">
      <c r="B130" s="67">
        <v>38893</v>
      </c>
      <c r="C130">
        <v>747.7</v>
      </c>
      <c r="D130" s="186">
        <f t="shared" si="6"/>
        <v>-0.82850720765146391</v>
      </c>
      <c r="E130" s="186">
        <v>4.3399385989394391E-2</v>
      </c>
      <c r="G130">
        <v>119</v>
      </c>
      <c r="H130" s="186">
        <f t="shared" ca="1" si="7"/>
        <v>4.7537310963783636E-2</v>
      </c>
    </row>
    <row r="131" spans="2:8" x14ac:dyDescent="0.25">
      <c r="B131" s="67">
        <v>43121</v>
      </c>
      <c r="C131" s="66">
        <v>4359.95</v>
      </c>
      <c r="D131" s="186">
        <f t="shared" si="6"/>
        <v>-2.0423065257198184E-2</v>
      </c>
      <c r="E131" s="186">
        <v>4.318750074770604E-2</v>
      </c>
      <c r="G131">
        <v>120</v>
      </c>
      <c r="H131" s="186">
        <f t="shared" ca="1" si="7"/>
        <v>4.2075956431807573E-2</v>
      </c>
    </row>
    <row r="132" spans="2:8" x14ac:dyDescent="0.25">
      <c r="B132" s="67">
        <v>43044</v>
      </c>
      <c r="C132" s="66">
        <v>4450.8500000000004</v>
      </c>
      <c r="D132" s="186">
        <f t="shared" si="6"/>
        <v>1.3222028017634937</v>
      </c>
      <c r="E132" s="186">
        <v>4.3074255047398126E-2</v>
      </c>
      <c r="G132">
        <v>121</v>
      </c>
      <c r="H132" s="186">
        <f t="shared" ca="1" si="7"/>
        <v>-2.6254732432970048E-2</v>
      </c>
    </row>
    <row r="133" spans="2:8" x14ac:dyDescent="0.25">
      <c r="B133" s="67">
        <v>41294</v>
      </c>
      <c r="C133" s="66">
        <v>1916.65</v>
      </c>
      <c r="D133" s="186">
        <f t="shared" si="6"/>
        <v>3.2744201605709189</v>
      </c>
      <c r="E133" s="186">
        <v>4.2932934294653835E-2</v>
      </c>
      <c r="G133">
        <v>122</v>
      </c>
      <c r="H133" s="186">
        <f t="shared" ca="1" si="7"/>
        <v>5.4215540998021922E-2</v>
      </c>
    </row>
    <row r="134" spans="2:8" x14ac:dyDescent="0.25">
      <c r="B134" s="67">
        <v>38683</v>
      </c>
      <c r="C134">
        <v>448.4</v>
      </c>
      <c r="D134" s="186">
        <f t="shared" si="6"/>
        <v>-0.59930298020642514</v>
      </c>
      <c r="E134" s="186">
        <v>4.2790697674418551E-2</v>
      </c>
      <c r="G134">
        <v>123</v>
      </c>
      <c r="H134" s="186">
        <f t="shared" ca="1" si="7"/>
        <v>-3.0657119616786722E-2</v>
      </c>
    </row>
    <row r="135" spans="2:8" x14ac:dyDescent="0.25">
      <c r="B135" s="67">
        <v>39082</v>
      </c>
      <c r="C135" s="66">
        <v>1119.05</v>
      </c>
      <c r="D135" s="186">
        <f t="shared" si="6"/>
        <v>-1.9752978276103676E-2</v>
      </c>
      <c r="E135" s="186">
        <v>4.2674120661542005E-2</v>
      </c>
      <c r="G135">
        <v>124</v>
      </c>
      <c r="H135" s="186">
        <f t="shared" ca="1" si="7"/>
        <v>-2.3858408603933162E-2</v>
      </c>
    </row>
    <row r="136" spans="2:8" x14ac:dyDescent="0.25">
      <c r="B136" s="67">
        <v>40811</v>
      </c>
      <c r="C136" s="66">
        <v>1141.5999999999999</v>
      </c>
      <c r="D136" s="186">
        <f t="shared" si="6"/>
        <v>-0.59131508761880902</v>
      </c>
      <c r="E136" s="186">
        <v>4.2033681712381872E-2</v>
      </c>
      <c r="G136">
        <v>125</v>
      </c>
      <c r="H136" s="186">
        <f t="shared" ca="1" si="7"/>
        <v>9.8272310190669343E-3</v>
      </c>
    </row>
    <row r="137" spans="2:8" x14ac:dyDescent="0.25">
      <c r="B137" s="67">
        <v>42309</v>
      </c>
      <c r="C137" s="66">
        <v>2793.35</v>
      </c>
      <c r="D137" s="186">
        <f t="shared" si="6"/>
        <v>1.5647064224395169</v>
      </c>
      <c r="E137" s="186">
        <v>4.2022606035736973E-2</v>
      </c>
      <c r="G137">
        <v>126</v>
      </c>
      <c r="H137" s="186">
        <f t="shared" ca="1" si="7"/>
        <v>4.6238956769134684E-2</v>
      </c>
    </row>
    <row r="138" spans="2:8" x14ac:dyDescent="0.25">
      <c r="B138" s="67">
        <v>40657</v>
      </c>
      <c r="C138" s="66">
        <v>1089.1500000000001</v>
      </c>
      <c r="D138" s="186">
        <f t="shared" si="6"/>
        <v>0.83807273647793468</v>
      </c>
      <c r="E138" s="186">
        <v>4.1650726855394213E-2</v>
      </c>
      <c r="G138">
        <v>127</v>
      </c>
      <c r="H138" s="186">
        <f t="shared" ca="1" si="7"/>
        <v>3.0588761250651523E-2</v>
      </c>
    </row>
    <row r="139" spans="2:8" x14ac:dyDescent="0.25">
      <c r="B139" s="67">
        <v>39614</v>
      </c>
      <c r="C139">
        <v>592.54999999999995</v>
      </c>
      <c r="D139" s="186">
        <f t="shared" si="6"/>
        <v>-0.92264915704485972</v>
      </c>
      <c r="E139" s="186">
        <v>4.1571453682545223E-2</v>
      </c>
      <c r="G139">
        <v>128</v>
      </c>
      <c r="H139" s="186">
        <f t="shared" ca="1" si="7"/>
        <v>-1.9052584896820185E-2</v>
      </c>
    </row>
    <row r="140" spans="2:8" x14ac:dyDescent="0.25">
      <c r="B140" s="67">
        <v>44570</v>
      </c>
      <c r="C140" s="66">
        <v>7660.55</v>
      </c>
      <c r="D140" s="186">
        <f t="shared" ref="D140:D203" si="8">(C140-C141)/C141</f>
        <v>12.018183363072477</v>
      </c>
      <c r="E140" s="186">
        <v>4.1168035989752237E-2</v>
      </c>
      <c r="G140">
        <v>129</v>
      </c>
      <c r="H140" s="186">
        <f t="shared" ca="1" si="7"/>
        <v>-4.3226491797270006E-2</v>
      </c>
    </row>
    <row r="141" spans="2:8" x14ac:dyDescent="0.25">
      <c r="B141" s="67">
        <v>39691</v>
      </c>
      <c r="C141">
        <v>588.45000000000005</v>
      </c>
      <c r="D141" s="186">
        <f t="shared" si="8"/>
        <v>-0.94998087466530656</v>
      </c>
      <c r="E141" s="186">
        <v>4.1135881104033968E-2</v>
      </c>
      <c r="G141">
        <v>130</v>
      </c>
      <c r="H141" s="186">
        <f t="shared" ref="H141:H204" ca="1" si="9">_xlfn.NORM.INV(RAND(),N$14,N$15)</f>
        <v>-2.5676387150680317E-2</v>
      </c>
    </row>
    <row r="142" spans="2:8" x14ac:dyDescent="0.25">
      <c r="B142" s="67">
        <v>45501</v>
      </c>
      <c r="C142" s="66">
        <v>11764.5</v>
      </c>
      <c r="D142" s="186">
        <f t="shared" si="8"/>
        <v>1.4714816915611015</v>
      </c>
      <c r="E142" s="186">
        <v>4.1073949036976698E-2</v>
      </c>
      <c r="G142">
        <v>131</v>
      </c>
      <c r="H142" s="186">
        <f t="shared" ca="1" si="9"/>
        <v>3.3599585526098265E-3</v>
      </c>
    </row>
    <row r="143" spans="2:8" x14ac:dyDescent="0.25">
      <c r="B143" s="67">
        <v>43611</v>
      </c>
      <c r="C143" s="66">
        <v>4760.1000000000004</v>
      </c>
      <c r="D143" s="186">
        <f t="shared" si="8"/>
        <v>5.8693267912547809</v>
      </c>
      <c r="E143" s="186">
        <v>4.0948205167455738E-2</v>
      </c>
      <c r="G143">
        <v>132</v>
      </c>
      <c r="H143" s="186">
        <f t="shared" ca="1" si="9"/>
        <v>-5.8826194437199886E-2</v>
      </c>
    </row>
    <row r="144" spans="2:8" x14ac:dyDescent="0.25">
      <c r="B144" s="67">
        <v>39579</v>
      </c>
      <c r="C144">
        <v>692.95</v>
      </c>
      <c r="D144" s="186">
        <f t="shared" si="8"/>
        <v>-0.8302154924228502</v>
      </c>
      <c r="E144" s="186">
        <v>4.0934354814480996E-2</v>
      </c>
      <c r="G144">
        <v>133</v>
      </c>
      <c r="H144" s="186">
        <f t="shared" ca="1" si="9"/>
        <v>-1.1556015572155475E-2</v>
      </c>
    </row>
    <row r="145" spans="2:8" x14ac:dyDescent="0.25">
      <c r="B145" s="67">
        <v>42946</v>
      </c>
      <c r="C145" s="66">
        <v>4081.35</v>
      </c>
      <c r="D145" s="186">
        <f t="shared" si="8"/>
        <v>-0.46685607916135985</v>
      </c>
      <c r="E145" s="186">
        <v>4.0483868911804749E-2</v>
      </c>
      <c r="G145">
        <v>134</v>
      </c>
      <c r="H145" s="186">
        <f t="shared" ca="1" si="9"/>
        <v>-3.8255347394910488E-2</v>
      </c>
    </row>
    <row r="146" spans="2:8" x14ac:dyDescent="0.25">
      <c r="B146" s="67">
        <v>45025</v>
      </c>
      <c r="C146" s="66">
        <v>7655.25</v>
      </c>
      <c r="D146" s="186">
        <f t="shared" si="8"/>
        <v>-5.2656003465024907E-2</v>
      </c>
      <c r="E146" s="186">
        <v>4.0327512400625126E-2</v>
      </c>
      <c r="G146">
        <v>135</v>
      </c>
      <c r="H146" s="186">
        <f t="shared" ca="1" si="9"/>
        <v>8.2622439089048261E-2</v>
      </c>
    </row>
    <row r="147" spans="2:8" x14ac:dyDescent="0.25">
      <c r="B147" s="67">
        <v>44507</v>
      </c>
      <c r="C147" s="66">
        <v>8080.75</v>
      </c>
      <c r="D147" s="186">
        <f t="shared" si="8"/>
        <v>19.845479169353801</v>
      </c>
      <c r="E147" s="186">
        <v>4.0301504949985217E-2</v>
      </c>
      <c r="G147">
        <v>136</v>
      </c>
      <c r="H147" s="186">
        <f t="shared" ca="1" si="9"/>
        <v>6.5964435411694666E-2</v>
      </c>
    </row>
    <row r="148" spans="2:8" x14ac:dyDescent="0.25">
      <c r="B148" s="67">
        <v>38417</v>
      </c>
      <c r="C148">
        <v>387.65</v>
      </c>
      <c r="D148" s="186">
        <f t="shared" si="8"/>
        <v>-0.85379146472551715</v>
      </c>
      <c r="E148" s="186">
        <v>4.0112691172524792E-2</v>
      </c>
      <c r="G148">
        <v>137</v>
      </c>
      <c r="H148" s="186">
        <f t="shared" ca="1" si="9"/>
        <v>-5.343169079455419E-2</v>
      </c>
    </row>
    <row r="149" spans="2:8" x14ac:dyDescent="0.25">
      <c r="B149" s="67">
        <v>41868</v>
      </c>
      <c r="C149" s="66">
        <v>2651.35</v>
      </c>
      <c r="D149" s="186">
        <f t="shared" si="8"/>
        <v>0.86872709331829712</v>
      </c>
      <c r="E149" s="186">
        <v>3.9724711280170868E-2</v>
      </c>
      <c r="G149">
        <v>138</v>
      </c>
      <c r="H149" s="186">
        <f t="shared" ca="1" si="9"/>
        <v>-8.1991950052061717E-3</v>
      </c>
    </row>
    <row r="150" spans="2:8" x14ac:dyDescent="0.25">
      <c r="B150" s="67">
        <v>41021</v>
      </c>
      <c r="C150" s="66">
        <v>1418.8</v>
      </c>
      <c r="D150" s="186">
        <f t="shared" si="8"/>
        <v>-0.6476169187591585</v>
      </c>
      <c r="E150" s="186">
        <v>3.9528153276916916E-2</v>
      </c>
      <c r="G150">
        <v>139</v>
      </c>
      <c r="H150" s="186">
        <f t="shared" ca="1" si="9"/>
        <v>4.9232641341043201E-2</v>
      </c>
    </row>
    <row r="151" spans="2:8" x14ac:dyDescent="0.25">
      <c r="B151" s="67">
        <v>43170</v>
      </c>
      <c r="C151" s="66">
        <v>4026.3</v>
      </c>
      <c r="D151" s="186">
        <f t="shared" si="8"/>
        <v>-0.27254824022548241</v>
      </c>
      <c r="E151" s="186">
        <v>3.9380445304937124E-2</v>
      </c>
      <c r="G151">
        <v>140</v>
      </c>
      <c r="H151" s="186">
        <f t="shared" ca="1" si="9"/>
        <v>-5.3976862891743443E-2</v>
      </c>
    </row>
    <row r="152" spans="2:8" x14ac:dyDescent="0.25">
      <c r="B152" s="67">
        <v>44213</v>
      </c>
      <c r="C152" s="66">
        <v>5534.8</v>
      </c>
      <c r="D152" s="186">
        <f t="shared" si="8"/>
        <v>14.176309295311215</v>
      </c>
      <c r="E152" s="186">
        <v>3.8960063822797916E-2</v>
      </c>
      <c r="G152">
        <v>141</v>
      </c>
      <c r="H152" s="186">
        <f t="shared" ca="1" si="9"/>
        <v>-5.0775812253266439E-2</v>
      </c>
    </row>
    <row r="153" spans="2:8" x14ac:dyDescent="0.25">
      <c r="B153" s="67">
        <v>38473</v>
      </c>
      <c r="C153">
        <v>364.7</v>
      </c>
      <c r="D153" s="186">
        <f t="shared" si="8"/>
        <v>-0.54355444305381728</v>
      </c>
      <c r="E153" s="186">
        <v>3.8735403019082786E-2</v>
      </c>
      <c r="G153">
        <v>142</v>
      </c>
      <c r="H153" s="186">
        <f t="shared" ca="1" si="9"/>
        <v>3.0392979831194007E-2</v>
      </c>
    </row>
    <row r="154" spans="2:8" x14ac:dyDescent="0.25">
      <c r="B154" s="67">
        <v>40020</v>
      </c>
      <c r="C154">
        <v>799</v>
      </c>
      <c r="D154" s="186">
        <f t="shared" si="8"/>
        <v>-0.79588969357908312</v>
      </c>
      <c r="E154" s="186">
        <v>3.8674033149171269E-2</v>
      </c>
      <c r="G154">
        <v>143</v>
      </c>
      <c r="H154" s="186">
        <f t="shared" ca="1" si="9"/>
        <v>-1.3848202231177763E-2</v>
      </c>
    </row>
    <row r="155" spans="2:8" x14ac:dyDescent="0.25">
      <c r="B155" s="67">
        <v>43464</v>
      </c>
      <c r="C155" s="66">
        <v>3914.55</v>
      </c>
      <c r="D155" s="186">
        <f t="shared" si="8"/>
        <v>-0.68354486661277292</v>
      </c>
      <c r="E155" s="186">
        <v>3.8287093522890128E-2</v>
      </c>
      <c r="G155">
        <v>144</v>
      </c>
      <c r="H155" s="186">
        <f t="shared" ca="1" si="9"/>
        <v>-3.2127749242290577E-3</v>
      </c>
    </row>
    <row r="156" spans="2:8" x14ac:dyDescent="0.25">
      <c r="B156" s="67">
        <v>45942</v>
      </c>
      <c r="C156" s="66">
        <v>12370</v>
      </c>
      <c r="D156" s="186">
        <f t="shared" si="8"/>
        <v>1.9617037577963203</v>
      </c>
      <c r="E156" s="186">
        <v>3.7925826480953183E-2</v>
      </c>
      <c r="G156">
        <v>145</v>
      </c>
      <c r="H156" s="186">
        <f t="shared" ca="1" si="9"/>
        <v>-3.1927100894926959E-2</v>
      </c>
    </row>
    <row r="157" spans="2:8" x14ac:dyDescent="0.25">
      <c r="B157" s="67">
        <v>42932</v>
      </c>
      <c r="C157" s="66">
        <v>4176.6499999999996</v>
      </c>
      <c r="D157" s="186">
        <f t="shared" si="8"/>
        <v>0.48680205756189576</v>
      </c>
      <c r="E157" s="186">
        <v>3.7883305998707775E-2</v>
      </c>
      <c r="G157">
        <v>146</v>
      </c>
      <c r="H157" s="186">
        <f t="shared" ca="1" si="9"/>
        <v>4.4275452906600747E-3</v>
      </c>
    </row>
    <row r="158" spans="2:8" x14ac:dyDescent="0.25">
      <c r="B158" s="67">
        <v>42106</v>
      </c>
      <c r="C158" s="66">
        <v>2809.15</v>
      </c>
      <c r="D158" s="186">
        <f t="shared" si="8"/>
        <v>-0.29764226422642259</v>
      </c>
      <c r="E158" s="186">
        <v>3.7754668538392024E-2</v>
      </c>
      <c r="G158">
        <v>147</v>
      </c>
      <c r="H158" s="186">
        <f t="shared" ca="1" si="9"/>
        <v>6.3139154803691283E-2</v>
      </c>
    </row>
    <row r="159" spans="2:8" x14ac:dyDescent="0.25">
      <c r="B159" s="67">
        <v>42995</v>
      </c>
      <c r="C159" s="66">
        <v>3999.6</v>
      </c>
      <c r="D159" s="186">
        <f t="shared" si="8"/>
        <v>1.3131777565715279</v>
      </c>
      <c r="E159" s="186">
        <v>3.7725079134450758E-2</v>
      </c>
      <c r="G159">
        <v>148</v>
      </c>
      <c r="H159" s="186">
        <f t="shared" ca="1" si="9"/>
        <v>2.0986941408207595E-2</v>
      </c>
    </row>
    <row r="160" spans="2:8" x14ac:dyDescent="0.25">
      <c r="B160" s="67">
        <v>41672</v>
      </c>
      <c r="C160" s="66">
        <v>1729.05</v>
      </c>
      <c r="D160" s="186">
        <f t="shared" si="8"/>
        <v>-0.10092816472974034</v>
      </c>
      <c r="E160" s="186">
        <v>3.7627149158340117E-2</v>
      </c>
      <c r="G160">
        <v>149</v>
      </c>
      <c r="H160" s="186">
        <f t="shared" ca="1" si="9"/>
        <v>7.6543695722215088E-2</v>
      </c>
    </row>
    <row r="161" spans="2:8" x14ac:dyDescent="0.25">
      <c r="B161" s="67">
        <v>41343</v>
      </c>
      <c r="C161" s="66">
        <v>1923.15</v>
      </c>
      <c r="D161" s="186">
        <f t="shared" si="8"/>
        <v>0.90203738502620912</v>
      </c>
      <c r="E161" s="186">
        <v>3.7577555975182135E-2</v>
      </c>
      <c r="G161">
        <v>150</v>
      </c>
      <c r="H161" s="186">
        <f t="shared" ca="1" si="9"/>
        <v>-3.4769537764169189E-2</v>
      </c>
    </row>
    <row r="162" spans="2:8" x14ac:dyDescent="0.25">
      <c r="B162" s="67">
        <v>39376</v>
      </c>
      <c r="C162" s="66">
        <v>1011.1</v>
      </c>
      <c r="D162" s="186">
        <f t="shared" si="8"/>
        <v>-0.75111690933034669</v>
      </c>
      <c r="E162" s="186">
        <v>3.7451262056228195E-2</v>
      </c>
      <c r="G162">
        <v>151</v>
      </c>
      <c r="H162" s="186">
        <f t="shared" ca="1" si="9"/>
        <v>0.10127192204577293</v>
      </c>
    </row>
    <row r="163" spans="2:8" x14ac:dyDescent="0.25">
      <c r="B163" s="67">
        <v>44066</v>
      </c>
      <c r="C163" s="66">
        <v>4062.55</v>
      </c>
      <c r="D163" s="186">
        <f t="shared" si="8"/>
        <v>1.4977764453105551E-2</v>
      </c>
      <c r="E163" s="186">
        <v>3.7396899977018019E-2</v>
      </c>
      <c r="G163">
        <v>152</v>
      </c>
      <c r="H163" s="186">
        <f t="shared" ca="1" si="9"/>
        <v>4.2473066211934307E-2</v>
      </c>
    </row>
    <row r="164" spans="2:8" x14ac:dyDescent="0.25">
      <c r="B164" s="67">
        <v>44087</v>
      </c>
      <c r="C164" s="66">
        <v>4002.6</v>
      </c>
      <c r="D164" s="186">
        <f t="shared" si="8"/>
        <v>0.98467831907772396</v>
      </c>
      <c r="E164" s="186">
        <v>3.7346118958144332E-2</v>
      </c>
      <c r="G164">
        <v>153</v>
      </c>
      <c r="H164" s="186">
        <f t="shared" ca="1" si="9"/>
        <v>-6.57090094776418E-2</v>
      </c>
    </row>
    <row r="165" spans="2:8" x14ac:dyDescent="0.25">
      <c r="B165" s="67">
        <v>41406</v>
      </c>
      <c r="C165" s="66">
        <v>2016.75</v>
      </c>
      <c r="D165" s="186">
        <f t="shared" si="8"/>
        <v>2.6724938541382137</v>
      </c>
      <c r="E165" s="186">
        <v>3.7316119740767387E-2</v>
      </c>
      <c r="G165">
        <v>154</v>
      </c>
      <c r="H165" s="186">
        <f t="shared" ca="1" si="9"/>
        <v>-5.5477853918942319E-2</v>
      </c>
    </row>
    <row r="166" spans="2:8" x14ac:dyDescent="0.25">
      <c r="B166" s="67">
        <v>39901</v>
      </c>
      <c r="C166">
        <v>549.15</v>
      </c>
      <c r="D166" s="186">
        <f t="shared" si="8"/>
        <v>0.81088211046990921</v>
      </c>
      <c r="E166" s="186">
        <v>3.730638458632414E-2</v>
      </c>
      <c r="G166">
        <v>155</v>
      </c>
      <c r="H166" s="186">
        <f t="shared" ca="1" si="9"/>
        <v>-8.7636146927551506E-2</v>
      </c>
    </row>
    <row r="167" spans="2:8" x14ac:dyDescent="0.25">
      <c r="B167" s="67">
        <v>38284</v>
      </c>
      <c r="C167">
        <v>303.25</v>
      </c>
      <c r="D167" s="186">
        <f t="shared" si="8"/>
        <v>-0.92516503177247211</v>
      </c>
      <c r="E167" s="186">
        <v>3.7284077304600566E-2</v>
      </c>
      <c r="G167">
        <v>156</v>
      </c>
      <c r="H167" s="186">
        <f t="shared" ca="1" si="9"/>
        <v>-3.0029402414854498E-2</v>
      </c>
    </row>
    <row r="168" spans="2:8" x14ac:dyDescent="0.25">
      <c r="B168" s="67">
        <v>43702</v>
      </c>
      <c r="C168" s="66">
        <v>4052.25</v>
      </c>
      <c r="D168" s="186">
        <f t="shared" si="8"/>
        <v>9.7815617932685903</v>
      </c>
      <c r="E168" s="186">
        <v>3.7030876124425745E-2</v>
      </c>
      <c r="G168">
        <v>157</v>
      </c>
      <c r="H168" s="186">
        <f t="shared" ca="1" si="9"/>
        <v>-7.2470361787480694E-3</v>
      </c>
    </row>
    <row r="169" spans="2:8" x14ac:dyDescent="0.25">
      <c r="B169" s="67">
        <v>38543</v>
      </c>
      <c r="C169">
        <v>375.85</v>
      </c>
      <c r="D169" s="186">
        <f t="shared" si="8"/>
        <v>-0.96995123121202431</v>
      </c>
      <c r="E169" s="186">
        <v>3.6827586206896613E-2</v>
      </c>
      <c r="G169">
        <v>158</v>
      </c>
      <c r="H169" s="186">
        <f t="shared" ca="1" si="9"/>
        <v>-4.5480766319778196E-2</v>
      </c>
    </row>
    <row r="170" spans="2:8" x14ac:dyDescent="0.25">
      <c r="B170" s="67">
        <v>45914</v>
      </c>
      <c r="C170" s="66">
        <v>12508</v>
      </c>
      <c r="D170" s="186">
        <f t="shared" si="8"/>
        <v>9.6324379462767755</v>
      </c>
      <c r="E170" s="186">
        <v>3.6288318144159074E-2</v>
      </c>
      <c r="G170">
        <v>159</v>
      </c>
      <c r="H170" s="186">
        <f t="shared" ca="1" si="9"/>
        <v>0.10368394848705954</v>
      </c>
    </row>
    <row r="171" spans="2:8" x14ac:dyDescent="0.25">
      <c r="B171" s="67">
        <v>40853</v>
      </c>
      <c r="C171" s="66">
        <v>1176.4000000000001</v>
      </c>
      <c r="D171" s="186">
        <f t="shared" si="8"/>
        <v>0.42034409900392405</v>
      </c>
      <c r="E171" s="186">
        <v>3.5928143712575016E-2</v>
      </c>
      <c r="G171">
        <v>160</v>
      </c>
      <c r="H171" s="186">
        <f t="shared" ca="1" si="9"/>
        <v>-4.5757661003321516E-3</v>
      </c>
    </row>
    <row r="172" spans="2:8" x14ac:dyDescent="0.25">
      <c r="B172" s="67">
        <v>39201</v>
      </c>
      <c r="C172">
        <v>828.25</v>
      </c>
      <c r="D172" s="186">
        <f t="shared" si="8"/>
        <v>-0.57398930151219008</v>
      </c>
      <c r="E172" s="186">
        <v>3.5118415297131819E-2</v>
      </c>
      <c r="G172">
        <v>161</v>
      </c>
      <c r="H172" s="186">
        <f t="shared" ca="1" si="9"/>
        <v>-6.5174622513460387E-2</v>
      </c>
    </row>
    <row r="173" spans="2:8" x14ac:dyDescent="0.25">
      <c r="B173" s="67">
        <v>41413</v>
      </c>
      <c r="C173" s="66">
        <v>1944.2</v>
      </c>
      <c r="D173" s="186">
        <f t="shared" si="8"/>
        <v>7.2270431291283745E-3</v>
      </c>
      <c r="E173" s="186">
        <v>3.5084917212372939E-2</v>
      </c>
      <c r="G173">
        <v>162</v>
      </c>
      <c r="H173" s="186">
        <f t="shared" ca="1" si="9"/>
        <v>-1.724561986299137E-2</v>
      </c>
    </row>
    <row r="174" spans="2:8" x14ac:dyDescent="0.25">
      <c r="B174" s="67">
        <v>41469</v>
      </c>
      <c r="C174" s="66">
        <v>1930.25</v>
      </c>
      <c r="D174" s="186">
        <f t="shared" si="8"/>
        <v>-0.73765400637431788</v>
      </c>
      <c r="E174" s="186">
        <v>3.5014343548084373E-2</v>
      </c>
      <c r="G174">
        <v>163</v>
      </c>
      <c r="H174" s="186">
        <f t="shared" ca="1" si="9"/>
        <v>2.4003330673172715E-2</v>
      </c>
    </row>
    <row r="175" spans="2:8" x14ac:dyDescent="0.25">
      <c r="B175" s="67">
        <v>44577</v>
      </c>
      <c r="C175" s="66">
        <v>7357.65</v>
      </c>
      <c r="D175" s="186">
        <f t="shared" si="8"/>
        <v>1.2492892299226559</v>
      </c>
      <c r="E175" s="186">
        <v>3.485305597164487E-2</v>
      </c>
      <c r="G175">
        <v>164</v>
      </c>
      <c r="H175" s="186">
        <f t="shared" ca="1" si="9"/>
        <v>-4.7026344820382357E-2</v>
      </c>
    </row>
    <row r="176" spans="2:8" x14ac:dyDescent="0.25">
      <c r="B176" s="67">
        <v>42477</v>
      </c>
      <c r="C176" s="66">
        <v>3271.1</v>
      </c>
      <c r="D176" s="186">
        <f t="shared" si="8"/>
        <v>1.9815878224409809</v>
      </c>
      <c r="E176" s="186">
        <v>3.4683452213383127E-2</v>
      </c>
      <c r="G176">
        <v>165</v>
      </c>
      <c r="H176" s="186">
        <f t="shared" ca="1" si="9"/>
        <v>-1.124632904492252E-2</v>
      </c>
    </row>
    <row r="177" spans="2:8" x14ac:dyDescent="0.25">
      <c r="B177" s="67">
        <v>40517</v>
      </c>
      <c r="C177" s="66">
        <v>1097.0999999999999</v>
      </c>
      <c r="D177" s="186">
        <f t="shared" si="8"/>
        <v>-0.69163528022935528</v>
      </c>
      <c r="E177" s="186">
        <v>3.451202263083443E-2</v>
      </c>
      <c r="G177">
        <v>166</v>
      </c>
      <c r="H177" s="186">
        <f t="shared" ca="1" si="9"/>
        <v>5.8116374587133021E-2</v>
      </c>
    </row>
    <row r="178" spans="2:8" x14ac:dyDescent="0.25">
      <c r="B178" s="67">
        <v>43499</v>
      </c>
      <c r="C178" s="66">
        <v>3557.8</v>
      </c>
      <c r="D178" s="186">
        <f t="shared" si="8"/>
        <v>-0.51892366979920224</v>
      </c>
      <c r="E178" s="186">
        <v>3.4409571297736662E-2</v>
      </c>
      <c r="G178">
        <v>167</v>
      </c>
      <c r="H178" s="186">
        <f t="shared" ca="1" si="9"/>
        <v>-9.0701817779988789E-3</v>
      </c>
    </row>
    <row r="179" spans="2:8" x14ac:dyDescent="0.25">
      <c r="B179" s="67">
        <v>44479</v>
      </c>
      <c r="C179" s="66">
        <v>7395.5</v>
      </c>
      <c r="D179" s="186">
        <f t="shared" si="8"/>
        <v>-0.24661022992369827</v>
      </c>
      <c r="E179" s="186">
        <v>3.4393532505314933E-2</v>
      </c>
      <c r="G179">
        <v>168</v>
      </c>
      <c r="H179" s="186">
        <f t="shared" ca="1" si="9"/>
        <v>-1.0115533561582232E-2</v>
      </c>
    </row>
    <row r="180" spans="2:8" x14ac:dyDescent="0.25">
      <c r="B180" s="67">
        <v>45410</v>
      </c>
      <c r="C180" s="66">
        <v>9816.2999999999993</v>
      </c>
      <c r="D180" s="186">
        <f t="shared" si="8"/>
        <v>16.418685121107266</v>
      </c>
      <c r="E180" s="186">
        <v>3.4198299566989949E-2</v>
      </c>
      <c r="G180">
        <v>169</v>
      </c>
      <c r="H180" s="186">
        <f t="shared" ca="1" si="9"/>
        <v>3.6690969261996942E-2</v>
      </c>
    </row>
    <row r="181" spans="2:8" x14ac:dyDescent="0.25">
      <c r="B181" s="67">
        <v>39705</v>
      </c>
      <c r="C181">
        <v>563.54999999999995</v>
      </c>
      <c r="D181" s="186">
        <f t="shared" si="8"/>
        <v>-0.69979224376731308</v>
      </c>
      <c r="E181" s="186">
        <v>3.4131571703825872E-2</v>
      </c>
      <c r="G181">
        <v>170</v>
      </c>
      <c r="H181" s="186">
        <f t="shared" ca="1" si="9"/>
        <v>-1.1072069756819965E-2</v>
      </c>
    </row>
    <row r="182" spans="2:8" x14ac:dyDescent="0.25">
      <c r="B182" s="67">
        <v>41588</v>
      </c>
      <c r="C182" s="66">
        <v>1877.2</v>
      </c>
      <c r="D182" s="186">
        <f t="shared" si="8"/>
        <v>1.7075773745998109E-3</v>
      </c>
      <c r="E182" s="186">
        <v>3.4127530643162124E-2</v>
      </c>
      <c r="G182">
        <v>171</v>
      </c>
      <c r="H182" s="186">
        <f t="shared" ca="1" si="9"/>
        <v>-6.1278951120444913E-3</v>
      </c>
    </row>
    <row r="183" spans="2:8" x14ac:dyDescent="0.25">
      <c r="B183" s="67">
        <v>41434</v>
      </c>
      <c r="C183" s="66">
        <v>1874</v>
      </c>
      <c r="D183" s="186">
        <f t="shared" si="8"/>
        <v>-0.40386817661280061</v>
      </c>
      <c r="E183" s="186">
        <v>3.3560378347075481E-2</v>
      </c>
      <c r="G183">
        <v>172</v>
      </c>
      <c r="H183" s="186">
        <f t="shared" ca="1" si="9"/>
        <v>8.4093382446194243E-2</v>
      </c>
    </row>
    <row r="184" spans="2:8" x14ac:dyDescent="0.25">
      <c r="B184" s="67">
        <v>43912</v>
      </c>
      <c r="C184" s="66">
        <v>3143.6</v>
      </c>
      <c r="D184" s="186">
        <f t="shared" si="8"/>
        <v>3.0160970935803255</v>
      </c>
      <c r="E184" s="186">
        <v>3.3534981588637561E-2</v>
      </c>
      <c r="G184">
        <v>173</v>
      </c>
      <c r="H184" s="186">
        <f t="shared" ca="1" si="9"/>
        <v>2.5788938750865121E-2</v>
      </c>
    </row>
    <row r="185" spans="2:8" x14ac:dyDescent="0.25">
      <c r="B185" s="67">
        <v>39558</v>
      </c>
      <c r="C185">
        <v>782.75</v>
      </c>
      <c r="D185" s="186">
        <f t="shared" si="8"/>
        <v>-0.93275690256515986</v>
      </c>
      <c r="E185" s="186">
        <v>3.3469764985476665E-2</v>
      </c>
      <c r="G185">
        <v>174</v>
      </c>
      <c r="H185" s="186">
        <f t="shared" ca="1" si="9"/>
        <v>-2.4281663861121239E-4</v>
      </c>
    </row>
    <row r="186" spans="2:8" x14ac:dyDescent="0.25">
      <c r="B186" s="67">
        <v>45690</v>
      </c>
      <c r="C186" s="66">
        <v>11640.6</v>
      </c>
      <c r="D186" s="186">
        <f t="shared" si="8"/>
        <v>1.8493519527090703</v>
      </c>
      <c r="E186" s="186">
        <v>3.3447711040186082E-2</v>
      </c>
      <c r="G186">
        <v>175</v>
      </c>
      <c r="H186" s="186">
        <f t="shared" ca="1" si="9"/>
        <v>2.3297262542730651E-2</v>
      </c>
    </row>
    <row r="187" spans="2:8" x14ac:dyDescent="0.25">
      <c r="B187" s="67">
        <v>42610</v>
      </c>
      <c r="C187" s="66">
        <v>4085.35</v>
      </c>
      <c r="D187" s="186">
        <f t="shared" si="8"/>
        <v>2.5773972430763074E-2</v>
      </c>
      <c r="E187" s="186">
        <v>3.3297923464096948E-2</v>
      </c>
      <c r="G187">
        <v>176</v>
      </c>
      <c r="H187" s="186">
        <f t="shared" ca="1" si="9"/>
        <v>-3.5617431862589713E-2</v>
      </c>
    </row>
    <row r="188" spans="2:8" x14ac:dyDescent="0.25">
      <c r="B188" s="67">
        <v>42666</v>
      </c>
      <c r="C188" s="66">
        <v>3982.7</v>
      </c>
      <c r="D188" s="186">
        <f t="shared" si="8"/>
        <v>0.47223865148602695</v>
      </c>
      <c r="E188" s="186">
        <v>3.324642305846328E-2</v>
      </c>
      <c r="G188">
        <v>177</v>
      </c>
      <c r="H188" s="186">
        <f t="shared" ca="1" si="9"/>
        <v>-0.10263183165183697</v>
      </c>
    </row>
    <row r="189" spans="2:8" x14ac:dyDescent="0.25">
      <c r="B189" s="67">
        <v>42372</v>
      </c>
      <c r="C189" s="66">
        <v>2705.2</v>
      </c>
      <c r="D189" s="186">
        <f t="shared" si="8"/>
        <v>-6.2679740826721217E-2</v>
      </c>
      <c r="E189" s="186">
        <v>3.322893591016729E-2</v>
      </c>
      <c r="G189">
        <v>178</v>
      </c>
      <c r="H189" s="186">
        <f t="shared" ca="1" si="9"/>
        <v>-1.8850412084269078E-2</v>
      </c>
    </row>
    <row r="190" spans="2:8" x14ac:dyDescent="0.25">
      <c r="B190" s="67">
        <v>42302</v>
      </c>
      <c r="C190" s="66">
        <v>2886.1</v>
      </c>
      <c r="D190" s="186">
        <f t="shared" si="8"/>
        <v>8.9008576329331035</v>
      </c>
      <c r="E190" s="186">
        <v>3.3203859165518108E-2</v>
      </c>
      <c r="G190">
        <v>179</v>
      </c>
      <c r="H190" s="186">
        <f t="shared" ca="1" si="9"/>
        <v>-8.7735375581158674E-3</v>
      </c>
    </row>
    <row r="191" spans="2:8" x14ac:dyDescent="0.25">
      <c r="B191" s="67">
        <v>38298</v>
      </c>
      <c r="C191">
        <v>291.5</v>
      </c>
      <c r="D191" s="186">
        <f t="shared" si="8"/>
        <v>-0.83122973598888372</v>
      </c>
      <c r="E191" s="186">
        <v>3.3138401559454272E-2</v>
      </c>
      <c r="G191">
        <v>180</v>
      </c>
      <c r="H191" s="186">
        <f t="shared" ca="1" si="9"/>
        <v>-6.5044599121269572E-2</v>
      </c>
    </row>
    <row r="192" spans="2:8" x14ac:dyDescent="0.25">
      <c r="B192" s="67">
        <v>41637</v>
      </c>
      <c r="C192" s="66">
        <v>1727.2</v>
      </c>
      <c r="D192" s="186">
        <f t="shared" si="8"/>
        <v>1.0670177118238391</v>
      </c>
      <c r="E192" s="186">
        <v>3.3137935159708157E-2</v>
      </c>
      <c r="G192">
        <v>181</v>
      </c>
      <c r="H192" s="186">
        <f t="shared" ca="1" si="9"/>
        <v>-1.1438513238640856E-2</v>
      </c>
    </row>
    <row r="193" spans="2:8" x14ac:dyDescent="0.25">
      <c r="B193" s="67">
        <v>39229</v>
      </c>
      <c r="C193">
        <v>835.6</v>
      </c>
      <c r="D193" s="186">
        <f t="shared" si="8"/>
        <v>-0.87666784744361781</v>
      </c>
      <c r="E193" s="186">
        <v>3.2943939674887172E-2</v>
      </c>
      <c r="G193">
        <v>182</v>
      </c>
      <c r="H193" s="186">
        <f t="shared" ca="1" si="9"/>
        <v>-3.3804611938097903E-2</v>
      </c>
    </row>
    <row r="194" spans="2:8" x14ac:dyDescent="0.25">
      <c r="B194" s="67">
        <v>44773</v>
      </c>
      <c r="C194" s="66">
        <v>6775.2</v>
      </c>
      <c r="D194" s="186">
        <f t="shared" si="8"/>
        <v>6.1385523127173105</v>
      </c>
      <c r="E194" s="186">
        <v>3.2915097647614779E-2</v>
      </c>
      <c r="G194">
        <v>183</v>
      </c>
      <c r="H194" s="186">
        <f t="shared" ca="1" si="9"/>
        <v>4.6857117002841939E-2</v>
      </c>
    </row>
    <row r="195" spans="2:8" x14ac:dyDescent="0.25">
      <c r="B195" s="67">
        <v>40405</v>
      </c>
      <c r="C195">
        <v>949.1</v>
      </c>
      <c r="D195" s="186">
        <f t="shared" si="8"/>
        <v>-0.69506827309236952</v>
      </c>
      <c r="E195" s="186">
        <v>3.2809184395233663E-2</v>
      </c>
      <c r="G195">
        <v>184</v>
      </c>
      <c r="H195" s="186">
        <f t="shared" ca="1" si="9"/>
        <v>-5.1549804258841994E-2</v>
      </c>
    </row>
    <row r="196" spans="2:8" x14ac:dyDescent="0.25">
      <c r="B196" s="67">
        <v>42043</v>
      </c>
      <c r="C196" s="66">
        <v>3112.5</v>
      </c>
      <c r="D196" s="186">
        <f t="shared" si="8"/>
        <v>3.0461488462788431</v>
      </c>
      <c r="E196" s="186">
        <v>3.2646561162536114E-2</v>
      </c>
      <c r="G196">
        <v>185</v>
      </c>
      <c r="H196" s="186">
        <f t="shared" ca="1" si="9"/>
        <v>-1.3800415299191971E-3</v>
      </c>
    </row>
    <row r="197" spans="2:8" x14ac:dyDescent="0.25">
      <c r="B197" s="67">
        <v>40027</v>
      </c>
      <c r="C197">
        <v>769.25</v>
      </c>
      <c r="D197" s="186">
        <f t="shared" si="8"/>
        <v>-0.80410257716206579</v>
      </c>
      <c r="E197" s="186">
        <v>3.2550335570469796E-2</v>
      </c>
      <c r="G197">
        <v>186</v>
      </c>
      <c r="H197" s="186">
        <f t="shared" ca="1" si="9"/>
        <v>2.6334330064047076E-2</v>
      </c>
    </row>
    <row r="198" spans="2:8" x14ac:dyDescent="0.25">
      <c r="B198" s="67">
        <v>42596</v>
      </c>
      <c r="C198" s="66">
        <v>3926.8</v>
      </c>
      <c r="D198" s="186">
        <f t="shared" si="8"/>
        <v>1.1807075026378633</v>
      </c>
      <c r="E198" s="186">
        <v>3.2431082306853085E-2</v>
      </c>
      <c r="G198">
        <v>187</v>
      </c>
      <c r="H198" s="186">
        <f t="shared" ca="1" si="9"/>
        <v>2.8420055055509316E-2</v>
      </c>
    </row>
    <row r="199" spans="2:8" x14ac:dyDescent="0.25">
      <c r="B199" s="67">
        <v>41616</v>
      </c>
      <c r="C199" s="66">
        <v>1800.7</v>
      </c>
      <c r="D199" s="186">
        <f t="shared" si="8"/>
        <v>0.76547869993627138</v>
      </c>
      <c r="E199" s="186">
        <v>3.2393074188739823E-2</v>
      </c>
      <c r="G199">
        <v>188</v>
      </c>
      <c r="H199" s="186">
        <f t="shared" ca="1" si="9"/>
        <v>7.0630502704685835E-2</v>
      </c>
    </row>
    <row r="200" spans="2:8" x14ac:dyDescent="0.25">
      <c r="B200" s="67">
        <v>40762</v>
      </c>
      <c r="C200" s="66">
        <v>1019.95</v>
      </c>
      <c r="D200" s="186">
        <f t="shared" si="8"/>
        <v>-0.6538905290305066</v>
      </c>
      <c r="E200" s="186">
        <v>3.2390303152993571E-2</v>
      </c>
      <c r="G200">
        <v>189</v>
      </c>
      <c r="H200" s="186">
        <f t="shared" ca="1" si="9"/>
        <v>-3.426779500491961E-2</v>
      </c>
    </row>
    <row r="201" spans="2:8" x14ac:dyDescent="0.25">
      <c r="B201" s="67">
        <v>42071</v>
      </c>
      <c r="C201" s="66">
        <v>2946.9</v>
      </c>
      <c r="D201" s="186">
        <f t="shared" si="8"/>
        <v>-0.7119664552198689</v>
      </c>
      <c r="E201" s="186">
        <v>3.2171065305336123E-2</v>
      </c>
      <c r="G201">
        <v>190</v>
      </c>
      <c r="H201" s="186">
        <f t="shared" ca="1" si="9"/>
        <v>-8.1557760160105658E-2</v>
      </c>
    </row>
    <row r="202" spans="2:8" x14ac:dyDescent="0.25">
      <c r="B202" s="67">
        <v>45431</v>
      </c>
      <c r="C202" s="66">
        <v>10231.1</v>
      </c>
      <c r="D202" s="186">
        <f t="shared" si="8"/>
        <v>13.882682376900137</v>
      </c>
      <c r="E202" s="186">
        <v>3.1828954666935645E-2</v>
      </c>
      <c r="G202">
        <v>191</v>
      </c>
      <c r="H202" s="186">
        <f t="shared" ca="1" si="9"/>
        <v>1.3841823222342703E-2</v>
      </c>
    </row>
    <row r="203" spans="2:8" x14ac:dyDescent="0.25">
      <c r="B203" s="67">
        <v>38851</v>
      </c>
      <c r="C203">
        <v>687.45</v>
      </c>
      <c r="D203" s="186">
        <f t="shared" si="8"/>
        <v>-0.93980982900370358</v>
      </c>
      <c r="E203" s="186">
        <v>3.1819887429643597E-2</v>
      </c>
      <c r="G203">
        <v>192</v>
      </c>
      <c r="H203" s="186">
        <f t="shared" ca="1" si="9"/>
        <v>1.3038930000916011E-2</v>
      </c>
    </row>
    <row r="204" spans="2:8" x14ac:dyDescent="0.25">
      <c r="B204" s="67">
        <v>45571</v>
      </c>
      <c r="C204" s="66">
        <v>11421.3</v>
      </c>
      <c r="D204" s="186">
        <f t="shared" ref="D204:D267" si="10">(C204-C205)/C205</f>
        <v>2.5664257053193644</v>
      </c>
      <c r="E204" s="186">
        <v>3.1799662128589888E-2</v>
      </c>
      <c r="G204">
        <v>193</v>
      </c>
      <c r="H204" s="186">
        <f t="shared" ca="1" si="9"/>
        <v>4.7592365286351745E-2</v>
      </c>
    </row>
    <row r="205" spans="2:8" x14ac:dyDescent="0.25">
      <c r="B205" s="67">
        <v>42218</v>
      </c>
      <c r="C205" s="66">
        <v>3202.45</v>
      </c>
      <c r="D205" s="186">
        <f t="shared" si="10"/>
        <v>2.5247922513895764</v>
      </c>
      <c r="E205" s="186">
        <v>3.1750378556010095E-2</v>
      </c>
      <c r="G205">
        <v>194</v>
      </c>
      <c r="H205" s="186">
        <f t="shared" ref="H205:H268" ca="1" si="11">_xlfn.NORM.INV(RAND(),N$14,N$15)</f>
        <v>1.3745797890821901E-3</v>
      </c>
    </row>
    <row r="206" spans="2:8" x14ac:dyDescent="0.25">
      <c r="B206" s="67">
        <v>39453</v>
      </c>
      <c r="C206">
        <v>908.55</v>
      </c>
      <c r="D206" s="186">
        <f t="shared" si="10"/>
        <v>-0.7797614718929532</v>
      </c>
      <c r="E206" s="186">
        <v>3.1681144609095532E-2</v>
      </c>
      <c r="G206">
        <v>195</v>
      </c>
      <c r="H206" s="186">
        <f t="shared" ca="1" si="11"/>
        <v>-4.8658170433798303E-2</v>
      </c>
    </row>
    <row r="207" spans="2:8" x14ac:dyDescent="0.25">
      <c r="B207" s="67">
        <v>42897</v>
      </c>
      <c r="C207" s="66">
        <v>4125.3</v>
      </c>
      <c r="D207" s="186">
        <f t="shared" si="10"/>
        <v>3.5308072487644155</v>
      </c>
      <c r="E207" s="186">
        <v>3.1582895723931026E-2</v>
      </c>
      <c r="G207">
        <v>196</v>
      </c>
      <c r="H207" s="186">
        <f t="shared" ca="1" si="11"/>
        <v>1.4371431265520138E-3</v>
      </c>
    </row>
    <row r="208" spans="2:8" x14ac:dyDescent="0.25">
      <c r="B208" s="67">
        <v>39292</v>
      </c>
      <c r="C208">
        <v>910.5</v>
      </c>
      <c r="D208" s="186">
        <f t="shared" si="10"/>
        <v>-0.89073890738907391</v>
      </c>
      <c r="E208" s="186">
        <v>3.1494278916959273E-2</v>
      </c>
      <c r="G208">
        <v>197</v>
      </c>
      <c r="H208" s="186">
        <f t="shared" ca="1" si="11"/>
        <v>-2.0570589746937717E-2</v>
      </c>
    </row>
    <row r="209" spans="2:8" x14ac:dyDescent="0.25">
      <c r="B209" s="67">
        <v>45088</v>
      </c>
      <c r="C209" s="66">
        <v>8333.25</v>
      </c>
      <c r="D209" s="186">
        <f t="shared" si="10"/>
        <v>0.96511106918832223</v>
      </c>
      <c r="E209" s="186">
        <v>3.1317294126383032E-2</v>
      </c>
      <c r="G209">
        <v>198</v>
      </c>
      <c r="H209" s="186">
        <f t="shared" ca="1" si="11"/>
        <v>-1.5826687540022654E-2</v>
      </c>
    </row>
    <row r="210" spans="2:8" x14ac:dyDescent="0.25">
      <c r="B210" s="67">
        <v>42883</v>
      </c>
      <c r="C210" s="66">
        <v>4240.6000000000004</v>
      </c>
      <c r="D210" s="186">
        <f t="shared" si="10"/>
        <v>1.8985645933014357</v>
      </c>
      <c r="E210" s="186">
        <v>3.1286859032819116E-2</v>
      </c>
      <c r="G210">
        <v>199</v>
      </c>
      <c r="H210" s="186">
        <f t="shared" ca="1" si="11"/>
        <v>4.881748916932116E-2</v>
      </c>
    </row>
    <row r="211" spans="2:8" x14ac:dyDescent="0.25">
      <c r="B211" s="67">
        <v>41014</v>
      </c>
      <c r="C211" s="66">
        <v>1463</v>
      </c>
      <c r="D211" s="186">
        <f t="shared" si="10"/>
        <v>-0.42671290581712018</v>
      </c>
      <c r="E211" s="186">
        <v>3.1153087115872603E-2</v>
      </c>
      <c r="G211">
        <v>200</v>
      </c>
      <c r="H211" s="186">
        <f t="shared" ca="1" si="11"/>
        <v>-1.8038531436764642E-4</v>
      </c>
    </row>
    <row r="212" spans="2:8" x14ac:dyDescent="0.25">
      <c r="B212" s="67">
        <v>41833</v>
      </c>
      <c r="C212" s="66">
        <v>2551.9499999999998</v>
      </c>
      <c r="D212" s="186">
        <f t="shared" si="10"/>
        <v>-0.39062276135441049</v>
      </c>
      <c r="E212" s="186">
        <v>3.0882649969703017E-2</v>
      </c>
      <c r="G212">
        <v>201</v>
      </c>
      <c r="H212" s="186">
        <f t="shared" ca="1" si="11"/>
        <v>6.096456356625779E-2</v>
      </c>
    </row>
    <row r="213" spans="2:8" x14ac:dyDescent="0.25">
      <c r="B213" s="67">
        <v>44059</v>
      </c>
      <c r="C213" s="66">
        <v>4187.8</v>
      </c>
      <c r="D213" s="186">
        <f t="shared" si="10"/>
        <v>-0.56614573351083386</v>
      </c>
      <c r="E213" s="186">
        <v>3.0830389779818092E-2</v>
      </c>
      <c r="G213">
        <v>202</v>
      </c>
      <c r="H213" s="186">
        <f t="shared" ca="1" si="11"/>
        <v>1.7383647976651172E-2</v>
      </c>
    </row>
    <row r="214" spans="2:8" x14ac:dyDescent="0.25">
      <c r="B214" s="67">
        <v>45389</v>
      </c>
      <c r="C214" s="66">
        <v>9652.5499999999993</v>
      </c>
      <c r="D214" s="186">
        <f t="shared" si="10"/>
        <v>0.14082176562010626</v>
      </c>
      <c r="E214" s="186">
        <v>3.0820326891963169E-2</v>
      </c>
      <c r="G214">
        <v>203</v>
      </c>
      <c r="H214" s="186">
        <f t="shared" ca="1" si="11"/>
        <v>0.10008675678698982</v>
      </c>
    </row>
    <row r="215" spans="2:8" x14ac:dyDescent="0.25">
      <c r="B215" s="67">
        <v>45214</v>
      </c>
      <c r="C215" s="66">
        <v>8461.0499999999993</v>
      </c>
      <c r="D215" s="186">
        <f t="shared" si="10"/>
        <v>-0.27074373184627187</v>
      </c>
      <c r="E215" s="186">
        <v>3.055973398780773E-2</v>
      </c>
      <c r="G215">
        <v>204</v>
      </c>
      <c r="H215" s="186">
        <f t="shared" ca="1" si="11"/>
        <v>-5.6931857013820905E-2</v>
      </c>
    </row>
    <row r="216" spans="2:8" x14ac:dyDescent="0.25">
      <c r="B216" s="67">
        <v>45480</v>
      </c>
      <c r="C216" s="66">
        <v>11602.3</v>
      </c>
      <c r="D216" s="186">
        <f t="shared" si="10"/>
        <v>11.084470367670033</v>
      </c>
      <c r="E216" s="186">
        <v>3.0555234804544206E-2</v>
      </c>
      <c r="G216">
        <v>205</v>
      </c>
      <c r="H216" s="186">
        <f t="shared" ca="1" si="11"/>
        <v>-5.6439066174816171E-2</v>
      </c>
    </row>
    <row r="217" spans="2:8" x14ac:dyDescent="0.25">
      <c r="B217" s="67">
        <v>40342</v>
      </c>
      <c r="C217">
        <v>960.1</v>
      </c>
      <c r="D217" s="186">
        <f t="shared" si="10"/>
        <v>-0.83093407996337276</v>
      </c>
      <c r="E217" s="186">
        <v>3.0537218912681852E-2</v>
      </c>
      <c r="G217">
        <v>206</v>
      </c>
      <c r="H217" s="186">
        <f t="shared" ca="1" si="11"/>
        <v>-4.9454721922586889E-2</v>
      </c>
    </row>
    <row r="218" spans="2:8" x14ac:dyDescent="0.25">
      <c r="B218" s="67">
        <v>44710</v>
      </c>
      <c r="C218" s="66">
        <v>5678.85</v>
      </c>
      <c r="D218" s="186">
        <f t="shared" si="10"/>
        <v>-0.11229825315565277</v>
      </c>
      <c r="E218" s="186">
        <v>3.0447918273287338E-2</v>
      </c>
      <c r="G218">
        <v>207</v>
      </c>
      <c r="H218" s="186">
        <f t="shared" ca="1" si="11"/>
        <v>4.5732280416116447E-2</v>
      </c>
    </row>
    <row r="219" spans="2:8" x14ac:dyDescent="0.25">
      <c r="B219" s="67">
        <v>44234</v>
      </c>
      <c r="C219" s="66">
        <v>6397.25</v>
      </c>
      <c r="D219" s="186">
        <f t="shared" si="10"/>
        <v>4.3826943943609177E-2</v>
      </c>
      <c r="E219" s="186">
        <v>3.0401868406217284E-2</v>
      </c>
      <c r="G219">
        <v>208</v>
      </c>
      <c r="H219" s="186">
        <f t="shared" ca="1" si="11"/>
        <v>8.7316249082282346E-2</v>
      </c>
    </row>
    <row r="220" spans="2:8" x14ac:dyDescent="0.25">
      <c r="B220" s="67">
        <v>44696</v>
      </c>
      <c r="C220" s="66">
        <v>6128.65</v>
      </c>
      <c r="D220" s="186">
        <f t="shared" si="10"/>
        <v>5.9663540778630288</v>
      </c>
      <c r="E220" s="186">
        <v>3.0371553463348962E-2</v>
      </c>
      <c r="G220">
        <v>209</v>
      </c>
      <c r="H220" s="186">
        <f t="shared" ca="1" si="11"/>
        <v>-4.7690900574065651E-2</v>
      </c>
    </row>
    <row r="221" spans="2:8" x14ac:dyDescent="0.25">
      <c r="B221" s="67">
        <v>39474</v>
      </c>
      <c r="C221">
        <v>879.75</v>
      </c>
      <c r="D221" s="186">
        <f t="shared" si="10"/>
        <v>-0.87292358803986714</v>
      </c>
      <c r="E221" s="186">
        <v>3.0333196697312145E-2</v>
      </c>
      <c r="G221">
        <v>210</v>
      </c>
      <c r="H221" s="186">
        <f t="shared" ca="1" si="11"/>
        <v>2.7073061436767288E-2</v>
      </c>
    </row>
    <row r="222" spans="2:8" x14ac:dyDescent="0.25">
      <c r="B222" s="67">
        <v>44367</v>
      </c>
      <c r="C222" s="66">
        <v>6923</v>
      </c>
      <c r="D222" s="186">
        <f t="shared" si="10"/>
        <v>1.414634997035332</v>
      </c>
      <c r="E222" s="186">
        <v>3.0223664042619738E-2</v>
      </c>
      <c r="G222">
        <v>211</v>
      </c>
      <c r="H222" s="186">
        <f t="shared" ca="1" si="11"/>
        <v>2.0441419719177241E-2</v>
      </c>
    </row>
    <row r="223" spans="2:8" x14ac:dyDescent="0.25">
      <c r="B223" s="67">
        <v>42337</v>
      </c>
      <c r="C223" s="66">
        <v>2867.1</v>
      </c>
      <c r="D223" s="186">
        <f t="shared" si="10"/>
        <v>2.1654430030361578</v>
      </c>
      <c r="E223" s="186">
        <v>3.0071136020694049E-2</v>
      </c>
      <c r="G223">
        <v>212</v>
      </c>
      <c r="H223" s="186">
        <f t="shared" ca="1" si="11"/>
        <v>6.8872447162475051E-2</v>
      </c>
    </row>
    <row r="224" spans="2:8" x14ac:dyDescent="0.25">
      <c r="B224" s="67">
        <v>38998</v>
      </c>
      <c r="C224">
        <v>905.75</v>
      </c>
      <c r="D224" s="186">
        <f t="shared" si="10"/>
        <v>-0.80163162505475249</v>
      </c>
      <c r="E224" s="186">
        <v>2.9787959752146036E-2</v>
      </c>
      <c r="G224">
        <v>213</v>
      </c>
      <c r="H224" s="186">
        <f t="shared" ca="1" si="11"/>
        <v>4.6938962617251376E-3</v>
      </c>
    </row>
    <row r="225" spans="2:8" x14ac:dyDescent="0.25">
      <c r="B225" s="67">
        <v>43583</v>
      </c>
      <c r="C225" s="66">
        <v>4566</v>
      </c>
      <c r="D225" s="186">
        <f t="shared" si="10"/>
        <v>-0.42491167746689085</v>
      </c>
      <c r="E225" s="186">
        <v>2.9711901674465805E-2</v>
      </c>
      <c r="G225">
        <v>214</v>
      </c>
      <c r="H225" s="186">
        <f t="shared" ca="1" si="11"/>
        <v>6.6510291252513246E-2</v>
      </c>
    </row>
    <row r="226" spans="2:8" x14ac:dyDescent="0.25">
      <c r="B226" s="67">
        <v>44444</v>
      </c>
      <c r="C226" s="66">
        <v>7939.65</v>
      </c>
      <c r="D226" s="186">
        <f t="shared" si="10"/>
        <v>0.89531164211883196</v>
      </c>
      <c r="E226" s="186">
        <v>2.9538956281566584E-2</v>
      </c>
      <c r="G226">
        <v>215</v>
      </c>
      <c r="H226" s="186">
        <f t="shared" ca="1" si="11"/>
        <v>-2.0803111025069276E-2</v>
      </c>
    </row>
    <row r="227" spans="2:8" x14ac:dyDescent="0.25">
      <c r="B227" s="67">
        <v>43352</v>
      </c>
      <c r="C227" s="66">
        <v>4189.1000000000004</v>
      </c>
      <c r="D227" s="186">
        <f t="shared" si="10"/>
        <v>11.732826747720367</v>
      </c>
      <c r="E227" s="186">
        <v>2.9427304114907897E-2</v>
      </c>
      <c r="G227">
        <v>216</v>
      </c>
      <c r="H227" s="186">
        <f t="shared" ca="1" si="11"/>
        <v>1.7384240118956625E-2</v>
      </c>
    </row>
    <row r="228" spans="2:8" x14ac:dyDescent="0.25">
      <c r="B228" s="67">
        <v>38494</v>
      </c>
      <c r="C228">
        <v>329</v>
      </c>
      <c r="D228" s="186">
        <f t="shared" si="10"/>
        <v>-0.97020831541153729</v>
      </c>
      <c r="E228" s="186">
        <v>2.941176470588228E-2</v>
      </c>
      <c r="G228">
        <v>217</v>
      </c>
      <c r="H228" s="186">
        <f t="shared" ca="1" si="11"/>
        <v>-2.8111868104815394E-2</v>
      </c>
    </row>
    <row r="229" spans="2:8" x14ac:dyDescent="0.25">
      <c r="B229" s="67">
        <v>45599</v>
      </c>
      <c r="C229" s="66">
        <v>11043.35</v>
      </c>
      <c r="D229" s="186">
        <f t="shared" si="10"/>
        <v>1.7857701427778621</v>
      </c>
      <c r="E229" s="186">
        <v>2.9347066225474238E-2</v>
      </c>
      <c r="G229">
        <v>218</v>
      </c>
      <c r="H229" s="186">
        <f t="shared" ca="1" si="11"/>
        <v>8.9899960944825122E-3</v>
      </c>
    </row>
    <row r="230" spans="2:8" x14ac:dyDescent="0.25">
      <c r="B230" s="67">
        <v>42631</v>
      </c>
      <c r="C230" s="66">
        <v>3964.2</v>
      </c>
      <c r="D230" s="186">
        <f t="shared" si="10"/>
        <v>2.8507941133615038</v>
      </c>
      <c r="E230" s="186">
        <v>2.9247965104957648E-2</v>
      </c>
      <c r="G230">
        <v>219</v>
      </c>
      <c r="H230" s="186">
        <f t="shared" ca="1" si="11"/>
        <v>-2.6385525005492193E-2</v>
      </c>
    </row>
    <row r="231" spans="2:8" x14ac:dyDescent="0.25">
      <c r="B231" s="67">
        <v>40748</v>
      </c>
      <c r="C231" s="66">
        <v>1029.45</v>
      </c>
      <c r="D231" s="186">
        <f t="shared" si="10"/>
        <v>5.8288357748650779E-2</v>
      </c>
      <c r="E231" s="186">
        <v>2.8986955869858562E-2</v>
      </c>
      <c r="G231">
        <v>220</v>
      </c>
      <c r="H231" s="186">
        <f t="shared" ca="1" si="11"/>
        <v>1.5729231302744402E-2</v>
      </c>
    </row>
    <row r="232" spans="2:8" x14ac:dyDescent="0.25">
      <c r="B232" s="67">
        <v>40293</v>
      </c>
      <c r="C232">
        <v>972.75</v>
      </c>
      <c r="D232" s="186">
        <f t="shared" si="10"/>
        <v>-0.498814982739966</v>
      </c>
      <c r="E232" s="186">
        <v>2.8875138822782753E-2</v>
      </c>
      <c r="G232">
        <v>221</v>
      </c>
      <c r="H232" s="186">
        <f t="shared" ca="1" si="11"/>
        <v>1.7690124176407824E-2</v>
      </c>
    </row>
    <row r="233" spans="2:8" x14ac:dyDescent="0.25">
      <c r="B233" s="67">
        <v>41322</v>
      </c>
      <c r="C233" s="66">
        <v>1940.9</v>
      </c>
      <c r="D233" s="186">
        <f t="shared" si="10"/>
        <v>-0.52859883904500526</v>
      </c>
      <c r="E233" s="186">
        <v>2.8781935757447356E-2</v>
      </c>
      <c r="G233">
        <v>222</v>
      </c>
      <c r="H233" s="186">
        <f t="shared" ca="1" si="11"/>
        <v>-4.2084278109291769E-3</v>
      </c>
    </row>
    <row r="234" spans="2:8" x14ac:dyDescent="0.25">
      <c r="B234" s="67">
        <v>44038</v>
      </c>
      <c r="C234" s="66">
        <v>4117.3</v>
      </c>
      <c r="D234" s="186">
        <f t="shared" si="10"/>
        <v>0.76393976393976393</v>
      </c>
      <c r="E234" s="186">
        <v>2.8232502965599097E-2</v>
      </c>
      <c r="G234">
        <v>223</v>
      </c>
      <c r="H234" s="186">
        <f t="shared" ca="1" si="11"/>
        <v>4.8677032804230608E-2</v>
      </c>
    </row>
    <row r="235" spans="2:8" x14ac:dyDescent="0.25">
      <c r="B235" s="67">
        <v>41770</v>
      </c>
      <c r="C235" s="66">
        <v>2334.15</v>
      </c>
      <c r="D235" s="186">
        <f t="shared" si="10"/>
        <v>1.1389690721649486</v>
      </c>
      <c r="E235" s="186">
        <v>2.8214616096207297E-2</v>
      </c>
      <c r="G235">
        <v>224</v>
      </c>
      <c r="H235" s="186">
        <f t="shared" ca="1" si="11"/>
        <v>5.2595227465369238E-2</v>
      </c>
    </row>
    <row r="236" spans="2:8" x14ac:dyDescent="0.25">
      <c r="B236" s="67">
        <v>39110</v>
      </c>
      <c r="C236" s="66">
        <v>1091.25</v>
      </c>
      <c r="D236" s="186">
        <f t="shared" si="10"/>
        <v>-0.87586665832475441</v>
      </c>
      <c r="E236" s="186">
        <v>2.7784318342359313E-2</v>
      </c>
      <c r="G236">
        <v>225</v>
      </c>
      <c r="H236" s="186">
        <f t="shared" ca="1" si="11"/>
        <v>2.4935526663123393E-2</v>
      </c>
    </row>
    <row r="237" spans="2:8" x14ac:dyDescent="0.25">
      <c r="B237" s="67">
        <v>45242</v>
      </c>
      <c r="C237" s="66">
        <v>8790.9500000000007</v>
      </c>
      <c r="D237" s="186">
        <f t="shared" si="10"/>
        <v>2.0924105179843462</v>
      </c>
      <c r="E237" s="186">
        <v>2.7436245062060258E-2</v>
      </c>
      <c r="G237">
        <v>226</v>
      </c>
      <c r="H237" s="186">
        <f t="shared" ca="1" si="11"/>
        <v>3.6542213206618171E-2</v>
      </c>
    </row>
    <row r="238" spans="2:8" x14ac:dyDescent="0.25">
      <c r="B238" s="67">
        <v>42400</v>
      </c>
      <c r="C238" s="66">
        <v>2842.75</v>
      </c>
      <c r="D238" s="186">
        <f t="shared" si="10"/>
        <v>-0.73836192614954166</v>
      </c>
      <c r="E238" s="186">
        <v>2.7097823141540963E-2</v>
      </c>
      <c r="G238">
        <v>227</v>
      </c>
      <c r="H238" s="186">
        <f t="shared" ca="1" si="11"/>
        <v>7.0391886786501684E-2</v>
      </c>
    </row>
    <row r="239" spans="2:8" x14ac:dyDescent="0.25">
      <c r="B239" s="67">
        <v>45662</v>
      </c>
      <c r="C239" s="66">
        <v>10865.2</v>
      </c>
      <c r="D239" s="186">
        <f t="shared" si="10"/>
        <v>28.34954078876283</v>
      </c>
      <c r="E239" s="186">
        <v>2.6956521739130504E-2</v>
      </c>
      <c r="G239">
        <v>228</v>
      </c>
      <c r="H239" s="186">
        <f t="shared" ca="1" si="11"/>
        <v>-4.9031316997342464E-2</v>
      </c>
    </row>
    <row r="240" spans="2:8" x14ac:dyDescent="0.25">
      <c r="B240" s="67">
        <v>38452</v>
      </c>
      <c r="C240">
        <v>370.2</v>
      </c>
      <c r="D240" s="186">
        <f t="shared" si="10"/>
        <v>-0.86986325447323098</v>
      </c>
      <c r="E240" s="186">
        <v>2.6764665094993697E-2</v>
      </c>
      <c r="G240">
        <v>229</v>
      </c>
      <c r="H240" s="186">
        <f t="shared" ca="1" si="11"/>
        <v>7.8556365852138627E-3</v>
      </c>
    </row>
    <row r="241" spans="2:8" x14ac:dyDescent="0.25">
      <c r="B241" s="67">
        <v>42414</v>
      </c>
      <c r="C241" s="66">
        <v>2844.7</v>
      </c>
      <c r="D241" s="186">
        <f t="shared" si="10"/>
        <v>0.87874384968464136</v>
      </c>
      <c r="E241" s="186">
        <v>2.6615420704090658E-2</v>
      </c>
      <c r="G241">
        <v>230</v>
      </c>
      <c r="H241" s="186">
        <f t="shared" ca="1" si="11"/>
        <v>7.2582264591938311E-2</v>
      </c>
    </row>
    <row r="242" spans="2:8" x14ac:dyDescent="0.25">
      <c r="B242" s="67">
        <v>41000</v>
      </c>
      <c r="C242" s="66">
        <v>1514.15</v>
      </c>
      <c r="D242" s="186">
        <f t="shared" si="10"/>
        <v>-0.21406140510238503</v>
      </c>
      <c r="E242" s="186">
        <v>2.6298844342020664E-2</v>
      </c>
      <c r="G242">
        <v>231</v>
      </c>
      <c r="H242" s="186">
        <f t="shared" ca="1" si="11"/>
        <v>-4.6149756928893476E-2</v>
      </c>
    </row>
    <row r="243" spans="2:8" x14ac:dyDescent="0.25">
      <c r="B243" s="67">
        <v>41581</v>
      </c>
      <c r="C243" s="66">
        <v>1926.55</v>
      </c>
      <c r="D243" s="186">
        <f t="shared" si="10"/>
        <v>4.0334421946440235</v>
      </c>
      <c r="E243" s="186">
        <v>2.6289154059237114E-2</v>
      </c>
      <c r="G243">
        <v>232</v>
      </c>
      <c r="H243" s="186">
        <f t="shared" ca="1" si="11"/>
        <v>-3.9898894131186691E-2</v>
      </c>
    </row>
    <row r="244" spans="2:8" x14ac:dyDescent="0.25">
      <c r="B244" s="67">
        <v>38382</v>
      </c>
      <c r="C244">
        <v>382.75</v>
      </c>
      <c r="D244" s="186">
        <f t="shared" si="10"/>
        <v>-0.50717826562801771</v>
      </c>
      <c r="E244" s="186">
        <v>2.6276980828529323E-2</v>
      </c>
      <c r="G244">
        <v>233</v>
      </c>
      <c r="H244" s="186">
        <f t="shared" ca="1" si="11"/>
        <v>-1.9422165849632265E-2</v>
      </c>
    </row>
    <row r="245" spans="2:8" x14ac:dyDescent="0.25">
      <c r="B245" s="67">
        <v>38942</v>
      </c>
      <c r="C245">
        <v>776.65</v>
      </c>
      <c r="D245" s="186">
        <f t="shared" si="10"/>
        <v>-0.24155273437500002</v>
      </c>
      <c r="E245" s="186">
        <v>2.6161062297681118E-2</v>
      </c>
      <c r="G245">
        <v>234</v>
      </c>
      <c r="H245" s="186">
        <f t="shared" ca="1" si="11"/>
        <v>-5.3198010755262631E-3</v>
      </c>
    </row>
    <row r="246" spans="2:8" x14ac:dyDescent="0.25">
      <c r="B246" s="67">
        <v>40559</v>
      </c>
      <c r="C246" s="66">
        <v>1024</v>
      </c>
      <c r="D246" s="186">
        <f t="shared" si="10"/>
        <v>-0.84963951661453974</v>
      </c>
      <c r="E246" s="186">
        <v>2.6154925343220788E-2</v>
      </c>
      <c r="G246">
        <v>235</v>
      </c>
      <c r="H246" s="186">
        <f t="shared" ca="1" si="11"/>
        <v>-1.2379294792107797E-2</v>
      </c>
    </row>
    <row r="247" spans="2:8" x14ac:dyDescent="0.25">
      <c r="B247" s="67">
        <v>44255</v>
      </c>
      <c r="C247" s="66">
        <v>6810.3</v>
      </c>
      <c r="D247" s="186">
        <f t="shared" si="10"/>
        <v>0.21791925604685478</v>
      </c>
      <c r="E247" s="186">
        <v>2.5933430247885414E-2</v>
      </c>
      <c r="G247">
        <v>236</v>
      </c>
      <c r="H247" s="186">
        <f t="shared" ca="1" si="11"/>
        <v>7.2195434067450458E-3</v>
      </c>
    </row>
    <row r="248" spans="2:8" x14ac:dyDescent="0.25">
      <c r="B248" s="67">
        <v>44199</v>
      </c>
      <c r="C248" s="66">
        <v>5591.75</v>
      </c>
      <c r="D248" s="186">
        <f t="shared" si="10"/>
        <v>7.860323245127554</v>
      </c>
      <c r="E248" s="186">
        <v>2.5585767343757164E-2</v>
      </c>
      <c r="G248">
        <v>237</v>
      </c>
      <c r="H248" s="186">
        <f t="shared" ca="1" si="11"/>
        <v>2.8910337700086167E-2</v>
      </c>
    </row>
    <row r="249" spans="2:8" x14ac:dyDescent="0.25">
      <c r="B249" s="67">
        <v>38788</v>
      </c>
      <c r="C249">
        <v>631.1</v>
      </c>
      <c r="D249" s="186">
        <f t="shared" si="10"/>
        <v>-0.91816490206630053</v>
      </c>
      <c r="E249" s="186">
        <v>2.5345247766043903E-2</v>
      </c>
      <c r="G249">
        <v>238</v>
      </c>
      <c r="H249" s="186">
        <f t="shared" ca="1" si="11"/>
        <v>-1.1455650787254084E-2</v>
      </c>
    </row>
    <row r="250" spans="2:8" x14ac:dyDescent="0.25">
      <c r="B250" s="67">
        <v>44451</v>
      </c>
      <c r="C250" s="66">
        <v>7711.85</v>
      </c>
      <c r="D250" s="186">
        <f t="shared" si="10"/>
        <v>10.584572630313955</v>
      </c>
      <c r="E250" s="186">
        <v>2.5307451971016467E-2</v>
      </c>
      <c r="G250">
        <v>239</v>
      </c>
      <c r="H250" s="186">
        <f t="shared" ca="1" si="11"/>
        <v>1.5712320684769951E-2</v>
      </c>
    </row>
    <row r="251" spans="2:8" x14ac:dyDescent="0.25">
      <c r="B251" s="67">
        <v>39586</v>
      </c>
      <c r="C251">
        <v>665.7</v>
      </c>
      <c r="D251" s="186">
        <f t="shared" si="10"/>
        <v>-0.16343072573044293</v>
      </c>
      <c r="E251" s="186">
        <v>2.4863366946347613E-2</v>
      </c>
      <c r="G251">
        <v>240</v>
      </c>
      <c r="H251" s="186">
        <f t="shared" ca="1" si="11"/>
        <v>1.0488084491121793E-3</v>
      </c>
    </row>
    <row r="252" spans="2:8" x14ac:dyDescent="0.25">
      <c r="B252" s="67">
        <v>38823</v>
      </c>
      <c r="C252">
        <v>795.75</v>
      </c>
      <c r="D252" s="186">
        <f t="shared" si="10"/>
        <v>0.70761802575107291</v>
      </c>
      <c r="E252" s="186">
        <v>2.4856719685749182E-2</v>
      </c>
      <c r="G252">
        <v>241</v>
      </c>
      <c r="H252" s="186">
        <f t="shared" ca="1" si="11"/>
        <v>-1.5664776218464072E-2</v>
      </c>
    </row>
    <row r="253" spans="2:8" x14ac:dyDescent="0.25">
      <c r="B253" s="67">
        <v>38620</v>
      </c>
      <c r="C253">
        <v>466</v>
      </c>
      <c r="D253" s="186">
        <f t="shared" si="10"/>
        <v>-0.73673060083048503</v>
      </c>
      <c r="E253" s="186">
        <v>2.4851550472839261E-2</v>
      </c>
      <c r="G253">
        <v>242</v>
      </c>
      <c r="H253" s="186">
        <f t="shared" ca="1" si="11"/>
        <v>-2.333446233212351E-2</v>
      </c>
    </row>
    <row r="254" spans="2:8" x14ac:dyDescent="0.25">
      <c r="B254" s="67">
        <v>41630</v>
      </c>
      <c r="C254" s="66">
        <v>1770.05</v>
      </c>
      <c r="D254" s="186">
        <f t="shared" si="10"/>
        <v>-0.47703603031332636</v>
      </c>
      <c r="E254" s="186">
        <v>2.4808939323760947E-2</v>
      </c>
      <c r="G254">
        <v>243</v>
      </c>
      <c r="H254" s="186">
        <f t="shared" ca="1" si="11"/>
        <v>1.1341936672666652E-2</v>
      </c>
    </row>
    <row r="255" spans="2:8" x14ac:dyDescent="0.25">
      <c r="B255" s="67">
        <v>42526</v>
      </c>
      <c r="C255" s="66">
        <v>3384.65</v>
      </c>
      <c r="D255" s="186">
        <f t="shared" si="10"/>
        <v>-0.70932239780144279</v>
      </c>
      <c r="E255" s="186">
        <v>2.4704439835909208E-2</v>
      </c>
      <c r="G255">
        <v>244</v>
      </c>
      <c r="H255" s="186">
        <f t="shared" ca="1" si="11"/>
        <v>-1.7857708029089377E-2</v>
      </c>
    </row>
    <row r="256" spans="2:8" x14ac:dyDescent="0.25">
      <c r="B256" s="67">
        <v>45774</v>
      </c>
      <c r="C256" s="66">
        <v>11644</v>
      </c>
      <c r="D256" s="186">
        <f t="shared" si="10"/>
        <v>17.350011819399576</v>
      </c>
      <c r="E256" s="186">
        <v>2.4639211545230553E-2</v>
      </c>
      <c r="G256">
        <v>245</v>
      </c>
      <c r="H256" s="186">
        <f t="shared" ca="1" si="11"/>
        <v>-2.111351093784344E-2</v>
      </c>
    </row>
    <row r="257" spans="2:8" x14ac:dyDescent="0.25">
      <c r="B257" s="67">
        <v>39663</v>
      </c>
      <c r="C257">
        <v>634.54999999999995</v>
      </c>
      <c r="D257" s="186">
        <f t="shared" si="10"/>
        <v>-0.85596413573941654</v>
      </c>
      <c r="E257" s="186">
        <v>2.4624576134345232E-2</v>
      </c>
      <c r="G257">
        <v>246</v>
      </c>
      <c r="H257" s="186">
        <f t="shared" ca="1" si="11"/>
        <v>-4.0337578958198089E-2</v>
      </c>
    </row>
    <row r="258" spans="2:8" x14ac:dyDescent="0.25">
      <c r="B258" s="67">
        <v>43107</v>
      </c>
      <c r="C258" s="66">
        <v>4405.5</v>
      </c>
      <c r="D258" s="186">
        <f t="shared" si="10"/>
        <v>3.4373459181517137E-2</v>
      </c>
      <c r="E258" s="186">
        <v>2.4534883720930233E-2</v>
      </c>
      <c r="G258">
        <v>247</v>
      </c>
      <c r="H258" s="186">
        <f t="shared" ca="1" si="11"/>
        <v>-3.7939867675624017E-2</v>
      </c>
    </row>
    <row r="259" spans="2:8" x14ac:dyDescent="0.25">
      <c r="B259" s="67">
        <v>43793</v>
      </c>
      <c r="C259" s="66">
        <v>4259.1000000000004</v>
      </c>
      <c r="D259" s="186">
        <f t="shared" si="10"/>
        <v>4.3864929809029976</v>
      </c>
      <c r="E259" s="186">
        <v>2.4351527832894404E-2</v>
      </c>
      <c r="G259">
        <v>248</v>
      </c>
      <c r="H259" s="186">
        <f t="shared" ca="1" si="11"/>
        <v>-4.2306414685934227E-2</v>
      </c>
    </row>
    <row r="260" spans="2:8" x14ac:dyDescent="0.25">
      <c r="B260" s="67">
        <v>39159</v>
      </c>
      <c r="C260">
        <v>790.7</v>
      </c>
      <c r="D260" s="186">
        <f t="shared" si="10"/>
        <v>-0.79671431509666801</v>
      </c>
      <c r="E260" s="186">
        <v>2.4090143763761198E-2</v>
      </c>
      <c r="G260">
        <v>249</v>
      </c>
      <c r="H260" s="186">
        <f t="shared" ca="1" si="11"/>
        <v>-9.9353253985687891E-4</v>
      </c>
    </row>
    <row r="261" spans="2:8" x14ac:dyDescent="0.25">
      <c r="B261" s="67">
        <v>44010</v>
      </c>
      <c r="C261" s="66">
        <v>3889.6</v>
      </c>
      <c r="D261" s="186">
        <f t="shared" si="10"/>
        <v>-1.8707032481866941E-2</v>
      </c>
      <c r="E261" s="186">
        <v>2.3983151243912048E-2</v>
      </c>
      <c r="G261">
        <v>250</v>
      </c>
      <c r="H261" s="186">
        <f t="shared" ca="1" si="11"/>
        <v>-1.1261058527959118E-2</v>
      </c>
    </row>
    <row r="262" spans="2:8" x14ac:dyDescent="0.25">
      <c r="B262" s="67">
        <v>43289</v>
      </c>
      <c r="C262" s="66">
        <v>3963.75</v>
      </c>
      <c r="D262" s="186">
        <f t="shared" si="10"/>
        <v>2.9736842105263159</v>
      </c>
      <c r="E262" s="186">
        <v>2.3775085879587828E-2</v>
      </c>
      <c r="G262">
        <v>251</v>
      </c>
      <c r="H262" s="186">
        <f t="shared" ca="1" si="11"/>
        <v>2.4388495933817152E-3</v>
      </c>
    </row>
    <row r="263" spans="2:8" x14ac:dyDescent="0.25">
      <c r="B263" s="67">
        <v>39327</v>
      </c>
      <c r="C263">
        <v>997.5</v>
      </c>
      <c r="D263" s="186">
        <f t="shared" si="10"/>
        <v>-0.76776942239191681</v>
      </c>
      <c r="E263" s="186">
        <v>2.3549330460212455E-2</v>
      </c>
      <c r="G263">
        <v>252</v>
      </c>
      <c r="H263" s="186">
        <f t="shared" ca="1" si="11"/>
        <v>4.3395065706528346E-2</v>
      </c>
    </row>
    <row r="264" spans="2:8" x14ac:dyDescent="0.25">
      <c r="B264" s="67">
        <v>43751</v>
      </c>
      <c r="C264" s="66">
        <v>4295.3</v>
      </c>
      <c r="D264" s="186">
        <f t="shared" si="10"/>
        <v>6.7799311718891504</v>
      </c>
      <c r="E264" s="186">
        <v>2.3519039222227471E-2</v>
      </c>
      <c r="G264">
        <v>253</v>
      </c>
      <c r="H264" s="186">
        <f t="shared" ca="1" si="11"/>
        <v>-1.3453467653829938E-2</v>
      </c>
    </row>
    <row r="265" spans="2:8" x14ac:dyDescent="0.25">
      <c r="B265" s="67">
        <v>39635</v>
      </c>
      <c r="C265">
        <v>552.1</v>
      </c>
      <c r="D265" s="186">
        <f t="shared" si="10"/>
        <v>-0.42351467056489506</v>
      </c>
      <c r="E265" s="186">
        <v>2.3354958294717374E-2</v>
      </c>
      <c r="G265">
        <v>254</v>
      </c>
      <c r="H265" s="186">
        <f t="shared" ca="1" si="11"/>
        <v>-3.8341790107035284E-2</v>
      </c>
    </row>
    <row r="266" spans="2:8" x14ac:dyDescent="0.25">
      <c r="B266" s="67">
        <v>40713</v>
      </c>
      <c r="C266">
        <v>957.7</v>
      </c>
      <c r="D266" s="186">
        <f t="shared" si="10"/>
        <v>-0.76087092223373576</v>
      </c>
      <c r="E266" s="186">
        <v>2.3129106351156555E-2</v>
      </c>
      <c r="G266">
        <v>255</v>
      </c>
      <c r="H266" s="186">
        <f t="shared" ca="1" si="11"/>
        <v>1.3614908950215325E-3</v>
      </c>
    </row>
    <row r="267" spans="2:8" x14ac:dyDescent="0.25">
      <c r="B267" s="67">
        <v>43457</v>
      </c>
      <c r="C267" s="66">
        <v>4004.95</v>
      </c>
      <c r="D267" s="186">
        <f t="shared" si="10"/>
        <v>5.2023956500039333E-2</v>
      </c>
      <c r="E267" s="186">
        <v>2.3093331289675605E-2</v>
      </c>
      <c r="G267">
        <v>256</v>
      </c>
      <c r="H267" s="186">
        <f t="shared" ca="1" si="11"/>
        <v>1.373056548984344E-2</v>
      </c>
    </row>
    <row r="268" spans="2:8" x14ac:dyDescent="0.25">
      <c r="B268" s="67">
        <v>42582</v>
      </c>
      <c r="C268" s="66">
        <v>3806.9</v>
      </c>
      <c r="D268" s="186">
        <f t="shared" ref="D268:D331" si="12">(C268-C269)/C269</f>
        <v>0.19802369675703743</v>
      </c>
      <c r="E268" s="186">
        <v>2.2782837645415274E-2</v>
      </c>
      <c r="G268">
        <v>257</v>
      </c>
      <c r="H268" s="186">
        <f t="shared" ca="1" si="11"/>
        <v>6.5018025732194673E-2</v>
      </c>
    </row>
    <row r="269" spans="2:8" x14ac:dyDescent="0.25">
      <c r="B269" s="67">
        <v>42715</v>
      </c>
      <c r="C269" s="66">
        <v>3177.65</v>
      </c>
      <c r="D269" s="186">
        <f t="shared" si="12"/>
        <v>-0.56091915904961276</v>
      </c>
      <c r="E269" s="186">
        <v>2.2706060313475648E-2</v>
      </c>
      <c r="G269">
        <v>258</v>
      </c>
      <c r="H269" s="186">
        <f t="shared" ref="H269:H332" ca="1" si="13">_xlfn.NORM.INV(RAND(),N$14,N$15)</f>
        <v>-2.8948220568552386E-2</v>
      </c>
    </row>
    <row r="270" spans="2:8" x14ac:dyDescent="0.25">
      <c r="B270" s="67">
        <v>44892</v>
      </c>
      <c r="C270" s="66">
        <v>7237.05</v>
      </c>
      <c r="D270" s="186">
        <f t="shared" si="12"/>
        <v>8.6256567134401809</v>
      </c>
      <c r="E270" s="186">
        <v>2.255771893633263E-2</v>
      </c>
      <c r="G270">
        <v>259</v>
      </c>
      <c r="H270" s="186">
        <f t="shared" ca="1" si="13"/>
        <v>-9.2926185173564227E-2</v>
      </c>
    </row>
    <row r="271" spans="2:8" x14ac:dyDescent="0.25">
      <c r="B271" s="67">
        <v>40055</v>
      </c>
      <c r="C271">
        <v>751.85</v>
      </c>
      <c r="D271" s="186">
        <f t="shared" si="12"/>
        <v>-0.63846412771686867</v>
      </c>
      <c r="E271" s="186">
        <v>2.2507819937440596E-2</v>
      </c>
      <c r="G271">
        <v>260</v>
      </c>
      <c r="H271" s="186">
        <f t="shared" ca="1" si="13"/>
        <v>5.8250421319463397E-2</v>
      </c>
    </row>
    <row r="272" spans="2:8" x14ac:dyDescent="0.25">
      <c r="B272" s="67">
        <v>41749</v>
      </c>
      <c r="C272" s="66">
        <v>2079.6</v>
      </c>
      <c r="D272" s="186">
        <f t="shared" si="12"/>
        <v>-0.46257316742256854</v>
      </c>
      <c r="E272" s="186">
        <v>2.1439622780520085E-2</v>
      </c>
      <c r="G272">
        <v>261</v>
      </c>
      <c r="H272" s="186">
        <f t="shared" ca="1" si="13"/>
        <v>-1.061127598156177E-3</v>
      </c>
    </row>
    <row r="273" spans="2:8" x14ac:dyDescent="0.25">
      <c r="B273" s="67">
        <v>43982</v>
      </c>
      <c r="C273" s="66">
        <v>3869.55</v>
      </c>
      <c r="D273" s="186">
        <f t="shared" si="12"/>
        <v>-0.2489956331877729</v>
      </c>
      <c r="E273" s="186">
        <v>2.1380211426535217E-2</v>
      </c>
      <c r="G273">
        <v>262</v>
      </c>
      <c r="H273" s="186">
        <f t="shared" ca="1" si="13"/>
        <v>-1.9995304215232362E-2</v>
      </c>
    </row>
    <row r="274" spans="2:8" x14ac:dyDescent="0.25">
      <c r="B274" s="67">
        <v>44178</v>
      </c>
      <c r="C274" s="66">
        <v>5152.5</v>
      </c>
      <c r="D274" s="186">
        <f t="shared" si="12"/>
        <v>3.913225898731763</v>
      </c>
      <c r="E274" s="186">
        <v>2.1358838396352643E-2</v>
      </c>
      <c r="G274">
        <v>263</v>
      </c>
      <c r="H274" s="186">
        <f t="shared" ca="1" si="13"/>
        <v>8.485728040273529E-3</v>
      </c>
    </row>
    <row r="275" spans="2:8" x14ac:dyDescent="0.25">
      <c r="B275" s="67">
        <v>40433</v>
      </c>
      <c r="C275" s="66">
        <v>1048.7</v>
      </c>
      <c r="D275" s="186">
        <f t="shared" si="12"/>
        <v>-0.72851650983082428</v>
      </c>
      <c r="E275" s="186">
        <v>2.1328398909232656E-2</v>
      </c>
      <c r="G275">
        <v>264</v>
      </c>
      <c r="H275" s="186">
        <f t="shared" ca="1" si="13"/>
        <v>-7.4429830327395943E-3</v>
      </c>
    </row>
    <row r="276" spans="2:8" x14ac:dyDescent="0.25">
      <c r="B276" s="67">
        <v>44024</v>
      </c>
      <c r="C276" s="66">
        <v>3862.85</v>
      </c>
      <c r="D276" s="186">
        <f t="shared" si="12"/>
        <v>-0.61433399393972665</v>
      </c>
      <c r="E276" s="186">
        <v>2.1242564441506916E-2</v>
      </c>
      <c r="G276">
        <v>265</v>
      </c>
      <c r="H276" s="186">
        <f t="shared" ca="1" si="13"/>
        <v>5.3260029533018352E-2</v>
      </c>
    </row>
    <row r="277" spans="2:8" x14ac:dyDescent="0.25">
      <c r="B277" s="67">
        <v>45291</v>
      </c>
      <c r="C277" s="66">
        <v>10016.049999999999</v>
      </c>
      <c r="D277" s="186">
        <f t="shared" si="12"/>
        <v>2.5691937639198215</v>
      </c>
      <c r="E277" s="186">
        <v>2.1165423690797072E-2</v>
      </c>
      <c r="G277">
        <v>266</v>
      </c>
      <c r="H277" s="186">
        <f t="shared" ca="1" si="13"/>
        <v>-5.0665770119439985E-2</v>
      </c>
    </row>
    <row r="278" spans="2:8" x14ac:dyDescent="0.25">
      <c r="B278" s="67">
        <v>42155</v>
      </c>
      <c r="C278" s="66">
        <v>2806.25</v>
      </c>
      <c r="D278" s="186">
        <f t="shared" si="12"/>
        <v>9.3628138847858189</v>
      </c>
      <c r="E278" s="186">
        <v>2.1011460796798255E-2</v>
      </c>
      <c r="G278">
        <v>267</v>
      </c>
      <c r="H278" s="186">
        <f t="shared" ca="1" si="13"/>
        <v>-2.6683325840203682E-2</v>
      </c>
    </row>
    <row r="279" spans="2:8" x14ac:dyDescent="0.25">
      <c r="B279" s="67">
        <v>38249</v>
      </c>
      <c r="C279">
        <v>270.8</v>
      </c>
      <c r="D279" s="186">
        <f t="shared" si="12"/>
        <v>-0.20458217065648401</v>
      </c>
      <c r="E279" s="186">
        <v>2.0923656927426999E-2</v>
      </c>
      <c r="G279">
        <v>268</v>
      </c>
      <c r="H279" s="186">
        <f t="shared" ca="1" si="13"/>
        <v>4.6097825533322381E-2</v>
      </c>
    </row>
    <row r="280" spans="2:8" x14ac:dyDescent="0.25">
      <c r="B280" s="67">
        <v>38347</v>
      </c>
      <c r="C280">
        <v>340.45</v>
      </c>
      <c r="D280" s="186">
        <f t="shared" si="12"/>
        <v>-0.40292879691336381</v>
      </c>
      <c r="E280" s="186">
        <v>2.0380638393526187E-2</v>
      </c>
      <c r="G280">
        <v>269</v>
      </c>
      <c r="H280" s="186">
        <f t="shared" ca="1" si="13"/>
        <v>1.1707833129996245E-2</v>
      </c>
    </row>
    <row r="281" spans="2:8" x14ac:dyDescent="0.25">
      <c r="B281" s="67">
        <v>39929</v>
      </c>
      <c r="C281">
        <v>570.20000000000005</v>
      </c>
      <c r="D281" s="186">
        <f t="shared" si="12"/>
        <v>-0.95437670027204347</v>
      </c>
      <c r="E281" s="186">
        <v>2.0309564283797123E-2</v>
      </c>
      <c r="G281">
        <v>270</v>
      </c>
      <c r="H281" s="186">
        <f t="shared" ca="1" si="13"/>
        <v>-5.3384372517814041E-2</v>
      </c>
    </row>
    <row r="282" spans="2:8" x14ac:dyDescent="0.25">
      <c r="B282" s="67">
        <v>45851</v>
      </c>
      <c r="C282" s="66">
        <v>12498</v>
      </c>
      <c r="D282" s="186">
        <f t="shared" si="12"/>
        <v>0.6700630048573204</v>
      </c>
      <c r="E282" s="186">
        <v>2.0244897959183675E-2</v>
      </c>
      <c r="G282">
        <v>271</v>
      </c>
      <c r="H282" s="186">
        <f t="shared" ca="1" si="13"/>
        <v>-1.83240222145751E-2</v>
      </c>
    </row>
    <row r="283" spans="2:8" x14ac:dyDescent="0.25">
      <c r="B283" s="67">
        <v>44465</v>
      </c>
      <c r="C283" s="66">
        <v>7483.55</v>
      </c>
      <c r="D283" s="186">
        <f t="shared" si="12"/>
        <v>0.12576061857376025</v>
      </c>
      <c r="E283" s="186">
        <v>2.0147905803769236E-2</v>
      </c>
      <c r="G283">
        <v>272</v>
      </c>
      <c r="H283" s="186">
        <f t="shared" ca="1" si="13"/>
        <v>7.5814721561889148E-2</v>
      </c>
    </row>
    <row r="284" spans="2:8" x14ac:dyDescent="0.25">
      <c r="B284" s="67">
        <v>44787</v>
      </c>
      <c r="C284" s="66">
        <v>6647.55</v>
      </c>
      <c r="D284" s="186">
        <f t="shared" si="12"/>
        <v>1.1026902212592324</v>
      </c>
      <c r="E284" s="186">
        <v>2.0008746154377383E-2</v>
      </c>
      <c r="G284">
        <v>273</v>
      </c>
      <c r="H284" s="186">
        <f t="shared" ca="1" si="13"/>
        <v>1.9403870552291577E-2</v>
      </c>
    </row>
    <row r="285" spans="2:8" x14ac:dyDescent="0.25">
      <c r="B285" s="67">
        <v>42484</v>
      </c>
      <c r="C285" s="66">
        <v>3161.45</v>
      </c>
      <c r="D285" s="186">
        <f t="shared" si="12"/>
        <v>1.8956310679611648</v>
      </c>
      <c r="E285" s="186">
        <v>1.9855479209006655E-2</v>
      </c>
      <c r="G285">
        <v>274</v>
      </c>
      <c r="H285" s="186">
        <f t="shared" ca="1" si="13"/>
        <v>2.2937917984208109E-2</v>
      </c>
    </row>
    <row r="286" spans="2:8" x14ac:dyDescent="0.25">
      <c r="B286" s="67">
        <v>40636</v>
      </c>
      <c r="C286" s="66">
        <v>1091.8</v>
      </c>
      <c r="D286" s="186">
        <f t="shared" si="12"/>
        <v>-0.90686684295828723</v>
      </c>
      <c r="E286" s="186">
        <v>1.984961001354444E-2</v>
      </c>
      <c r="G286">
        <v>275</v>
      </c>
      <c r="H286" s="186">
        <f t="shared" ca="1" si="13"/>
        <v>-6.4468494562325313E-2</v>
      </c>
    </row>
    <row r="287" spans="2:8" x14ac:dyDescent="0.25">
      <c r="B287" s="67">
        <v>45998</v>
      </c>
      <c r="C287" s="66">
        <v>11723</v>
      </c>
      <c r="D287" s="186">
        <f t="shared" si="12"/>
        <v>1.8857680898987039</v>
      </c>
      <c r="E287" s="186">
        <v>1.9745998608211551E-2</v>
      </c>
      <c r="G287">
        <v>276</v>
      </c>
      <c r="H287" s="186">
        <f t="shared" ca="1" si="13"/>
        <v>3.184026075166245E-2</v>
      </c>
    </row>
    <row r="288" spans="2:8" x14ac:dyDescent="0.25">
      <c r="B288" s="67">
        <v>43212</v>
      </c>
      <c r="C288" s="66">
        <v>4062.35</v>
      </c>
      <c r="D288" s="186">
        <f t="shared" si="12"/>
        <v>3.8069459235593421</v>
      </c>
      <c r="E288" s="186">
        <v>1.9192894865587014E-2</v>
      </c>
      <c r="G288">
        <v>277</v>
      </c>
      <c r="H288" s="186">
        <f t="shared" ca="1" si="13"/>
        <v>-2.2534612742702862E-3</v>
      </c>
    </row>
    <row r="289" spans="2:8" x14ac:dyDescent="0.25">
      <c r="B289" s="67">
        <v>40370</v>
      </c>
      <c r="C289">
        <v>845.1</v>
      </c>
      <c r="D289" s="186">
        <f t="shared" si="12"/>
        <v>-0.70399817866587278</v>
      </c>
      <c r="E289" s="186">
        <v>1.8990775908844276E-2</v>
      </c>
      <c r="G289">
        <v>278</v>
      </c>
      <c r="H289" s="186">
        <f t="shared" ca="1" si="13"/>
        <v>5.6010098702316494E-3</v>
      </c>
    </row>
    <row r="290" spans="2:8" x14ac:dyDescent="0.25">
      <c r="B290" s="67">
        <v>42078</v>
      </c>
      <c r="C290" s="66">
        <v>2855.05</v>
      </c>
      <c r="D290" s="186">
        <f t="shared" si="12"/>
        <v>-0.28878896957166161</v>
      </c>
      <c r="E290" s="186">
        <v>1.8987454717418945E-2</v>
      </c>
      <c r="G290">
        <v>279</v>
      </c>
      <c r="H290" s="186">
        <f t="shared" ca="1" si="13"/>
        <v>-5.237119295271267E-2</v>
      </c>
    </row>
    <row r="291" spans="2:8" x14ac:dyDescent="0.25">
      <c r="B291" s="67">
        <v>42960</v>
      </c>
      <c r="C291" s="66">
        <v>4014.35</v>
      </c>
      <c r="D291" s="186">
        <f t="shared" si="12"/>
        <v>-5.9474720022491899E-2</v>
      </c>
      <c r="E291" s="186">
        <v>1.8961075222418189E-2</v>
      </c>
      <c r="G291">
        <v>280</v>
      </c>
      <c r="H291" s="186">
        <f t="shared" ca="1" si="13"/>
        <v>-6.5248411828931638E-2</v>
      </c>
    </row>
    <row r="292" spans="2:8" x14ac:dyDescent="0.25">
      <c r="B292" s="67">
        <v>43345</v>
      </c>
      <c r="C292" s="66">
        <v>4268.2</v>
      </c>
      <c r="D292" s="186">
        <f t="shared" si="12"/>
        <v>-0.48800748520053505</v>
      </c>
      <c r="E292" s="186">
        <v>1.8882337494927178E-2</v>
      </c>
      <c r="G292">
        <v>281</v>
      </c>
      <c r="H292" s="186">
        <f t="shared" ca="1" si="13"/>
        <v>3.3613012861150482E-2</v>
      </c>
    </row>
    <row r="293" spans="2:8" x14ac:dyDescent="0.25">
      <c r="B293" s="67">
        <v>45109</v>
      </c>
      <c r="C293" s="66">
        <v>8336.4500000000007</v>
      </c>
      <c r="D293" s="186">
        <f t="shared" si="12"/>
        <v>2.6899192209804141</v>
      </c>
      <c r="E293" s="186">
        <v>1.8808317700472414E-2</v>
      </c>
      <c r="G293">
        <v>282</v>
      </c>
      <c r="H293" s="186">
        <f t="shared" ca="1" si="13"/>
        <v>2.9888515693435803E-2</v>
      </c>
    </row>
    <row r="294" spans="2:8" x14ac:dyDescent="0.25">
      <c r="B294" s="67">
        <v>41735</v>
      </c>
      <c r="C294" s="66">
        <v>2259.25</v>
      </c>
      <c r="D294" s="186">
        <f t="shared" si="12"/>
        <v>0.99281114933403891</v>
      </c>
      <c r="E294" s="186">
        <v>1.8781565656565698E-2</v>
      </c>
      <c r="G294">
        <v>283</v>
      </c>
      <c r="H294" s="186">
        <f t="shared" ca="1" si="13"/>
        <v>-7.0497612891200238E-3</v>
      </c>
    </row>
    <row r="295" spans="2:8" x14ac:dyDescent="0.25">
      <c r="B295" s="67">
        <v>40461</v>
      </c>
      <c r="C295" s="66">
        <v>1133.7</v>
      </c>
      <c r="D295" s="186">
        <f t="shared" si="12"/>
        <v>-0.91003094992460909</v>
      </c>
      <c r="E295" s="186">
        <v>1.878145219266723E-2</v>
      </c>
      <c r="G295">
        <v>284</v>
      </c>
      <c r="H295" s="186">
        <f t="shared" ca="1" si="13"/>
        <v>-5.2260841937754168E-2</v>
      </c>
    </row>
    <row r="296" spans="2:8" x14ac:dyDescent="0.25">
      <c r="B296" s="67">
        <v>45900</v>
      </c>
      <c r="C296" s="66">
        <v>12601</v>
      </c>
      <c r="D296" s="186">
        <f t="shared" si="12"/>
        <v>5.4208917197452227</v>
      </c>
      <c r="E296" s="186">
        <v>1.8674211802748586E-2</v>
      </c>
      <c r="G296">
        <v>285</v>
      </c>
      <c r="H296" s="186">
        <f t="shared" ca="1" si="13"/>
        <v>8.2715876514352429E-2</v>
      </c>
    </row>
    <row r="297" spans="2:8" x14ac:dyDescent="0.25">
      <c r="B297" s="67">
        <v>41574</v>
      </c>
      <c r="C297" s="66">
        <v>1962.5</v>
      </c>
      <c r="D297" s="186">
        <f t="shared" si="12"/>
        <v>-0.39583782286118896</v>
      </c>
      <c r="E297" s="186">
        <v>1.8660299499104641E-2</v>
      </c>
      <c r="G297">
        <v>286</v>
      </c>
      <c r="H297" s="186">
        <f t="shared" ca="1" si="13"/>
        <v>8.71153337905516E-2</v>
      </c>
    </row>
    <row r="298" spans="2:8" x14ac:dyDescent="0.25">
      <c r="B298" s="67">
        <v>42512</v>
      </c>
      <c r="C298" s="66">
        <v>3248.3</v>
      </c>
      <c r="D298" s="186">
        <f t="shared" si="12"/>
        <v>9.9385714043964624E-2</v>
      </c>
      <c r="E298" s="186">
        <v>1.8515324919652014E-2</v>
      </c>
      <c r="G298">
        <v>287</v>
      </c>
      <c r="H298" s="186">
        <f t="shared" ca="1" si="13"/>
        <v>-3.7206084720601024E-2</v>
      </c>
    </row>
    <row r="299" spans="2:8" x14ac:dyDescent="0.25">
      <c r="B299" s="67">
        <v>42288</v>
      </c>
      <c r="C299" s="66">
        <v>2954.65</v>
      </c>
      <c r="D299" s="186">
        <f t="shared" si="12"/>
        <v>-0.28938032877568942</v>
      </c>
      <c r="E299" s="186">
        <v>1.8493622888659113E-2</v>
      </c>
      <c r="G299">
        <v>288</v>
      </c>
      <c r="H299" s="186">
        <f t="shared" ca="1" si="13"/>
        <v>2.1976139100758282E-2</v>
      </c>
    </row>
    <row r="300" spans="2:8" x14ac:dyDescent="0.25">
      <c r="B300" s="67">
        <v>43800</v>
      </c>
      <c r="C300" s="66">
        <v>4157.8500000000004</v>
      </c>
      <c r="D300" s="186">
        <f t="shared" si="12"/>
        <v>-0.4994612814879465</v>
      </c>
      <c r="E300" s="186">
        <v>1.8431881644050473E-2</v>
      </c>
      <c r="G300">
        <v>289</v>
      </c>
      <c r="H300" s="186">
        <f t="shared" ca="1" si="13"/>
        <v>-7.4568511313886796E-2</v>
      </c>
    </row>
    <row r="301" spans="2:8" x14ac:dyDescent="0.25">
      <c r="B301" s="67">
        <v>45130</v>
      </c>
      <c r="C301" s="66">
        <v>8306.75</v>
      </c>
      <c r="D301" s="186">
        <f t="shared" si="12"/>
        <v>1.1032409165717179</v>
      </c>
      <c r="E301" s="186">
        <v>1.8214913920435439E-2</v>
      </c>
      <c r="G301">
        <v>290</v>
      </c>
      <c r="H301" s="186">
        <f t="shared" ca="1" si="13"/>
        <v>4.5822681926020329E-3</v>
      </c>
    </row>
    <row r="302" spans="2:8" x14ac:dyDescent="0.25">
      <c r="B302" s="67">
        <v>43191</v>
      </c>
      <c r="C302" s="66">
        <v>3949.5</v>
      </c>
      <c r="D302" s="186">
        <f t="shared" si="12"/>
        <v>-4.906941468230086E-2</v>
      </c>
      <c r="E302" s="186">
        <v>1.8187911677129166E-2</v>
      </c>
      <c r="G302">
        <v>291</v>
      </c>
      <c r="H302" s="186">
        <f t="shared" ca="1" si="13"/>
        <v>1.3460546213356051E-3</v>
      </c>
    </row>
    <row r="303" spans="2:8" x14ac:dyDescent="0.25">
      <c r="B303" s="67">
        <v>43156</v>
      </c>
      <c r="C303" s="66">
        <v>4153.3</v>
      </c>
      <c r="D303" s="186">
        <f t="shared" si="12"/>
        <v>-0.35924651722488771</v>
      </c>
      <c r="E303" s="186">
        <v>1.8003112859541471E-2</v>
      </c>
      <c r="G303">
        <v>292</v>
      </c>
      <c r="H303" s="186">
        <f t="shared" ca="1" si="13"/>
        <v>7.7425459364196966E-2</v>
      </c>
    </row>
    <row r="304" spans="2:8" x14ac:dyDescent="0.25">
      <c r="B304" s="67">
        <v>44318</v>
      </c>
      <c r="C304" s="66">
        <v>6481.9</v>
      </c>
      <c r="D304" s="186">
        <f t="shared" si="12"/>
        <v>4.5782271944922543</v>
      </c>
      <c r="E304" s="186">
        <v>1.7870322388153337E-2</v>
      </c>
      <c r="G304">
        <v>293</v>
      </c>
      <c r="H304" s="186">
        <f t="shared" ca="1" si="13"/>
        <v>-2.7542481645913202E-2</v>
      </c>
    </row>
    <row r="305" spans="2:8" x14ac:dyDescent="0.25">
      <c r="B305" s="67">
        <v>40804</v>
      </c>
      <c r="C305" s="66">
        <v>1162</v>
      </c>
      <c r="D305" s="186">
        <f t="shared" si="12"/>
        <v>4.5669291338582677E-2</v>
      </c>
      <c r="E305" s="186">
        <v>1.7869656622284593E-2</v>
      </c>
      <c r="G305">
        <v>294</v>
      </c>
      <c r="H305" s="186">
        <f t="shared" ca="1" si="13"/>
        <v>2.725379683038421E-2</v>
      </c>
    </row>
    <row r="306" spans="2:8" x14ac:dyDescent="0.25">
      <c r="B306" s="67">
        <v>40629</v>
      </c>
      <c r="C306" s="66">
        <v>1111.25</v>
      </c>
      <c r="D306" s="186">
        <f t="shared" si="12"/>
        <v>-0.86472668399301267</v>
      </c>
      <c r="E306" s="186">
        <v>1.7814618061916143E-2</v>
      </c>
      <c r="G306">
        <v>295</v>
      </c>
      <c r="H306" s="186">
        <f t="shared" ca="1" si="13"/>
        <v>2.3923432664287734E-2</v>
      </c>
    </row>
    <row r="307" spans="2:8" x14ac:dyDescent="0.25">
      <c r="B307" s="67">
        <v>45151</v>
      </c>
      <c r="C307" s="66">
        <v>8214.85</v>
      </c>
      <c r="D307" s="186">
        <f t="shared" si="12"/>
        <v>-0.16376379331406002</v>
      </c>
      <c r="E307" s="186">
        <v>1.7766324514182773E-2</v>
      </c>
      <c r="G307">
        <v>296</v>
      </c>
      <c r="H307" s="186">
        <f t="shared" ca="1" si="13"/>
        <v>-5.4068411895283136E-2</v>
      </c>
    </row>
    <row r="308" spans="2:8" x14ac:dyDescent="0.25">
      <c r="B308" s="67">
        <v>45382</v>
      </c>
      <c r="C308" s="66">
        <v>9823.6</v>
      </c>
      <c r="D308" s="186">
        <f t="shared" si="12"/>
        <v>2.0656597178879044</v>
      </c>
      <c r="E308" s="186">
        <v>1.7720705927449339E-2</v>
      </c>
      <c r="G308">
        <v>297</v>
      </c>
      <c r="H308" s="186">
        <f t="shared" ca="1" si="13"/>
        <v>5.6146812722660238E-3</v>
      </c>
    </row>
    <row r="309" spans="2:8" x14ac:dyDescent="0.25">
      <c r="B309" s="67">
        <v>42204</v>
      </c>
      <c r="C309" s="66">
        <v>3204.4</v>
      </c>
      <c r="D309" s="186">
        <f t="shared" si="12"/>
        <v>0.85918598242000532</v>
      </c>
      <c r="E309" s="186">
        <v>1.7544416747376276E-2</v>
      </c>
      <c r="G309">
        <v>298</v>
      </c>
      <c r="H309" s="186">
        <f t="shared" ca="1" si="13"/>
        <v>-9.6254722200769902E-2</v>
      </c>
    </row>
    <row r="310" spans="2:8" x14ac:dyDescent="0.25">
      <c r="B310" s="67">
        <v>41140</v>
      </c>
      <c r="C310" s="66">
        <v>1723.55</v>
      </c>
      <c r="D310" s="186">
        <f t="shared" si="12"/>
        <v>-0.59742838123489084</v>
      </c>
      <c r="E310" s="186">
        <v>1.75039848869472E-2</v>
      </c>
      <c r="G310">
        <v>299</v>
      </c>
      <c r="H310" s="186">
        <f t="shared" ca="1" si="13"/>
        <v>-1.3797290279679165E-2</v>
      </c>
    </row>
    <row r="311" spans="2:8" x14ac:dyDescent="0.25">
      <c r="B311" s="67">
        <v>43681</v>
      </c>
      <c r="C311" s="66">
        <v>4281.3500000000004</v>
      </c>
      <c r="D311" s="186">
        <f t="shared" si="12"/>
        <v>-0.36517103838911047</v>
      </c>
      <c r="E311" s="186">
        <v>1.74310836501902E-2</v>
      </c>
      <c r="G311">
        <v>300</v>
      </c>
      <c r="H311" s="186">
        <f t="shared" ca="1" si="13"/>
        <v>-2.2669138747445548E-2</v>
      </c>
    </row>
    <row r="312" spans="2:8" x14ac:dyDescent="0.25">
      <c r="B312" s="67">
        <v>44668</v>
      </c>
      <c r="C312" s="66">
        <v>6744.1</v>
      </c>
      <c r="D312" s="186">
        <f t="shared" si="12"/>
        <v>0.62616191452167103</v>
      </c>
      <c r="E312" s="186">
        <v>1.7171298216507726E-2</v>
      </c>
      <c r="G312">
        <v>301</v>
      </c>
      <c r="H312" s="186">
        <f t="shared" ca="1" si="13"/>
        <v>-2.6581890791990553E-3</v>
      </c>
    </row>
    <row r="313" spans="2:8" x14ac:dyDescent="0.25">
      <c r="B313" s="67">
        <v>43772</v>
      </c>
      <c r="C313" s="66">
        <v>4147.25</v>
      </c>
      <c r="D313" s="186">
        <f t="shared" si="12"/>
        <v>3.690322903254032E-2</v>
      </c>
      <c r="E313" s="186">
        <v>1.7131014862412298E-2</v>
      </c>
      <c r="G313">
        <v>302</v>
      </c>
      <c r="H313" s="186">
        <f t="shared" ca="1" si="13"/>
        <v>2.2424064046780282E-2</v>
      </c>
    </row>
    <row r="314" spans="2:8" x14ac:dyDescent="0.25">
      <c r="B314" s="67">
        <v>43429</v>
      </c>
      <c r="C314" s="66">
        <v>3999.65</v>
      </c>
      <c r="D314" s="186">
        <f t="shared" si="12"/>
        <v>0.95610603022448282</v>
      </c>
      <c r="E314" s="186">
        <v>1.7075651621106188E-2</v>
      </c>
      <c r="G314">
        <v>303</v>
      </c>
      <c r="H314" s="186">
        <f t="shared" ca="1" si="13"/>
        <v>3.2341785991546509E-2</v>
      </c>
    </row>
    <row r="315" spans="2:8" x14ac:dyDescent="0.25">
      <c r="B315" s="67">
        <v>41189</v>
      </c>
      <c r="C315" s="66">
        <v>2044.7</v>
      </c>
      <c r="D315" s="186">
        <f t="shared" si="12"/>
        <v>5.1282781357710183</v>
      </c>
      <c r="E315" s="186">
        <v>1.6960111409529563E-2</v>
      </c>
      <c r="G315">
        <v>304</v>
      </c>
      <c r="H315" s="186">
        <f t="shared" ca="1" si="13"/>
        <v>-1.6641803813123815E-2</v>
      </c>
    </row>
    <row r="316" spans="2:8" x14ac:dyDescent="0.25">
      <c r="B316" s="67">
        <v>38354</v>
      </c>
      <c r="C316">
        <v>333.65</v>
      </c>
      <c r="D316" s="186">
        <f t="shared" si="12"/>
        <v>-0.91740927768701419</v>
      </c>
      <c r="E316" s="186">
        <v>1.6760627761694347E-2</v>
      </c>
      <c r="G316">
        <v>305</v>
      </c>
      <c r="H316" s="186">
        <f t="shared" ca="1" si="13"/>
        <v>5.6228258516612631E-2</v>
      </c>
    </row>
    <row r="317" spans="2:8" x14ac:dyDescent="0.25">
      <c r="B317" s="67">
        <v>42806</v>
      </c>
      <c r="C317" s="66">
        <v>4039.8</v>
      </c>
      <c r="D317" s="186">
        <f t="shared" si="12"/>
        <v>-0.40816162089703112</v>
      </c>
      <c r="E317" s="186">
        <v>1.657041482655805E-2</v>
      </c>
      <c r="G317">
        <v>306</v>
      </c>
      <c r="H317" s="186">
        <f t="shared" ca="1" si="13"/>
        <v>-5.4811219645947637E-2</v>
      </c>
    </row>
    <row r="318" spans="2:8" x14ac:dyDescent="0.25">
      <c r="B318" s="67">
        <v>44290</v>
      </c>
      <c r="C318" s="66">
        <v>6825.85</v>
      </c>
      <c r="D318" s="186">
        <f t="shared" si="12"/>
        <v>3.8522125466500801</v>
      </c>
      <c r="E318" s="186">
        <v>1.6477543483440635E-2</v>
      </c>
      <c r="G318">
        <v>307</v>
      </c>
      <c r="H318" s="186">
        <f t="shared" ca="1" si="13"/>
        <v>5.8073139839257687E-2</v>
      </c>
    </row>
    <row r="319" spans="2:8" x14ac:dyDescent="0.25">
      <c r="B319" s="67">
        <v>41042</v>
      </c>
      <c r="C319" s="66">
        <v>1406.75</v>
      </c>
      <c r="D319" s="186">
        <f t="shared" si="12"/>
        <v>0.33867821287529154</v>
      </c>
      <c r="E319" s="186">
        <v>1.6437861271676301E-2</v>
      </c>
      <c r="G319">
        <v>308</v>
      </c>
      <c r="H319" s="186">
        <f t="shared" ca="1" si="13"/>
        <v>-3.3761906218057983E-2</v>
      </c>
    </row>
    <row r="320" spans="2:8" x14ac:dyDescent="0.25">
      <c r="B320" s="67">
        <v>40671</v>
      </c>
      <c r="C320" s="66">
        <v>1050.8499999999999</v>
      </c>
      <c r="D320" s="186">
        <f t="shared" si="12"/>
        <v>0.31710221219527462</v>
      </c>
      <c r="E320" s="186">
        <v>1.6394235419286019E-2</v>
      </c>
      <c r="G320">
        <v>309</v>
      </c>
      <c r="H320" s="186">
        <f t="shared" ca="1" si="13"/>
        <v>9.7069381264187349E-2</v>
      </c>
    </row>
    <row r="321" spans="2:8" x14ac:dyDescent="0.25">
      <c r="B321" s="67">
        <v>39544</v>
      </c>
      <c r="C321">
        <v>797.85</v>
      </c>
      <c r="D321" s="186">
        <f t="shared" si="12"/>
        <v>-0.10993975903614453</v>
      </c>
      <c r="E321" s="186">
        <v>1.6239969430645776E-2</v>
      </c>
      <c r="G321">
        <v>310</v>
      </c>
      <c r="H321" s="186">
        <f t="shared" ca="1" si="13"/>
        <v>5.5193133705999417E-2</v>
      </c>
    </row>
    <row r="322" spans="2:8" x14ac:dyDescent="0.25">
      <c r="B322" s="67">
        <v>39131</v>
      </c>
      <c r="C322">
        <v>896.4</v>
      </c>
      <c r="D322" s="186">
        <f t="shared" si="12"/>
        <v>-0.78245094589183217</v>
      </c>
      <c r="E322" s="186">
        <v>1.6038537829413405E-2</v>
      </c>
      <c r="G322">
        <v>311</v>
      </c>
      <c r="H322" s="186">
        <f t="shared" ca="1" si="13"/>
        <v>8.6145477740632833E-4</v>
      </c>
    </row>
    <row r="323" spans="2:8" x14ac:dyDescent="0.25">
      <c r="B323" s="67">
        <v>43814</v>
      </c>
      <c r="C323" s="66">
        <v>4120.45</v>
      </c>
      <c r="D323" s="186">
        <f t="shared" si="12"/>
        <v>-0.39733070059967823</v>
      </c>
      <c r="E323" s="186">
        <v>1.5990235723444105E-2</v>
      </c>
      <c r="G323">
        <v>312</v>
      </c>
      <c r="H323" s="186">
        <f t="shared" ca="1" si="13"/>
        <v>-5.7516145499841862E-3</v>
      </c>
    </row>
    <row r="324" spans="2:8" x14ac:dyDescent="0.25">
      <c r="B324" s="67">
        <v>44654</v>
      </c>
      <c r="C324" s="66">
        <v>6837</v>
      </c>
      <c r="D324" s="186">
        <f t="shared" si="12"/>
        <v>5.8067101398775449</v>
      </c>
      <c r="E324" s="186">
        <v>1.5891412396638927E-2</v>
      </c>
      <c r="G324">
        <v>313</v>
      </c>
      <c r="H324" s="186">
        <f t="shared" ca="1" si="13"/>
        <v>-8.06638122414777E-2</v>
      </c>
    </row>
    <row r="325" spans="2:8" x14ac:dyDescent="0.25">
      <c r="B325" s="67">
        <v>39397</v>
      </c>
      <c r="C325" s="66">
        <v>1004.45</v>
      </c>
      <c r="D325" s="186">
        <f t="shared" si="12"/>
        <v>-0.86498692814850164</v>
      </c>
      <c r="E325" s="186">
        <v>1.5878634639696632E-2</v>
      </c>
      <c r="G325">
        <v>314</v>
      </c>
      <c r="H325" s="186">
        <f t="shared" ca="1" si="13"/>
        <v>-4.9811398239196461E-2</v>
      </c>
    </row>
    <row r="326" spans="2:8" x14ac:dyDescent="0.25">
      <c r="B326" s="67">
        <v>44591</v>
      </c>
      <c r="C326" s="66">
        <v>7439.65</v>
      </c>
      <c r="D326" s="186">
        <f t="shared" si="12"/>
        <v>0.62691756781875618</v>
      </c>
      <c r="E326" s="186">
        <v>1.584603200611711E-2</v>
      </c>
      <c r="G326">
        <v>315</v>
      </c>
      <c r="H326" s="186">
        <f t="shared" ca="1" si="13"/>
        <v>-1.6595835759033464E-2</v>
      </c>
    </row>
    <row r="327" spans="2:8" x14ac:dyDescent="0.25">
      <c r="B327" s="67">
        <v>43618</v>
      </c>
      <c r="C327" s="66">
        <v>4572.8500000000004</v>
      </c>
      <c r="D327" s="186">
        <f t="shared" si="12"/>
        <v>16.410432134018659</v>
      </c>
      <c r="E327" s="186">
        <v>1.5793857944132919E-2</v>
      </c>
      <c r="G327">
        <v>316</v>
      </c>
      <c r="H327" s="186">
        <f t="shared" ca="1" si="13"/>
        <v>1.5507784522562351E-2</v>
      </c>
    </row>
    <row r="328" spans="2:8" x14ac:dyDescent="0.25">
      <c r="B328" s="67">
        <v>38228</v>
      </c>
      <c r="C328">
        <v>262.64999999999998</v>
      </c>
      <c r="D328" s="186">
        <f t="shared" si="12"/>
        <v>-0.26024503591043524</v>
      </c>
      <c r="E328" s="186">
        <v>1.5661252900231841E-2</v>
      </c>
      <c r="G328">
        <v>317</v>
      </c>
      <c r="H328" s="186">
        <f t="shared" ca="1" si="13"/>
        <v>-4.1533122581623241E-2</v>
      </c>
    </row>
    <row r="329" spans="2:8" x14ac:dyDescent="0.25">
      <c r="B329" s="67">
        <v>39747</v>
      </c>
      <c r="C329">
        <v>355.05</v>
      </c>
      <c r="D329" s="186">
        <f t="shared" si="12"/>
        <v>-0.95161059510586243</v>
      </c>
      <c r="E329" s="186">
        <v>1.5589244851258548E-2</v>
      </c>
      <c r="G329">
        <v>318</v>
      </c>
      <c r="H329" s="186">
        <f t="shared" ca="1" si="13"/>
        <v>7.467442532922787E-2</v>
      </c>
    </row>
    <row r="330" spans="2:8" x14ac:dyDescent="0.25">
      <c r="B330" s="67">
        <v>44542</v>
      </c>
      <c r="C330" s="66">
        <v>7337.35</v>
      </c>
      <c r="D330" s="186">
        <f t="shared" si="12"/>
        <v>7.5491989513545006</v>
      </c>
      <c r="E330" s="186">
        <v>1.5578285904108096E-2</v>
      </c>
      <c r="G330">
        <v>319</v>
      </c>
      <c r="H330" s="186">
        <f t="shared" ca="1" si="13"/>
        <v>-8.385553526780453E-3</v>
      </c>
    </row>
    <row r="331" spans="2:8" x14ac:dyDescent="0.25">
      <c r="B331" s="67">
        <v>40363</v>
      </c>
      <c r="C331">
        <v>858.25</v>
      </c>
      <c r="D331" s="186">
        <f t="shared" si="12"/>
        <v>-0.92455144040157178</v>
      </c>
      <c r="E331" s="186">
        <v>1.5560288723227993E-2</v>
      </c>
      <c r="G331">
        <v>320</v>
      </c>
      <c r="H331" s="186">
        <f t="shared" ca="1" si="13"/>
        <v>2.4340690038348402E-2</v>
      </c>
    </row>
    <row r="332" spans="2:8" x14ac:dyDescent="0.25">
      <c r="B332" s="67">
        <v>45613</v>
      </c>
      <c r="C332" s="66">
        <v>11375.3</v>
      </c>
      <c r="D332" s="186">
        <f t="shared" ref="D332:D395" si="14">(C332-C333)/C333</f>
        <v>0.12642904179312872</v>
      </c>
      <c r="E332" s="186">
        <v>1.5456854264583106E-2</v>
      </c>
      <c r="G332">
        <v>321</v>
      </c>
      <c r="H332" s="186">
        <f t="shared" ca="1" si="13"/>
        <v>-4.5287572882970667E-2</v>
      </c>
    </row>
    <row r="333" spans="2:8" x14ac:dyDescent="0.25">
      <c r="B333" s="67">
        <v>45319</v>
      </c>
      <c r="C333" s="66">
        <v>10098.549999999999</v>
      </c>
      <c r="D333" s="186">
        <f t="shared" si="14"/>
        <v>1.4745283018867923</v>
      </c>
      <c r="E333" s="186">
        <v>1.5363346152879298E-2</v>
      </c>
      <c r="G333">
        <v>322</v>
      </c>
      <c r="H333" s="186">
        <f t="shared" ref="H333:H396" ca="1" si="15">_xlfn.NORM.INV(RAND(),N$14,N$15)</f>
        <v>-4.6476969468406293E-2</v>
      </c>
    </row>
    <row r="334" spans="2:8" x14ac:dyDescent="0.25">
      <c r="B334" s="67">
        <v>42827</v>
      </c>
      <c r="C334" s="66">
        <v>4081</v>
      </c>
      <c r="D334" s="186">
        <f t="shared" si="14"/>
        <v>2.5936949630151465</v>
      </c>
      <c r="E334" s="186">
        <v>1.5338300969062186E-2</v>
      </c>
      <c r="G334">
        <v>323</v>
      </c>
      <c r="H334" s="186">
        <f t="shared" ca="1" si="15"/>
        <v>4.5435826024595824E-2</v>
      </c>
    </row>
    <row r="335" spans="2:8" x14ac:dyDescent="0.25">
      <c r="B335" s="67">
        <v>40860</v>
      </c>
      <c r="C335" s="66">
        <v>1135.5999999999999</v>
      </c>
      <c r="D335" s="186">
        <f t="shared" si="14"/>
        <v>-0.81708947410807753</v>
      </c>
      <c r="E335" s="186">
        <v>1.5333720774285719E-2</v>
      </c>
      <c r="G335">
        <v>324</v>
      </c>
      <c r="H335" s="186">
        <f t="shared" ca="1" si="15"/>
        <v>-6.9538532495498864E-2</v>
      </c>
    </row>
    <row r="336" spans="2:8" x14ac:dyDescent="0.25">
      <c r="B336" s="67">
        <v>44241</v>
      </c>
      <c r="C336" s="66">
        <v>6208.5</v>
      </c>
      <c r="D336" s="186">
        <f t="shared" si="14"/>
        <v>0.21940919982715962</v>
      </c>
      <c r="E336" s="186">
        <v>1.5290269828291087E-2</v>
      </c>
      <c r="G336">
        <v>325</v>
      </c>
      <c r="H336" s="186">
        <f t="shared" ca="1" si="15"/>
        <v>4.5451089935442121E-3</v>
      </c>
    </row>
    <row r="337" spans="2:8" x14ac:dyDescent="0.25">
      <c r="B337" s="67">
        <v>44164</v>
      </c>
      <c r="C337" s="66">
        <v>5091.3999999999996</v>
      </c>
      <c r="D337" s="186">
        <f t="shared" si="14"/>
        <v>-0.27411927403373215</v>
      </c>
      <c r="E337" s="186">
        <v>1.5234297108673906E-2</v>
      </c>
      <c r="G337">
        <v>326</v>
      </c>
      <c r="H337" s="186">
        <f t="shared" ca="1" si="15"/>
        <v>3.2343685590831839E-2</v>
      </c>
    </row>
    <row r="338" spans="2:8" x14ac:dyDescent="0.25">
      <c r="B338" s="67">
        <v>44906</v>
      </c>
      <c r="C338" s="66">
        <v>7014.1</v>
      </c>
      <c r="D338" s="186">
        <f t="shared" si="14"/>
        <v>17.80707869687626</v>
      </c>
      <c r="E338" s="186">
        <v>1.5153269458997993E-2</v>
      </c>
      <c r="G338">
        <v>327</v>
      </c>
      <c r="H338" s="186">
        <f t="shared" ca="1" si="15"/>
        <v>-4.4109444328571321E-2</v>
      </c>
    </row>
    <row r="339" spans="2:8" x14ac:dyDescent="0.25">
      <c r="B339" s="67">
        <v>38389</v>
      </c>
      <c r="C339">
        <v>372.95</v>
      </c>
      <c r="D339" s="186">
        <f t="shared" si="14"/>
        <v>-0.61733018674327933</v>
      </c>
      <c r="E339" s="186">
        <v>1.5106151333696275E-2</v>
      </c>
      <c r="G339">
        <v>328</v>
      </c>
      <c r="H339" s="186">
        <f t="shared" ca="1" si="15"/>
        <v>-5.0514604204172833E-4</v>
      </c>
    </row>
    <row r="340" spans="2:8" x14ac:dyDescent="0.25">
      <c r="B340" s="67">
        <v>40335</v>
      </c>
      <c r="C340">
        <v>974.6</v>
      </c>
      <c r="D340" s="186">
        <f t="shared" si="14"/>
        <v>1.2461396635169395</v>
      </c>
      <c r="E340" s="186">
        <v>1.510259347984585E-2</v>
      </c>
      <c r="G340">
        <v>329</v>
      </c>
      <c r="H340" s="186">
        <f t="shared" ca="1" si="15"/>
        <v>1.7669994770108059E-2</v>
      </c>
    </row>
    <row r="341" spans="2:8" x14ac:dyDescent="0.25">
      <c r="B341" s="67">
        <v>38704</v>
      </c>
      <c r="C341">
        <v>433.9</v>
      </c>
      <c r="D341" s="186">
        <f t="shared" si="14"/>
        <v>-0.84324421965317919</v>
      </c>
      <c r="E341" s="186">
        <v>1.5089484150192978E-2</v>
      </c>
      <c r="G341">
        <v>330</v>
      </c>
      <c r="H341" s="186">
        <f t="shared" ca="1" si="15"/>
        <v>7.4651985385138387E-3</v>
      </c>
    </row>
    <row r="342" spans="2:8" x14ac:dyDescent="0.25">
      <c r="B342" s="67">
        <v>41798</v>
      </c>
      <c r="C342" s="66">
        <v>2768</v>
      </c>
      <c r="D342" s="186">
        <f t="shared" si="14"/>
        <v>5.082848038677068</v>
      </c>
      <c r="E342" s="186">
        <v>1.486736695448136E-2</v>
      </c>
      <c r="G342">
        <v>331</v>
      </c>
      <c r="H342" s="186">
        <f t="shared" ca="1" si="15"/>
        <v>-2.5315805644692362E-2</v>
      </c>
    </row>
    <row r="343" spans="2:8" x14ac:dyDescent="0.25">
      <c r="B343" s="67">
        <v>38676</v>
      </c>
      <c r="C343">
        <v>455.05</v>
      </c>
      <c r="D343" s="186">
        <f t="shared" si="14"/>
        <v>-0.89750779868689257</v>
      </c>
      <c r="E343" s="186">
        <v>1.4830508474576348E-2</v>
      </c>
      <c r="G343">
        <v>332</v>
      </c>
      <c r="H343" s="186">
        <f t="shared" ca="1" si="15"/>
        <v>-3.8634718412545802E-2</v>
      </c>
    </row>
    <row r="344" spans="2:8" x14ac:dyDescent="0.25">
      <c r="B344" s="67">
        <v>43030</v>
      </c>
      <c r="C344" s="66">
        <v>4439.8500000000004</v>
      </c>
      <c r="D344" s="186">
        <f t="shared" si="14"/>
        <v>4.1000516914594227</v>
      </c>
      <c r="E344" s="186">
        <v>1.4799661722017781E-2</v>
      </c>
      <c r="G344">
        <v>333</v>
      </c>
      <c r="H344" s="186">
        <f t="shared" ca="1" si="15"/>
        <v>-2.3870616510881845E-2</v>
      </c>
    </row>
    <row r="345" spans="2:8" x14ac:dyDescent="0.25">
      <c r="B345" s="67">
        <v>40356</v>
      </c>
      <c r="C345">
        <v>870.55</v>
      </c>
      <c r="D345" s="186">
        <f t="shared" si="14"/>
        <v>-0.78082829808660614</v>
      </c>
      <c r="E345" s="186">
        <v>1.4331488494028493E-2</v>
      </c>
      <c r="G345">
        <v>334</v>
      </c>
      <c r="H345" s="186">
        <f t="shared" ca="1" si="15"/>
        <v>2.4531142552971907E-2</v>
      </c>
    </row>
    <row r="346" spans="2:8" x14ac:dyDescent="0.25">
      <c r="B346" s="67">
        <v>43527</v>
      </c>
      <c r="C346" s="66">
        <v>3972</v>
      </c>
      <c r="D346" s="186">
        <f t="shared" si="14"/>
        <v>4.3701074832691136</v>
      </c>
      <c r="E346" s="186">
        <v>1.4274405658691067E-2</v>
      </c>
      <c r="G346">
        <v>335</v>
      </c>
      <c r="H346" s="186">
        <f t="shared" ca="1" si="15"/>
        <v>-9.8731684336324631E-3</v>
      </c>
    </row>
    <row r="347" spans="2:8" x14ac:dyDescent="0.25">
      <c r="B347" s="67">
        <v>38921</v>
      </c>
      <c r="C347">
        <v>739.65</v>
      </c>
      <c r="D347" s="186">
        <f t="shared" si="14"/>
        <v>-0.7691263226893903</v>
      </c>
      <c r="E347" s="186">
        <v>1.4261227288309876E-2</v>
      </c>
      <c r="G347">
        <v>336</v>
      </c>
      <c r="H347" s="186">
        <f t="shared" ca="1" si="15"/>
        <v>-5.1992538560441157E-2</v>
      </c>
    </row>
    <row r="348" spans="2:8" x14ac:dyDescent="0.25">
      <c r="B348" s="67">
        <v>42456</v>
      </c>
      <c r="C348" s="66">
        <v>3203.7</v>
      </c>
      <c r="D348" s="186">
        <f t="shared" si="14"/>
        <v>3.9321838195673924</v>
      </c>
      <c r="E348" s="186">
        <v>1.4198205042974471E-2</v>
      </c>
      <c r="G348">
        <v>337</v>
      </c>
      <c r="H348" s="186">
        <f t="shared" ca="1" si="15"/>
        <v>-6.4172522642622604E-2</v>
      </c>
    </row>
    <row r="349" spans="2:8" x14ac:dyDescent="0.25">
      <c r="B349" s="67">
        <v>39593</v>
      </c>
      <c r="C349">
        <v>649.54999999999995</v>
      </c>
      <c r="D349" s="186">
        <f t="shared" si="14"/>
        <v>-0.65952930076527938</v>
      </c>
      <c r="E349" s="186">
        <v>1.4129586260733731E-2</v>
      </c>
      <c r="G349">
        <v>338</v>
      </c>
      <c r="H349" s="186">
        <f t="shared" ca="1" si="15"/>
        <v>-1.1524077212188147E-3</v>
      </c>
    </row>
    <row r="350" spans="2:8" x14ac:dyDescent="0.25">
      <c r="B350" s="67">
        <v>41602</v>
      </c>
      <c r="C350" s="66">
        <v>1907.8</v>
      </c>
      <c r="D350" s="186">
        <f t="shared" si="14"/>
        <v>-0.74359077743953661</v>
      </c>
      <c r="E350" s="186">
        <v>1.4059053339357402E-2</v>
      </c>
      <c r="G350">
        <v>339</v>
      </c>
      <c r="H350" s="186">
        <f t="shared" ca="1" si="15"/>
        <v>-5.8600952773786907E-2</v>
      </c>
    </row>
    <row r="351" spans="2:8" x14ac:dyDescent="0.25">
      <c r="B351" s="67">
        <v>44535</v>
      </c>
      <c r="C351" s="66">
        <v>7440.45</v>
      </c>
      <c r="D351" s="186">
        <f t="shared" si="14"/>
        <v>0.84329245633593453</v>
      </c>
      <c r="E351" s="186">
        <v>1.4051394577061126E-2</v>
      </c>
      <c r="G351">
        <v>340</v>
      </c>
      <c r="H351" s="186">
        <f t="shared" ca="1" si="15"/>
        <v>4.4181950334132969E-2</v>
      </c>
    </row>
    <row r="352" spans="2:8" x14ac:dyDescent="0.25">
      <c r="B352" s="67">
        <v>42652</v>
      </c>
      <c r="C352" s="66">
        <v>4036.5</v>
      </c>
      <c r="D352" s="186">
        <f t="shared" si="14"/>
        <v>9.3413514282231491E-2</v>
      </c>
      <c r="E352" s="186">
        <v>1.3966690949282802E-2</v>
      </c>
      <c r="G352">
        <v>341</v>
      </c>
      <c r="H352" s="186">
        <f t="shared" ca="1" si="15"/>
        <v>-9.0052254980065825E-3</v>
      </c>
    </row>
    <row r="353" spans="2:8" x14ac:dyDescent="0.25">
      <c r="B353" s="67">
        <v>43261</v>
      </c>
      <c r="C353" s="66">
        <v>3691.65</v>
      </c>
      <c r="D353" s="186">
        <f t="shared" si="14"/>
        <v>0.99075172562553926</v>
      </c>
      <c r="E353" s="186">
        <v>1.389709012510125E-2</v>
      </c>
      <c r="G353">
        <v>342</v>
      </c>
      <c r="H353" s="186">
        <f t="shared" ca="1" si="15"/>
        <v>-7.2865847552953389E-2</v>
      </c>
    </row>
    <row r="354" spans="2:8" x14ac:dyDescent="0.25">
      <c r="B354" s="67">
        <v>41532</v>
      </c>
      <c r="C354" s="66">
        <v>1854.4</v>
      </c>
      <c r="D354" s="186">
        <f t="shared" si="14"/>
        <v>0.58971281611658821</v>
      </c>
      <c r="E354" s="186">
        <v>1.3887370147621701E-2</v>
      </c>
      <c r="G354">
        <v>343</v>
      </c>
      <c r="H354" s="186">
        <f t="shared" ca="1" si="15"/>
        <v>9.1878631697385693E-2</v>
      </c>
    </row>
    <row r="355" spans="2:8" x14ac:dyDescent="0.25">
      <c r="B355" s="67">
        <v>40902</v>
      </c>
      <c r="C355" s="66">
        <v>1166.5</v>
      </c>
      <c r="D355" s="186">
        <f t="shared" si="14"/>
        <v>-0.58503788552523917</v>
      </c>
      <c r="E355" s="186">
        <v>1.3818877107596116E-2</v>
      </c>
      <c r="G355">
        <v>344</v>
      </c>
      <c r="H355" s="186">
        <f t="shared" ca="1" si="15"/>
        <v>6.1316850097734299E-2</v>
      </c>
    </row>
    <row r="356" spans="2:8" x14ac:dyDescent="0.25">
      <c r="B356" s="67">
        <v>42267</v>
      </c>
      <c r="C356" s="66">
        <v>2811.1</v>
      </c>
      <c r="D356" s="186">
        <f t="shared" si="14"/>
        <v>-0.76387232255354887</v>
      </c>
      <c r="E356" s="186">
        <v>1.3575150083830641E-2</v>
      </c>
      <c r="G356">
        <v>345</v>
      </c>
      <c r="H356" s="186">
        <f t="shared" ca="1" si="15"/>
        <v>-7.0366462333350255E-2</v>
      </c>
    </row>
    <row r="357" spans="2:8" x14ac:dyDescent="0.25">
      <c r="B357" s="67">
        <v>45788</v>
      </c>
      <c r="C357" s="66">
        <v>11905</v>
      </c>
      <c r="D357" s="186">
        <f t="shared" si="14"/>
        <v>1.8069224058661257</v>
      </c>
      <c r="E357" s="186">
        <v>1.3536523071683978E-2</v>
      </c>
      <c r="G357">
        <v>346</v>
      </c>
      <c r="H357" s="186">
        <f t="shared" ca="1" si="15"/>
        <v>-5.2232847771031222E-3</v>
      </c>
    </row>
    <row r="358" spans="2:8" x14ac:dyDescent="0.25">
      <c r="B358" s="67">
        <v>43058</v>
      </c>
      <c r="C358" s="66">
        <v>4241.3</v>
      </c>
      <c r="D358" s="186">
        <f t="shared" si="14"/>
        <v>3.9572533303920555E-2</v>
      </c>
      <c r="E358" s="186">
        <v>1.3464915948816681E-2</v>
      </c>
      <c r="G358">
        <v>347</v>
      </c>
      <c r="H358" s="186">
        <f t="shared" ca="1" si="15"/>
        <v>-5.7933856108555642E-2</v>
      </c>
    </row>
    <row r="359" spans="2:8" x14ac:dyDescent="0.25">
      <c r="B359" s="67">
        <v>43163</v>
      </c>
      <c r="C359" s="66">
        <v>4079.85</v>
      </c>
      <c r="D359" s="186">
        <f t="shared" si="14"/>
        <v>3.5635906040268455</v>
      </c>
      <c r="E359" s="186">
        <v>1.3300052157067215E-2</v>
      </c>
      <c r="G359">
        <v>348</v>
      </c>
      <c r="H359" s="186">
        <f t="shared" ca="1" si="15"/>
        <v>-0.10037286314326868</v>
      </c>
    </row>
    <row r="360" spans="2:8" x14ac:dyDescent="0.25">
      <c r="B360" s="67">
        <v>39026</v>
      </c>
      <c r="C360">
        <v>894</v>
      </c>
      <c r="D360" s="186">
        <f t="shared" si="14"/>
        <v>-0.66973900515340146</v>
      </c>
      <c r="E360" s="186">
        <v>1.3088560258371526E-2</v>
      </c>
      <c r="G360">
        <v>349</v>
      </c>
      <c r="H360" s="186">
        <f t="shared" ca="1" si="15"/>
        <v>-3.7562956871802222E-2</v>
      </c>
    </row>
    <row r="361" spans="2:8" x14ac:dyDescent="0.25">
      <c r="B361" s="67">
        <v>42113</v>
      </c>
      <c r="C361" s="66">
        <v>2706.95</v>
      </c>
      <c r="D361" s="186">
        <f t="shared" si="14"/>
        <v>2.6501483279395899</v>
      </c>
      <c r="E361" s="186">
        <v>1.3042176565248273E-2</v>
      </c>
      <c r="G361">
        <v>350</v>
      </c>
      <c r="H361" s="186">
        <f t="shared" ca="1" si="15"/>
        <v>-1.1333483714255955E-2</v>
      </c>
    </row>
    <row r="362" spans="2:8" x14ac:dyDescent="0.25">
      <c r="B362" s="67">
        <v>39964</v>
      </c>
      <c r="C362">
        <v>741.6</v>
      </c>
      <c r="D362" s="186">
        <f t="shared" si="14"/>
        <v>-0.16930831699803975</v>
      </c>
      <c r="E362" s="186">
        <v>1.2976369348449665E-2</v>
      </c>
      <c r="G362">
        <v>351</v>
      </c>
      <c r="H362" s="186">
        <f t="shared" ca="1" si="15"/>
        <v>4.7212984704858962E-2</v>
      </c>
    </row>
    <row r="363" spans="2:8" x14ac:dyDescent="0.25">
      <c r="B363" s="67">
        <v>38984</v>
      </c>
      <c r="C363">
        <v>892.75</v>
      </c>
      <c r="D363" s="186">
        <f t="shared" si="14"/>
        <v>-0.81640291616538652</v>
      </c>
      <c r="E363" s="186">
        <v>1.2704894787590092E-2</v>
      </c>
      <c r="G363">
        <v>352</v>
      </c>
      <c r="H363" s="186">
        <f t="shared" ca="1" si="15"/>
        <v>1.141207607061228E-2</v>
      </c>
    </row>
    <row r="364" spans="2:8" x14ac:dyDescent="0.25">
      <c r="B364" s="67">
        <v>44150</v>
      </c>
      <c r="C364" s="66">
        <v>4862.55</v>
      </c>
      <c r="D364" s="186">
        <f t="shared" si="14"/>
        <v>3.1760133974579179</v>
      </c>
      <c r="E364" s="186">
        <v>1.2609329446064178E-2</v>
      </c>
      <c r="G364">
        <v>353</v>
      </c>
      <c r="H364" s="186">
        <f t="shared" ca="1" si="15"/>
        <v>2.7424872212153915E-2</v>
      </c>
    </row>
    <row r="365" spans="2:8" x14ac:dyDescent="0.25">
      <c r="B365" s="67">
        <v>40839</v>
      </c>
      <c r="C365" s="66">
        <v>1164.4000000000001</v>
      </c>
      <c r="D365" s="186">
        <f t="shared" si="14"/>
        <v>-0.88464091462991767</v>
      </c>
      <c r="E365" s="186">
        <v>1.2477718360071421E-2</v>
      </c>
      <c r="G365">
        <v>354</v>
      </c>
      <c r="H365" s="186">
        <f t="shared" ca="1" si="15"/>
        <v>-4.849852369458342E-2</v>
      </c>
    </row>
    <row r="366" spans="2:8" x14ac:dyDescent="0.25">
      <c r="B366" s="67">
        <v>45305</v>
      </c>
      <c r="C366" s="66">
        <v>10093.700000000001</v>
      </c>
      <c r="D366" s="186">
        <f t="shared" si="14"/>
        <v>-4.6180450559419314E-2</v>
      </c>
      <c r="E366" s="186">
        <v>1.2473230451333374E-2</v>
      </c>
      <c r="G366">
        <v>355</v>
      </c>
      <c r="H366" s="186">
        <f t="shared" ca="1" si="15"/>
        <v>-4.175386930101635E-2</v>
      </c>
    </row>
    <row r="367" spans="2:8" x14ac:dyDescent="0.25">
      <c r="B367" s="67">
        <v>45718</v>
      </c>
      <c r="C367" s="66">
        <v>10582.4</v>
      </c>
      <c r="D367" s="186">
        <f t="shared" si="14"/>
        <v>1.5079154422220113</v>
      </c>
      <c r="E367" s="186">
        <v>1.2466394313104473E-2</v>
      </c>
      <c r="G367">
        <v>356</v>
      </c>
      <c r="H367" s="186">
        <f t="shared" ca="1" si="15"/>
        <v>1.3709775912826745E-3</v>
      </c>
    </row>
    <row r="368" spans="2:8" x14ac:dyDescent="0.25">
      <c r="B368" s="67">
        <v>43884</v>
      </c>
      <c r="C368" s="66">
        <v>4219.6000000000004</v>
      </c>
      <c r="D368" s="186">
        <f t="shared" si="14"/>
        <v>2.5730555908378849</v>
      </c>
      <c r="E368" s="186">
        <v>1.2416473721463104E-2</v>
      </c>
      <c r="G368">
        <v>357</v>
      </c>
      <c r="H368" s="186">
        <f t="shared" ca="1" si="15"/>
        <v>-2.0876874769383293E-2</v>
      </c>
    </row>
    <row r="369" spans="2:8" x14ac:dyDescent="0.25">
      <c r="B369" s="67">
        <v>40895</v>
      </c>
      <c r="C369" s="66">
        <v>1180.95</v>
      </c>
      <c r="D369" s="186">
        <f t="shared" si="14"/>
        <v>-0.90054320363820106</v>
      </c>
      <c r="E369" s="186">
        <v>1.2387483926275221E-2</v>
      </c>
      <c r="G369">
        <v>358</v>
      </c>
      <c r="H369" s="186">
        <f t="shared" ca="1" si="15"/>
        <v>7.5012417024981362E-2</v>
      </c>
    </row>
    <row r="370" spans="2:8" x14ac:dyDescent="0.25">
      <c r="B370" s="67">
        <v>45970</v>
      </c>
      <c r="C370" s="66">
        <v>11874</v>
      </c>
      <c r="D370" s="186">
        <f t="shared" si="14"/>
        <v>9.6316873349151635</v>
      </c>
      <c r="E370" s="186">
        <v>1.236252024895558E-2</v>
      </c>
      <c r="G370">
        <v>359</v>
      </c>
      <c r="H370" s="186">
        <f t="shared" ca="1" si="15"/>
        <v>-3.0927544096033124E-2</v>
      </c>
    </row>
    <row r="371" spans="2:8" x14ac:dyDescent="0.25">
      <c r="B371" s="67">
        <v>40482</v>
      </c>
      <c r="C371" s="66">
        <v>1116.8499999999999</v>
      </c>
      <c r="D371" s="186">
        <f t="shared" si="14"/>
        <v>5.7181449797387741E-3</v>
      </c>
      <c r="E371" s="186">
        <v>1.2327215046453578E-2</v>
      </c>
      <c r="G371">
        <v>360</v>
      </c>
      <c r="H371" s="186">
        <f t="shared" ca="1" si="15"/>
        <v>4.7299649141074887E-2</v>
      </c>
    </row>
    <row r="372" spans="2:8" x14ac:dyDescent="0.25">
      <c r="B372" s="67">
        <v>40510</v>
      </c>
      <c r="C372" s="66">
        <v>1110.5</v>
      </c>
      <c r="D372" s="186">
        <f t="shared" si="14"/>
        <v>-0.85424979000419987</v>
      </c>
      <c r="E372" s="186">
        <v>1.2214018776775219E-2</v>
      </c>
      <c r="G372">
        <v>361</v>
      </c>
      <c r="H372" s="186">
        <f t="shared" ca="1" si="15"/>
        <v>2.1219910294287065E-2</v>
      </c>
    </row>
    <row r="373" spans="2:8" x14ac:dyDescent="0.25">
      <c r="B373" s="67">
        <v>44402</v>
      </c>
      <c r="C373" s="66">
        <v>7619.2</v>
      </c>
      <c r="D373" s="186">
        <f t="shared" si="14"/>
        <v>16.411334552102375</v>
      </c>
      <c r="E373" s="186">
        <v>1.2161830053203879E-2</v>
      </c>
      <c r="G373">
        <v>362</v>
      </c>
      <c r="H373" s="186">
        <f t="shared" ca="1" si="15"/>
        <v>-6.9751007960769829E-2</v>
      </c>
    </row>
    <row r="374" spans="2:8" x14ac:dyDescent="0.25">
      <c r="B374" s="67">
        <v>38592</v>
      </c>
      <c r="C374">
        <v>437.6</v>
      </c>
      <c r="D374" s="186">
        <f t="shared" si="14"/>
        <v>-0.50247285543743958</v>
      </c>
      <c r="E374" s="186">
        <v>1.2142939747889442E-2</v>
      </c>
      <c r="G374">
        <v>363</v>
      </c>
      <c r="H374" s="186">
        <f t="shared" ca="1" si="15"/>
        <v>-4.5671781405212358E-2</v>
      </c>
    </row>
    <row r="375" spans="2:8" x14ac:dyDescent="0.25">
      <c r="B375" s="67">
        <v>39005</v>
      </c>
      <c r="C375">
        <v>879.55</v>
      </c>
      <c r="D375" s="186">
        <f t="shared" si="14"/>
        <v>-0.78889195578863991</v>
      </c>
      <c r="E375" s="186">
        <v>1.2140391254315253E-2</v>
      </c>
      <c r="G375">
        <v>364</v>
      </c>
      <c r="H375" s="186">
        <f t="shared" ca="1" si="15"/>
        <v>-2.0702089167172918E-2</v>
      </c>
    </row>
    <row r="376" spans="2:8" x14ac:dyDescent="0.25">
      <c r="B376" s="67">
        <v>43142</v>
      </c>
      <c r="C376" s="66">
        <v>4166.3500000000004</v>
      </c>
      <c r="D376" s="186">
        <f t="shared" si="14"/>
        <v>1.0381821294914757</v>
      </c>
      <c r="E376" s="186">
        <v>1.2134389272179752E-2</v>
      </c>
      <c r="G376">
        <v>365</v>
      </c>
      <c r="H376" s="186">
        <f t="shared" ca="1" si="15"/>
        <v>-2.1055748803332632E-2</v>
      </c>
    </row>
    <row r="377" spans="2:8" x14ac:dyDescent="0.25">
      <c r="B377" s="67">
        <v>41203</v>
      </c>
      <c r="C377" s="66">
        <v>2044.15</v>
      </c>
      <c r="D377" s="186">
        <f t="shared" si="14"/>
        <v>-0.23461574464101842</v>
      </c>
      <c r="E377" s="186">
        <v>1.2030596331410839E-2</v>
      </c>
      <c r="G377">
        <v>366</v>
      </c>
      <c r="H377" s="186">
        <f t="shared" ca="1" si="15"/>
        <v>1.0503851082723297E-2</v>
      </c>
    </row>
    <row r="378" spans="2:8" x14ac:dyDescent="0.25">
      <c r="B378" s="67">
        <v>41882</v>
      </c>
      <c r="C378" s="66">
        <v>2670.75</v>
      </c>
      <c r="D378" s="186">
        <f t="shared" si="14"/>
        <v>1.8126480964667475</v>
      </c>
      <c r="E378" s="186">
        <v>1.1896868547180212E-2</v>
      </c>
      <c r="G378">
        <v>367</v>
      </c>
      <c r="H378" s="186">
        <f t="shared" ca="1" si="15"/>
        <v>-1.0800034769664661E-3</v>
      </c>
    </row>
    <row r="379" spans="2:8" x14ac:dyDescent="0.25">
      <c r="B379" s="67">
        <v>40314</v>
      </c>
      <c r="C379">
        <v>949.55</v>
      </c>
      <c r="D379" s="186">
        <f t="shared" si="14"/>
        <v>-0.1548662720840194</v>
      </c>
      <c r="E379" s="186">
        <v>1.1881926683716942E-2</v>
      </c>
      <c r="G379">
        <v>368</v>
      </c>
      <c r="H379" s="186">
        <f t="shared" ca="1" si="15"/>
        <v>-4.9655949514173306E-2</v>
      </c>
    </row>
    <row r="380" spans="2:8" x14ac:dyDescent="0.25">
      <c r="B380" s="67">
        <v>40503</v>
      </c>
      <c r="C380" s="66">
        <v>1123.55</v>
      </c>
      <c r="D380" s="186">
        <f t="shared" si="14"/>
        <v>9.6603163191948237E-3</v>
      </c>
      <c r="E380" s="186">
        <v>1.1751463304817609E-2</v>
      </c>
      <c r="G380">
        <v>369</v>
      </c>
      <c r="H380" s="186">
        <f t="shared" ca="1" si="15"/>
        <v>-9.0170044084148984E-2</v>
      </c>
    </row>
    <row r="381" spans="2:8" x14ac:dyDescent="0.25">
      <c r="B381" s="67">
        <v>40468</v>
      </c>
      <c r="C381" s="66">
        <v>1112.8</v>
      </c>
      <c r="D381" s="186">
        <f t="shared" si="14"/>
        <v>-0.83856202987066686</v>
      </c>
      <c r="E381" s="186">
        <v>1.1728338939903502E-2</v>
      </c>
      <c r="G381">
        <v>370</v>
      </c>
      <c r="H381" s="186">
        <f t="shared" ca="1" si="15"/>
        <v>-3.6752008638549521E-2</v>
      </c>
    </row>
    <row r="382" spans="2:8" x14ac:dyDescent="0.25">
      <c r="B382" s="67">
        <v>44864</v>
      </c>
      <c r="C382" s="66">
        <v>6893.05</v>
      </c>
      <c r="D382" s="186">
        <f t="shared" si="14"/>
        <v>2.6119524208761264</v>
      </c>
      <c r="E382" s="186">
        <v>1.1719896671167787E-2</v>
      </c>
      <c r="G382">
        <v>371</v>
      </c>
      <c r="H382" s="186">
        <f t="shared" ca="1" si="15"/>
        <v>-3.5149497861411583E-2</v>
      </c>
    </row>
    <row r="383" spans="2:8" x14ac:dyDescent="0.25">
      <c r="B383" s="67">
        <v>41385</v>
      </c>
      <c r="C383" s="66">
        <v>1908.4</v>
      </c>
      <c r="D383" s="186">
        <f t="shared" si="14"/>
        <v>-0.49270315532044978</v>
      </c>
      <c r="E383" s="186">
        <v>1.1716057891109652E-2</v>
      </c>
      <c r="G383">
        <v>372</v>
      </c>
      <c r="H383" s="186">
        <f t="shared" ca="1" si="15"/>
        <v>5.1632166144083809E-3</v>
      </c>
    </row>
    <row r="384" spans="2:8" x14ac:dyDescent="0.25">
      <c r="B384" s="67">
        <v>42771</v>
      </c>
      <c r="C384" s="66">
        <v>3761.9</v>
      </c>
      <c r="D384" s="186">
        <f t="shared" si="14"/>
        <v>1.1881052784644468</v>
      </c>
      <c r="E384" s="186">
        <v>1.167137286540274E-2</v>
      </c>
      <c r="G384">
        <v>373</v>
      </c>
      <c r="H384" s="186">
        <f t="shared" ca="1" si="15"/>
        <v>1.0964267023740688E-4</v>
      </c>
    </row>
    <row r="385" spans="2:8" x14ac:dyDescent="0.25">
      <c r="B385" s="67">
        <v>41651</v>
      </c>
      <c r="C385" s="66">
        <v>1719.25</v>
      </c>
      <c r="D385" s="186">
        <f t="shared" si="14"/>
        <v>-0.85965306122448981</v>
      </c>
      <c r="E385" s="186">
        <v>1.1472275334608031E-2</v>
      </c>
      <c r="G385">
        <v>374</v>
      </c>
      <c r="H385" s="186">
        <f t="shared" ca="1" si="15"/>
        <v>-4.1084981686473981E-2</v>
      </c>
    </row>
    <row r="386" spans="2:8" x14ac:dyDescent="0.25">
      <c r="B386" s="67">
        <v>45858</v>
      </c>
      <c r="C386" s="66">
        <v>12250</v>
      </c>
      <c r="D386" s="186">
        <f t="shared" si="14"/>
        <v>0.67857656707112357</v>
      </c>
      <c r="E386" s="186">
        <v>1.1310162635185339E-2</v>
      </c>
      <c r="G386">
        <v>375</v>
      </c>
      <c r="H386" s="186">
        <f t="shared" ca="1" si="15"/>
        <v>-5.1206599294811819E-2</v>
      </c>
    </row>
    <row r="387" spans="2:8" x14ac:dyDescent="0.25">
      <c r="B387" s="67">
        <v>44969</v>
      </c>
      <c r="C387" s="66">
        <v>7297.85</v>
      </c>
      <c r="D387" s="186">
        <f t="shared" si="14"/>
        <v>-0.3777943558700656</v>
      </c>
      <c r="E387" s="186">
        <v>1.1244751756343003E-2</v>
      </c>
      <c r="G387">
        <v>376</v>
      </c>
      <c r="H387" s="186">
        <f t="shared" ca="1" si="15"/>
        <v>-3.2360770818997231E-3</v>
      </c>
    </row>
    <row r="388" spans="2:8" x14ac:dyDescent="0.25">
      <c r="B388" s="67">
        <v>45977</v>
      </c>
      <c r="C388" s="66">
        <v>11729</v>
      </c>
      <c r="D388" s="186">
        <f t="shared" si="14"/>
        <v>0.89282746044169736</v>
      </c>
      <c r="E388" s="186">
        <v>1.1120689655172414E-2</v>
      </c>
      <c r="G388">
        <v>377</v>
      </c>
      <c r="H388" s="186">
        <f t="shared" ca="1" si="15"/>
        <v>2.8255412951261934E-2</v>
      </c>
    </row>
    <row r="389" spans="2:8" x14ac:dyDescent="0.25">
      <c r="B389" s="67">
        <v>44689</v>
      </c>
      <c r="C389" s="66">
        <v>6196.55</v>
      </c>
      <c r="D389" s="186">
        <f t="shared" si="14"/>
        <v>0.46736839612588521</v>
      </c>
      <c r="E389" s="186">
        <v>1.1079112039356229E-2</v>
      </c>
      <c r="G389">
        <v>378</v>
      </c>
      <c r="H389" s="186">
        <f t="shared" ca="1" si="15"/>
        <v>2.784961641299466E-2</v>
      </c>
    </row>
    <row r="390" spans="2:8" x14ac:dyDescent="0.25">
      <c r="B390" s="67">
        <v>42925</v>
      </c>
      <c r="C390" s="66">
        <v>4222.8999999999996</v>
      </c>
      <c r="D390" s="186">
        <f t="shared" si="14"/>
        <v>0.43307033172138787</v>
      </c>
      <c r="E390" s="186">
        <v>1.1073467970742103E-2</v>
      </c>
      <c r="G390">
        <v>379</v>
      </c>
      <c r="H390" s="186">
        <f t="shared" ca="1" si="15"/>
        <v>-3.4335849668658297E-2</v>
      </c>
    </row>
    <row r="391" spans="2:8" x14ac:dyDescent="0.25">
      <c r="B391" s="67">
        <v>42239</v>
      </c>
      <c r="C391" s="66">
        <v>2946.75</v>
      </c>
      <c r="D391" s="186">
        <f t="shared" si="14"/>
        <v>2.2681750124771254</v>
      </c>
      <c r="E391" s="186">
        <v>1.0857260471338922E-2</v>
      </c>
      <c r="G391">
        <v>380</v>
      </c>
      <c r="H391" s="186">
        <f t="shared" ca="1" si="15"/>
        <v>-6.3690412872386887E-2</v>
      </c>
    </row>
    <row r="392" spans="2:8" x14ac:dyDescent="0.25">
      <c r="B392" s="67">
        <v>39488</v>
      </c>
      <c r="C392">
        <v>901.65</v>
      </c>
      <c r="D392" s="186">
        <f t="shared" si="14"/>
        <v>-0.86930430434057859</v>
      </c>
      <c r="E392" s="186">
        <v>1.0761728602656827E-2</v>
      </c>
      <c r="G392">
        <v>381</v>
      </c>
      <c r="H392" s="186">
        <f t="shared" ca="1" si="15"/>
        <v>-3.6475091673632315E-3</v>
      </c>
    </row>
    <row r="393" spans="2:8" x14ac:dyDescent="0.25">
      <c r="B393" s="67">
        <v>44283</v>
      </c>
      <c r="C393" s="66">
        <v>6898.85</v>
      </c>
      <c r="D393" s="186">
        <f t="shared" si="14"/>
        <v>8.0804211911813102</v>
      </c>
      <c r="E393" s="186">
        <v>1.0694638762937948E-2</v>
      </c>
      <c r="G393">
        <v>382</v>
      </c>
      <c r="H393" s="186">
        <f t="shared" ca="1" si="15"/>
        <v>8.6311856230017484E-2</v>
      </c>
    </row>
    <row r="394" spans="2:8" x14ac:dyDescent="0.25">
      <c r="B394" s="67">
        <v>40048</v>
      </c>
      <c r="C394">
        <v>759.75</v>
      </c>
      <c r="D394" s="186">
        <f t="shared" si="14"/>
        <v>0.65234884732492382</v>
      </c>
      <c r="E394" s="186">
        <v>1.0507415042894163E-2</v>
      </c>
      <c r="G394">
        <v>383</v>
      </c>
      <c r="H394" s="186">
        <f t="shared" ca="1" si="15"/>
        <v>4.135642265663117E-2</v>
      </c>
    </row>
    <row r="395" spans="2:8" x14ac:dyDescent="0.25">
      <c r="B395" s="67">
        <v>38669</v>
      </c>
      <c r="C395">
        <v>459.8</v>
      </c>
      <c r="D395" s="186">
        <f t="shared" si="14"/>
        <v>-0.88560339358353957</v>
      </c>
      <c r="E395" s="186">
        <v>1.0438413361169102E-2</v>
      </c>
      <c r="G395">
        <v>384</v>
      </c>
      <c r="H395" s="186">
        <f t="shared" ca="1" si="15"/>
        <v>6.3701296670423027E-2</v>
      </c>
    </row>
    <row r="396" spans="2:8" x14ac:dyDescent="0.25">
      <c r="B396" s="67">
        <v>42834</v>
      </c>
      <c r="C396" s="66">
        <v>4019.35</v>
      </c>
      <c r="D396" s="186">
        <f t="shared" ref="D396:D459" si="16">(C396-C397)/C397</f>
        <v>8.5744402096236296</v>
      </c>
      <c r="E396" s="186">
        <v>1.0305780034436387E-2</v>
      </c>
      <c r="G396">
        <v>385</v>
      </c>
      <c r="H396" s="186">
        <f t="shared" ca="1" si="15"/>
        <v>5.336236799542024E-2</v>
      </c>
    </row>
    <row r="397" spans="2:8" x14ac:dyDescent="0.25">
      <c r="B397" s="67">
        <v>38634</v>
      </c>
      <c r="C397">
        <v>419.8</v>
      </c>
      <c r="D397" s="186">
        <f t="shared" si="16"/>
        <v>-0.61838098268260533</v>
      </c>
      <c r="E397" s="186">
        <v>1.0227409457345685E-2</v>
      </c>
      <c r="G397">
        <v>386</v>
      </c>
      <c r="H397" s="186">
        <f t="shared" ref="H397:H460" ca="1" si="17">_xlfn.NORM.INV(RAND(),N$14,N$15)</f>
        <v>-6.1603695270128683E-2</v>
      </c>
    </row>
    <row r="398" spans="2:8" x14ac:dyDescent="0.25">
      <c r="B398" s="67">
        <v>40783</v>
      </c>
      <c r="C398" s="66">
        <v>1100.05</v>
      </c>
      <c r="D398" s="186">
        <f t="shared" si="16"/>
        <v>-0.42933105076128969</v>
      </c>
      <c r="E398" s="186">
        <v>1.0193305477753715E-2</v>
      </c>
      <c r="G398">
        <v>387</v>
      </c>
      <c r="H398" s="186">
        <f t="shared" ca="1" si="17"/>
        <v>1.0259300147595981E-2</v>
      </c>
    </row>
    <row r="399" spans="2:8" x14ac:dyDescent="0.25">
      <c r="B399" s="67">
        <v>41378</v>
      </c>
      <c r="C399" s="66">
        <v>1927.65</v>
      </c>
      <c r="D399" s="186">
        <f t="shared" si="16"/>
        <v>-0.51796699174793692</v>
      </c>
      <c r="E399" s="186">
        <v>1.0086983860825823E-2</v>
      </c>
      <c r="G399">
        <v>388</v>
      </c>
      <c r="H399" s="186">
        <f t="shared" ca="1" si="17"/>
        <v>-8.2019011305583728E-2</v>
      </c>
    </row>
    <row r="400" spans="2:8" x14ac:dyDescent="0.25">
      <c r="B400" s="67">
        <v>42904</v>
      </c>
      <c r="C400" s="66">
        <v>3999</v>
      </c>
      <c r="D400" s="186">
        <f t="shared" si="16"/>
        <v>-9.2034011829214377E-2</v>
      </c>
      <c r="E400" s="186">
        <v>1.0078048041221513E-2</v>
      </c>
      <c r="G400">
        <v>389</v>
      </c>
      <c r="H400" s="186">
        <f t="shared" ca="1" si="17"/>
        <v>-3.2220381696242723E-2</v>
      </c>
    </row>
    <row r="401" spans="2:8" x14ac:dyDescent="0.25">
      <c r="B401" s="67">
        <v>42862</v>
      </c>
      <c r="C401" s="66">
        <v>4404.3500000000004</v>
      </c>
      <c r="D401" s="186">
        <f t="shared" si="16"/>
        <v>4.4654712415461937</v>
      </c>
      <c r="E401" s="186">
        <v>1.0033022978489198E-2</v>
      </c>
      <c r="G401">
        <v>390</v>
      </c>
      <c r="H401" s="186">
        <f t="shared" ca="1" si="17"/>
        <v>5.0542710986304223E-2</v>
      </c>
    </row>
    <row r="402" spans="2:8" x14ac:dyDescent="0.25">
      <c r="B402" s="67">
        <v>39537</v>
      </c>
      <c r="C402">
        <v>805.85</v>
      </c>
      <c r="D402" s="186">
        <f t="shared" si="16"/>
        <v>-0.88883140890341983</v>
      </c>
      <c r="E402" s="186">
        <v>1.0026947421194459E-2</v>
      </c>
      <c r="G402">
        <v>391</v>
      </c>
      <c r="H402" s="186">
        <f t="shared" ca="1" si="17"/>
        <v>-7.5319808410805739E-4</v>
      </c>
    </row>
    <row r="403" spans="2:8" x14ac:dyDescent="0.25">
      <c r="B403" s="67">
        <v>44934</v>
      </c>
      <c r="C403" s="66">
        <v>7248.9</v>
      </c>
      <c r="D403" s="186">
        <f t="shared" si="16"/>
        <v>9.1489674483724173</v>
      </c>
      <c r="E403" s="186">
        <v>9.9970043819622E-3</v>
      </c>
      <c r="G403">
        <v>392</v>
      </c>
      <c r="H403" s="186">
        <f t="shared" ca="1" si="17"/>
        <v>1.5241200746349343E-2</v>
      </c>
    </row>
    <row r="404" spans="2:8" x14ac:dyDescent="0.25">
      <c r="B404" s="67">
        <v>39985</v>
      </c>
      <c r="C404">
        <v>714.25</v>
      </c>
      <c r="D404" s="186">
        <f t="shared" si="16"/>
        <v>-0.6197359314273545</v>
      </c>
      <c r="E404" s="186">
        <v>9.9688914027148672E-3</v>
      </c>
      <c r="G404">
        <v>393</v>
      </c>
      <c r="H404" s="186">
        <f t="shared" ca="1" si="17"/>
        <v>-4.0691052401002362E-2</v>
      </c>
    </row>
    <row r="405" spans="2:8" x14ac:dyDescent="0.25">
      <c r="B405" s="67">
        <v>41420</v>
      </c>
      <c r="C405" s="66">
        <v>1878.3</v>
      </c>
      <c r="D405" s="186">
        <f t="shared" si="16"/>
        <v>-1.8857083159214447E-2</v>
      </c>
      <c r="E405" s="186">
        <v>9.7301365444575367E-3</v>
      </c>
      <c r="G405">
        <v>394</v>
      </c>
      <c r="H405" s="186">
        <f t="shared" ca="1" si="17"/>
        <v>-1.7869885666967768E-2</v>
      </c>
    </row>
    <row r="406" spans="2:8" x14ac:dyDescent="0.25">
      <c r="B406" s="67">
        <v>41224</v>
      </c>
      <c r="C406" s="66">
        <v>1914.4</v>
      </c>
      <c r="D406" s="186">
        <f t="shared" si="16"/>
        <v>-0.69963599849378699</v>
      </c>
      <c r="E406" s="186">
        <v>9.6780148202843478E-3</v>
      </c>
      <c r="G406">
        <v>395</v>
      </c>
      <c r="H406" s="186">
        <f t="shared" ca="1" si="17"/>
        <v>-5.4441374417479427E-2</v>
      </c>
    </row>
    <row r="407" spans="2:8" x14ac:dyDescent="0.25">
      <c r="B407" s="67">
        <v>44633</v>
      </c>
      <c r="C407" s="66">
        <v>6373.6</v>
      </c>
      <c r="D407" s="186">
        <f t="shared" si="16"/>
        <v>0.38257464831505777</v>
      </c>
      <c r="E407" s="186">
        <v>9.6472190980088635E-3</v>
      </c>
      <c r="G407">
        <v>396</v>
      </c>
      <c r="H407" s="186">
        <f t="shared" ca="1" si="17"/>
        <v>0.11321156785149944</v>
      </c>
    </row>
    <row r="408" spans="2:8" x14ac:dyDescent="0.25">
      <c r="B408" s="67">
        <v>43576</v>
      </c>
      <c r="C408" s="66">
        <v>4609.95</v>
      </c>
      <c r="D408" s="186">
        <f t="shared" si="16"/>
        <v>-0.59073052286740324</v>
      </c>
      <c r="E408" s="186">
        <v>9.6254927726675023E-3</v>
      </c>
      <c r="G408">
        <v>397</v>
      </c>
      <c r="H408" s="186">
        <f t="shared" ca="1" si="17"/>
        <v>4.0249914184709801E-2</v>
      </c>
    </row>
    <row r="409" spans="2:8" x14ac:dyDescent="0.25">
      <c r="B409" s="67">
        <v>45697</v>
      </c>
      <c r="C409" s="66">
        <v>11263.85</v>
      </c>
      <c r="D409" s="186">
        <f t="shared" si="16"/>
        <v>9.6212635549269212</v>
      </c>
      <c r="E409" s="186">
        <v>9.5543256626857299E-3</v>
      </c>
      <c r="G409">
        <v>398</v>
      </c>
      <c r="H409" s="186">
        <f t="shared" ca="1" si="17"/>
        <v>-6.8641082336226046E-3</v>
      </c>
    </row>
    <row r="410" spans="2:8" x14ac:dyDescent="0.25">
      <c r="B410" s="67">
        <v>40524</v>
      </c>
      <c r="C410" s="66">
        <v>1060.5</v>
      </c>
      <c r="D410" s="186">
        <f t="shared" si="16"/>
        <v>0.20142743854084055</v>
      </c>
      <c r="E410" s="186">
        <v>9.5192765349833407E-3</v>
      </c>
      <c r="G410">
        <v>399</v>
      </c>
      <c r="H410" s="186">
        <f t="shared" ca="1" si="17"/>
        <v>3.1183676662390993E-2</v>
      </c>
    </row>
    <row r="411" spans="2:8" x14ac:dyDescent="0.25">
      <c r="B411" s="67">
        <v>39299</v>
      </c>
      <c r="C411">
        <v>882.7</v>
      </c>
      <c r="D411" s="186">
        <f t="shared" si="16"/>
        <v>-0.80667345620202158</v>
      </c>
      <c r="E411" s="186">
        <v>9.4922232387923931E-3</v>
      </c>
      <c r="G411">
        <v>400</v>
      </c>
      <c r="H411" s="186">
        <f t="shared" ca="1" si="17"/>
        <v>-2.3725259856866663E-2</v>
      </c>
    </row>
    <row r="412" spans="2:8" x14ac:dyDescent="0.25">
      <c r="B412" s="67">
        <v>43653</v>
      </c>
      <c r="C412" s="66">
        <v>4565.8500000000004</v>
      </c>
      <c r="D412" s="186">
        <f t="shared" si="16"/>
        <v>4.1846363481519333</v>
      </c>
      <c r="E412" s="186">
        <v>9.4849600371440211E-3</v>
      </c>
      <c r="G412">
        <v>401</v>
      </c>
      <c r="H412" s="186">
        <f t="shared" ca="1" si="17"/>
        <v>-4.8426527449135878E-2</v>
      </c>
    </row>
    <row r="413" spans="2:8" x14ac:dyDescent="0.25">
      <c r="B413" s="67">
        <v>39460</v>
      </c>
      <c r="C413">
        <v>880.65</v>
      </c>
      <c r="D413" s="186">
        <f t="shared" si="16"/>
        <v>-0.9209881749179063</v>
      </c>
      <c r="E413" s="186">
        <v>9.3988194165853991E-3</v>
      </c>
      <c r="G413">
        <v>402</v>
      </c>
      <c r="H413" s="186">
        <f t="shared" ca="1" si="17"/>
        <v>-3.7177026437939286E-3</v>
      </c>
    </row>
    <row r="414" spans="2:8" x14ac:dyDescent="0.25">
      <c r="B414" s="67">
        <v>45592</v>
      </c>
      <c r="C414" s="66">
        <v>11145.8</v>
      </c>
      <c r="D414" s="186">
        <f t="shared" si="16"/>
        <v>1.8543477982508929</v>
      </c>
      <c r="E414" s="186">
        <v>9.2770762495075227E-3</v>
      </c>
      <c r="G414">
        <v>403</v>
      </c>
      <c r="H414" s="186">
        <f t="shared" ca="1" si="17"/>
        <v>-4.6053965397029203E-2</v>
      </c>
    </row>
    <row r="415" spans="2:8" x14ac:dyDescent="0.25">
      <c r="B415" s="67">
        <v>43975</v>
      </c>
      <c r="C415" s="66">
        <v>3904.85</v>
      </c>
      <c r="D415" s="186">
        <f t="shared" si="16"/>
        <v>-0.44826489953937887</v>
      </c>
      <c r="E415" s="186">
        <v>9.122507785142904E-3</v>
      </c>
      <c r="G415">
        <v>404</v>
      </c>
      <c r="H415" s="186">
        <f t="shared" ca="1" si="17"/>
        <v>2.1723358339382944E-2</v>
      </c>
    </row>
    <row r="416" spans="2:8" x14ac:dyDescent="0.25">
      <c r="B416" s="67">
        <v>44899</v>
      </c>
      <c r="C416" s="66">
        <v>7077.4</v>
      </c>
      <c r="D416" s="186">
        <f t="shared" si="16"/>
        <v>15.822914190634657</v>
      </c>
      <c r="E416" s="186">
        <v>9.0246788611510059E-3</v>
      </c>
      <c r="G416">
        <v>405</v>
      </c>
      <c r="H416" s="186">
        <f t="shared" ca="1" si="17"/>
        <v>5.4082438167246377E-3</v>
      </c>
    </row>
    <row r="417" spans="2:8" x14ac:dyDescent="0.25">
      <c r="B417" s="67">
        <v>39852</v>
      </c>
      <c r="C417">
        <v>420.7</v>
      </c>
      <c r="D417" s="186">
        <f t="shared" si="16"/>
        <v>-0.94411270449609108</v>
      </c>
      <c r="E417" s="186">
        <v>8.993884158772036E-3</v>
      </c>
      <c r="G417">
        <v>406</v>
      </c>
      <c r="H417" s="186">
        <f t="shared" ca="1" si="17"/>
        <v>-4.2220976371572974E-2</v>
      </c>
    </row>
    <row r="418" spans="2:8" x14ac:dyDescent="0.25">
      <c r="B418" s="67">
        <v>44409</v>
      </c>
      <c r="C418" s="66">
        <v>7527.65</v>
      </c>
      <c r="D418" s="186">
        <f t="shared" si="16"/>
        <v>1.5320898785697468</v>
      </c>
      <c r="E418" s="186">
        <v>8.9736887959574602E-3</v>
      </c>
      <c r="G418">
        <v>407</v>
      </c>
      <c r="H418" s="186">
        <f t="shared" ca="1" si="17"/>
        <v>-1.1211881368798748E-2</v>
      </c>
    </row>
    <row r="419" spans="2:8" x14ac:dyDescent="0.25">
      <c r="B419" s="67">
        <v>42232</v>
      </c>
      <c r="C419" s="66">
        <v>2972.9</v>
      </c>
      <c r="D419" s="186">
        <f t="shared" si="16"/>
        <v>4.4393925532888128</v>
      </c>
      <c r="E419" s="186">
        <v>8.8741834224145555E-3</v>
      </c>
      <c r="G419">
        <v>408</v>
      </c>
      <c r="H419" s="186">
        <f t="shared" ca="1" si="17"/>
        <v>-1.3277573105255611E-2</v>
      </c>
    </row>
    <row r="420" spans="2:8" x14ac:dyDescent="0.25">
      <c r="B420" s="67">
        <v>38753</v>
      </c>
      <c r="C420">
        <v>546.54999999999995</v>
      </c>
      <c r="D420" s="186">
        <f t="shared" si="16"/>
        <v>-0.88105937782226906</v>
      </c>
      <c r="E420" s="186">
        <v>8.8601753576372025E-3</v>
      </c>
      <c r="G420">
        <v>409</v>
      </c>
      <c r="H420" s="186">
        <f t="shared" ca="1" si="17"/>
        <v>0.11031135002350051</v>
      </c>
    </row>
    <row r="421" spans="2:8" x14ac:dyDescent="0.25">
      <c r="B421" s="67">
        <v>43632</v>
      </c>
      <c r="C421" s="66">
        <v>4595.1499999999996</v>
      </c>
      <c r="D421" s="186">
        <f t="shared" si="16"/>
        <v>5.409303298695864</v>
      </c>
      <c r="E421" s="186">
        <v>8.6262717165840122E-3</v>
      </c>
      <c r="G421">
        <v>410</v>
      </c>
      <c r="H421" s="186">
        <f t="shared" ca="1" si="17"/>
        <v>1.6781965275455533E-2</v>
      </c>
    </row>
    <row r="422" spans="2:8" x14ac:dyDescent="0.25">
      <c r="B422" s="67">
        <v>38809</v>
      </c>
      <c r="C422">
        <v>716.95</v>
      </c>
      <c r="D422" s="186">
        <f t="shared" si="16"/>
        <v>-0.63946997887961377</v>
      </c>
      <c r="E422" s="186">
        <v>8.5812759372582443E-3</v>
      </c>
      <c r="G422">
        <v>411</v>
      </c>
      <c r="H422" s="186">
        <f t="shared" ca="1" si="17"/>
        <v>6.8965485087599671E-2</v>
      </c>
    </row>
    <row r="423" spans="2:8" x14ac:dyDescent="0.25">
      <c r="B423" s="67">
        <v>41259</v>
      </c>
      <c r="C423" s="66">
        <v>1988.6</v>
      </c>
      <c r="D423" s="186">
        <f t="shared" si="16"/>
        <v>-0.73107948206497853</v>
      </c>
      <c r="E423" s="186">
        <v>8.5457081272980392E-3</v>
      </c>
      <c r="G423">
        <v>412</v>
      </c>
      <c r="H423" s="186">
        <f t="shared" ca="1" si="17"/>
        <v>8.3598421746220262E-3</v>
      </c>
    </row>
    <row r="424" spans="2:8" x14ac:dyDescent="0.25">
      <c r="B424" s="67">
        <v>44521</v>
      </c>
      <c r="C424" s="66">
        <v>7394.75</v>
      </c>
      <c r="D424" s="186">
        <f t="shared" si="16"/>
        <v>5.697839771749468</v>
      </c>
      <c r="E424" s="186">
        <v>8.4964779848482001E-3</v>
      </c>
      <c r="G424">
        <v>413</v>
      </c>
      <c r="H424" s="186">
        <f t="shared" ca="1" si="17"/>
        <v>-7.854140474602242E-2</v>
      </c>
    </row>
    <row r="425" spans="2:8" x14ac:dyDescent="0.25">
      <c r="B425" s="67">
        <v>40279</v>
      </c>
      <c r="C425" s="66">
        <v>1104.05</v>
      </c>
      <c r="D425" s="186">
        <f t="shared" si="16"/>
        <v>-0.75310836799499081</v>
      </c>
      <c r="E425" s="186">
        <v>8.4950902032427077E-3</v>
      </c>
      <c r="G425">
        <v>414</v>
      </c>
      <c r="H425" s="186">
        <f t="shared" ca="1" si="17"/>
        <v>7.1307855503258081E-3</v>
      </c>
    </row>
    <row r="426" spans="2:8" x14ac:dyDescent="0.25">
      <c r="B426" s="67">
        <v>43863</v>
      </c>
      <c r="C426" s="66">
        <v>4471.8</v>
      </c>
      <c r="D426" s="186">
        <f t="shared" si="16"/>
        <v>2.0310095909445218</v>
      </c>
      <c r="E426" s="186">
        <v>8.445431686718418E-3</v>
      </c>
      <c r="G426">
        <v>415</v>
      </c>
      <c r="H426" s="186">
        <f t="shared" ca="1" si="17"/>
        <v>5.7299699782833724E-2</v>
      </c>
    </row>
    <row r="427" spans="2:8" x14ac:dyDescent="0.25">
      <c r="B427" s="67">
        <v>41007</v>
      </c>
      <c r="C427" s="66">
        <v>1475.35</v>
      </c>
      <c r="D427" s="186">
        <f t="shared" si="16"/>
        <v>-0.69264181996208418</v>
      </c>
      <c r="E427" s="186">
        <v>8.4415584415583802E-3</v>
      </c>
      <c r="G427">
        <v>416</v>
      </c>
      <c r="H427" s="186">
        <f t="shared" ca="1" si="17"/>
        <v>2.9845936136924874E-2</v>
      </c>
    </row>
    <row r="428" spans="2:8" x14ac:dyDescent="0.25">
      <c r="B428" s="67">
        <v>43604</v>
      </c>
      <c r="C428" s="66">
        <v>4800.1000000000004</v>
      </c>
      <c r="D428" s="186">
        <f t="shared" si="16"/>
        <v>-0.23261019008489073</v>
      </c>
      <c r="E428" s="186">
        <v>8.4031848070418684E-3</v>
      </c>
      <c r="G428">
        <v>417</v>
      </c>
      <c r="H428" s="186">
        <f t="shared" ca="1" si="17"/>
        <v>-3.2192293344402489E-2</v>
      </c>
    </row>
    <row r="429" spans="2:8" x14ac:dyDescent="0.25">
      <c r="B429" s="67">
        <v>44829</v>
      </c>
      <c r="C429" s="66">
        <v>6255.1</v>
      </c>
      <c r="D429" s="186">
        <f t="shared" si="16"/>
        <v>-0.47642922909517033</v>
      </c>
      <c r="E429" s="186">
        <v>8.3178850648827855E-3</v>
      </c>
      <c r="G429">
        <v>418</v>
      </c>
      <c r="H429" s="186">
        <f t="shared" ca="1" si="17"/>
        <v>-3.5877093549447583E-2</v>
      </c>
    </row>
    <row r="430" spans="2:8" x14ac:dyDescent="0.25">
      <c r="B430" s="67">
        <v>45956</v>
      </c>
      <c r="C430" s="66">
        <v>11947</v>
      </c>
      <c r="D430" s="186">
        <f t="shared" si="16"/>
        <v>1.8468283848830003</v>
      </c>
      <c r="E430" s="186">
        <v>8.2707401468478346E-3</v>
      </c>
      <c r="G430">
        <v>419</v>
      </c>
      <c r="H430" s="186">
        <f t="shared" ca="1" si="17"/>
        <v>-3.5611988794059274E-2</v>
      </c>
    </row>
    <row r="431" spans="2:8" x14ac:dyDescent="0.25">
      <c r="B431" s="67">
        <v>43758</v>
      </c>
      <c r="C431" s="66">
        <v>4196.6000000000004</v>
      </c>
      <c r="D431" s="186">
        <f t="shared" si="16"/>
        <v>10.422427871529669</v>
      </c>
      <c r="E431" s="186">
        <v>8.1316437451205009E-3</v>
      </c>
      <c r="G431">
        <v>420</v>
      </c>
      <c r="H431" s="186">
        <f t="shared" ca="1" si="17"/>
        <v>2.7787650084621227E-2</v>
      </c>
    </row>
    <row r="432" spans="2:8" x14ac:dyDescent="0.25">
      <c r="B432" s="67">
        <v>38396</v>
      </c>
      <c r="C432">
        <v>367.4</v>
      </c>
      <c r="D432" s="186">
        <f t="shared" si="16"/>
        <v>-0.95509957164942472</v>
      </c>
      <c r="E432" s="186">
        <v>7.8178576326977528E-3</v>
      </c>
      <c r="G432">
        <v>421</v>
      </c>
      <c r="H432" s="186">
        <f t="shared" ca="1" si="17"/>
        <v>3.1738714121975042E-2</v>
      </c>
    </row>
    <row r="433" spans="2:8" x14ac:dyDescent="0.25">
      <c r="B433" s="67">
        <v>45116</v>
      </c>
      <c r="C433" s="66">
        <v>8182.55</v>
      </c>
      <c r="D433" s="186">
        <f t="shared" si="16"/>
        <v>1.3306796171812691</v>
      </c>
      <c r="E433" s="186">
        <v>7.8024928564391031E-3</v>
      </c>
      <c r="G433">
        <v>422</v>
      </c>
      <c r="H433" s="186">
        <f t="shared" ca="1" si="17"/>
        <v>-4.7698216707561789E-2</v>
      </c>
    </row>
    <row r="434" spans="2:8" x14ac:dyDescent="0.25">
      <c r="B434" s="67">
        <v>43485</v>
      </c>
      <c r="C434" s="66">
        <v>3510.8</v>
      </c>
      <c r="D434" s="186">
        <f t="shared" si="16"/>
        <v>0.78703043876616119</v>
      </c>
      <c r="E434" s="186">
        <v>7.7935498686722516E-3</v>
      </c>
      <c r="G434">
        <v>423</v>
      </c>
      <c r="H434" s="186">
        <f t="shared" ca="1" si="17"/>
        <v>1.3097498011350298E-2</v>
      </c>
    </row>
    <row r="435" spans="2:8" x14ac:dyDescent="0.25">
      <c r="B435" s="67">
        <v>41560</v>
      </c>
      <c r="C435" s="66">
        <v>1964.6</v>
      </c>
      <c r="D435" s="186">
        <f t="shared" si="16"/>
        <v>1.670926517571885</v>
      </c>
      <c r="E435" s="186">
        <v>7.7455757886637135E-3</v>
      </c>
      <c r="G435">
        <v>424</v>
      </c>
      <c r="H435" s="186">
        <f t="shared" ca="1" si="17"/>
        <v>2.4320532296185499E-3</v>
      </c>
    </row>
    <row r="436" spans="2:8" x14ac:dyDescent="0.25">
      <c r="B436" s="67">
        <v>40118</v>
      </c>
      <c r="C436">
        <v>735.55</v>
      </c>
      <c r="D436" s="186">
        <f t="shared" si="16"/>
        <v>-0.8498800959232613</v>
      </c>
      <c r="E436" s="186">
        <v>7.6717583396121768E-3</v>
      </c>
      <c r="G436">
        <v>425</v>
      </c>
      <c r="H436" s="186">
        <f t="shared" ca="1" si="17"/>
        <v>-4.1858167720132443E-3</v>
      </c>
    </row>
    <row r="437" spans="2:8" x14ac:dyDescent="0.25">
      <c r="B437" s="67">
        <v>44143</v>
      </c>
      <c r="C437" s="66">
        <v>4899.75</v>
      </c>
      <c r="D437" s="186">
        <f t="shared" si="16"/>
        <v>-0.58086508727432928</v>
      </c>
      <c r="E437" s="186">
        <v>7.6503069377178261E-3</v>
      </c>
      <c r="G437">
        <v>426</v>
      </c>
      <c r="H437" s="186">
        <f t="shared" ca="1" si="17"/>
        <v>0.10496048027185433</v>
      </c>
    </row>
    <row r="438" spans="2:8" x14ac:dyDescent="0.25">
      <c r="B438" s="67">
        <v>45473</v>
      </c>
      <c r="C438" s="66">
        <v>11690.15</v>
      </c>
      <c r="D438" s="186">
        <f t="shared" si="16"/>
        <v>1.9567620203859677</v>
      </c>
      <c r="E438" s="186">
        <v>7.571774561940337E-3</v>
      </c>
      <c r="G438">
        <v>427</v>
      </c>
      <c r="H438" s="186">
        <f t="shared" ca="1" si="17"/>
        <v>5.9014474282277726E-2</v>
      </c>
    </row>
    <row r="439" spans="2:8" x14ac:dyDescent="0.25">
      <c r="B439" s="67">
        <v>42617</v>
      </c>
      <c r="C439" s="66">
        <v>3953.7</v>
      </c>
      <c r="D439" s="186">
        <f t="shared" si="16"/>
        <v>1.0070052539404553</v>
      </c>
      <c r="E439" s="186">
        <v>7.5688073394494949E-3</v>
      </c>
      <c r="G439">
        <v>428</v>
      </c>
      <c r="H439" s="186">
        <f t="shared" ca="1" si="17"/>
        <v>-2.9111503243576701E-2</v>
      </c>
    </row>
    <row r="440" spans="2:8" x14ac:dyDescent="0.25">
      <c r="B440" s="67">
        <v>41707</v>
      </c>
      <c r="C440" s="66">
        <v>1969.95</v>
      </c>
      <c r="D440" s="186">
        <f t="shared" si="16"/>
        <v>-0.56759989903091634</v>
      </c>
      <c r="E440" s="186">
        <v>7.4924564005523914E-3</v>
      </c>
      <c r="G440">
        <v>429</v>
      </c>
      <c r="H440" s="186">
        <f t="shared" ca="1" si="17"/>
        <v>-6.0546350032116655E-2</v>
      </c>
    </row>
    <row r="441" spans="2:8" x14ac:dyDescent="0.25">
      <c r="B441" s="67">
        <v>43639</v>
      </c>
      <c r="C441" s="66">
        <v>4555.8500000000004</v>
      </c>
      <c r="D441" s="186">
        <f t="shared" si="16"/>
        <v>-0.4481002077566521</v>
      </c>
      <c r="E441" s="186">
        <v>7.474486129078666E-3</v>
      </c>
      <c r="G441">
        <v>430</v>
      </c>
      <c r="H441" s="186">
        <f t="shared" ca="1" si="17"/>
        <v>1.6460607115919495E-2</v>
      </c>
    </row>
    <row r="442" spans="2:8" x14ac:dyDescent="0.25">
      <c r="B442" s="67">
        <v>45193</v>
      </c>
      <c r="C442" s="66">
        <v>8254.85</v>
      </c>
      <c r="D442" s="186">
        <f t="shared" si="16"/>
        <v>1.4108086796530475</v>
      </c>
      <c r="E442" s="186">
        <v>7.247924153036091E-3</v>
      </c>
      <c r="G442">
        <v>431</v>
      </c>
      <c r="H442" s="186">
        <f t="shared" ca="1" si="17"/>
        <v>-4.0345025709620966E-2</v>
      </c>
    </row>
    <row r="443" spans="2:8" x14ac:dyDescent="0.25">
      <c r="B443" s="67">
        <v>42547</v>
      </c>
      <c r="C443" s="66">
        <v>3424.1</v>
      </c>
      <c r="D443" s="186">
        <f t="shared" si="16"/>
        <v>-0.69066697984515724</v>
      </c>
      <c r="E443" s="186">
        <v>7.0734253908029954E-3</v>
      </c>
      <c r="G443">
        <v>432</v>
      </c>
      <c r="H443" s="186">
        <f t="shared" ca="1" si="17"/>
        <v>-6.5547667083173861E-2</v>
      </c>
    </row>
    <row r="444" spans="2:8" x14ac:dyDescent="0.25">
      <c r="B444" s="67">
        <v>45578</v>
      </c>
      <c r="C444" s="66">
        <v>11069.3</v>
      </c>
      <c r="D444" s="186">
        <f t="shared" si="16"/>
        <v>10.707969749854565</v>
      </c>
      <c r="E444" s="186">
        <v>6.739304423748412E-3</v>
      </c>
      <c r="G444">
        <v>433</v>
      </c>
      <c r="H444" s="186">
        <f t="shared" ca="1" si="17"/>
        <v>3.4809789039301653E-2</v>
      </c>
    </row>
    <row r="445" spans="2:8" x14ac:dyDescent="0.25">
      <c r="B445" s="67">
        <v>40300</v>
      </c>
      <c r="C445">
        <v>945.45</v>
      </c>
      <c r="D445" s="186">
        <f t="shared" si="16"/>
        <v>-1.9090107381853998E-2</v>
      </c>
      <c r="E445" s="186">
        <v>6.6545996592844974E-3</v>
      </c>
      <c r="G445">
        <v>434</v>
      </c>
      <c r="H445" s="186">
        <f t="shared" ca="1" si="17"/>
        <v>6.5836808688808895E-2</v>
      </c>
    </row>
    <row r="446" spans="2:8" x14ac:dyDescent="0.25">
      <c r="B446" s="67">
        <v>40706</v>
      </c>
      <c r="C446">
        <v>963.85</v>
      </c>
      <c r="D446" s="186">
        <f t="shared" si="16"/>
        <v>-6.4177872712267603E-2</v>
      </c>
      <c r="E446" s="186">
        <v>6.4216351675889915E-3</v>
      </c>
      <c r="G446">
        <v>435</v>
      </c>
      <c r="H446" s="186">
        <f t="shared" ca="1" si="17"/>
        <v>7.3296410130338878E-3</v>
      </c>
    </row>
    <row r="447" spans="2:8" x14ac:dyDescent="0.25">
      <c r="B447" s="67">
        <v>40692</v>
      </c>
      <c r="C447" s="66">
        <v>1029.95</v>
      </c>
      <c r="D447" s="186">
        <f t="shared" si="16"/>
        <v>-0.72277027845443653</v>
      </c>
      <c r="E447" s="186">
        <v>6.4002345124096818E-3</v>
      </c>
      <c r="G447">
        <v>436</v>
      </c>
      <c r="H447" s="186">
        <f t="shared" ca="1" si="17"/>
        <v>-8.3107908720515059E-3</v>
      </c>
    </row>
    <row r="448" spans="2:8" x14ac:dyDescent="0.25">
      <c r="B448" s="67">
        <v>43254</v>
      </c>
      <c r="C448" s="66">
        <v>3715.15</v>
      </c>
      <c r="D448" s="186">
        <f t="shared" si="16"/>
        <v>-0.11109117228343436</v>
      </c>
      <c r="E448" s="186">
        <v>6.3657172267143416E-3</v>
      </c>
      <c r="G448">
        <v>437</v>
      </c>
      <c r="H448" s="186">
        <f t="shared" ca="1" si="17"/>
        <v>3.736064748926235E-2</v>
      </c>
    </row>
    <row r="449" spans="2:8" x14ac:dyDescent="0.25">
      <c r="B449" s="67">
        <v>43128</v>
      </c>
      <c r="C449" s="66">
        <v>4179.45</v>
      </c>
      <c r="D449" s="186">
        <f t="shared" si="16"/>
        <v>-0.45734466394437706</v>
      </c>
      <c r="E449" s="186">
        <v>6.2961982038378245E-3</v>
      </c>
      <c r="G449">
        <v>438</v>
      </c>
      <c r="H449" s="186">
        <f t="shared" ca="1" si="17"/>
        <v>-8.4102492679417371E-2</v>
      </c>
    </row>
    <row r="450" spans="2:8" x14ac:dyDescent="0.25">
      <c r="B450" s="67">
        <v>45018</v>
      </c>
      <c r="C450" s="66">
        <v>7701.85</v>
      </c>
      <c r="D450" s="186">
        <f t="shared" si="16"/>
        <v>0.80495892947118031</v>
      </c>
      <c r="E450" s="186">
        <v>6.0873256915189395E-3</v>
      </c>
      <c r="G450">
        <v>439</v>
      </c>
      <c r="H450" s="186">
        <f t="shared" ca="1" si="17"/>
        <v>4.466654586817392E-3</v>
      </c>
    </row>
    <row r="451" spans="2:8" x14ac:dyDescent="0.25">
      <c r="B451" s="67">
        <v>43051</v>
      </c>
      <c r="C451" s="66">
        <v>4267.05</v>
      </c>
      <c r="D451" s="186">
        <f t="shared" si="16"/>
        <v>-0.57454795626878841</v>
      </c>
      <c r="E451" s="186">
        <v>6.0712517388536533E-3</v>
      </c>
      <c r="G451">
        <v>440</v>
      </c>
      <c r="H451" s="186">
        <f t="shared" ca="1" si="17"/>
        <v>-7.203302600009362E-2</v>
      </c>
    </row>
    <row r="452" spans="2:8" x14ac:dyDescent="0.25">
      <c r="B452" s="67">
        <v>45270</v>
      </c>
      <c r="C452" s="66">
        <v>10029.450000000001</v>
      </c>
      <c r="D452" s="186">
        <f t="shared" si="16"/>
        <v>2.1112576001985359</v>
      </c>
      <c r="E452" s="186">
        <v>6.0637977730966727E-3</v>
      </c>
      <c r="G452">
        <v>441</v>
      </c>
      <c r="H452" s="186">
        <f t="shared" ca="1" si="17"/>
        <v>-4.5378627095144522E-2</v>
      </c>
    </row>
    <row r="453" spans="2:8" x14ac:dyDescent="0.25">
      <c r="B453" s="67">
        <v>42197</v>
      </c>
      <c r="C453" s="66">
        <v>3223.6</v>
      </c>
      <c r="D453" s="186">
        <f t="shared" si="16"/>
        <v>-0.51434253344582381</v>
      </c>
      <c r="E453" s="186">
        <v>5.9917613281737043E-3</v>
      </c>
      <c r="G453">
        <v>442</v>
      </c>
      <c r="H453" s="186">
        <f t="shared" ca="1" si="17"/>
        <v>4.1945611019172546E-2</v>
      </c>
    </row>
    <row r="454" spans="2:8" x14ac:dyDescent="0.25">
      <c r="B454" s="67">
        <v>44332</v>
      </c>
      <c r="C454" s="66">
        <v>6637.6</v>
      </c>
      <c r="D454" s="186">
        <f t="shared" si="16"/>
        <v>7.5923624595469263</v>
      </c>
      <c r="E454" s="186">
        <v>5.9255891490490814E-3</v>
      </c>
      <c r="G454">
        <v>443</v>
      </c>
      <c r="H454" s="186">
        <f t="shared" ca="1" si="17"/>
        <v>-1.0692042599910247E-2</v>
      </c>
    </row>
    <row r="455" spans="2:8" x14ac:dyDescent="0.25">
      <c r="B455" s="67">
        <v>40104</v>
      </c>
      <c r="C455">
        <v>772.5</v>
      </c>
      <c r="D455" s="186">
        <f t="shared" si="16"/>
        <v>-0.31177335293331554</v>
      </c>
      <c r="E455" s="186">
        <v>5.9248649000585383E-3</v>
      </c>
      <c r="G455">
        <v>444</v>
      </c>
      <c r="H455" s="186">
        <f t="shared" ca="1" si="17"/>
        <v>6.6881748971670592E-3</v>
      </c>
    </row>
    <row r="456" spans="2:8" x14ac:dyDescent="0.25">
      <c r="B456" s="67">
        <v>40251</v>
      </c>
      <c r="C456" s="66">
        <v>1122.45</v>
      </c>
      <c r="D456" s="186">
        <f t="shared" si="16"/>
        <v>-0.73213774341351667</v>
      </c>
      <c r="E456" s="186">
        <v>5.8246337201487523E-3</v>
      </c>
      <c r="G456">
        <v>445</v>
      </c>
      <c r="H456" s="186">
        <f t="shared" ca="1" si="17"/>
        <v>4.4363239551680533E-2</v>
      </c>
    </row>
    <row r="457" spans="2:8" x14ac:dyDescent="0.25">
      <c r="B457" s="67">
        <v>43555</v>
      </c>
      <c r="C457" s="66">
        <v>4190.3999999999996</v>
      </c>
      <c r="D457" s="186">
        <f t="shared" si="16"/>
        <v>4.3968703715628816</v>
      </c>
      <c r="E457" s="186">
        <v>5.7362294491778796E-3</v>
      </c>
      <c r="G457">
        <v>446</v>
      </c>
      <c r="H457" s="186">
        <f t="shared" ca="1" si="17"/>
        <v>1.5732555361971903E-2</v>
      </c>
    </row>
    <row r="458" spans="2:8" x14ac:dyDescent="0.25">
      <c r="B458" s="67">
        <v>38830</v>
      </c>
      <c r="C458">
        <v>776.45</v>
      </c>
      <c r="D458" s="186">
        <f t="shared" si="16"/>
        <v>-0.75363698380213529</v>
      </c>
      <c r="E458" s="186">
        <v>5.6339852350732059E-3</v>
      </c>
      <c r="G458">
        <v>447</v>
      </c>
      <c r="H458" s="186">
        <f t="shared" ca="1" si="17"/>
        <v>-1.5152419597578765E-2</v>
      </c>
    </row>
    <row r="459" spans="2:8" x14ac:dyDescent="0.25">
      <c r="B459" s="67">
        <v>42498</v>
      </c>
      <c r="C459" s="66">
        <v>3151.65</v>
      </c>
      <c r="D459" s="186">
        <f t="shared" si="16"/>
        <v>-0.46025072357041324</v>
      </c>
      <c r="E459" s="186">
        <v>5.6317804722399783E-3</v>
      </c>
      <c r="G459">
        <v>448</v>
      </c>
      <c r="H459" s="186">
        <f t="shared" ca="1" si="17"/>
        <v>1.2322617700613924E-3</v>
      </c>
    </row>
    <row r="460" spans="2:8" x14ac:dyDescent="0.25">
      <c r="B460" s="67">
        <v>44745</v>
      </c>
      <c r="C460" s="66">
        <v>5839.1</v>
      </c>
      <c r="D460" s="186">
        <f t="shared" ref="D460:D523" si="18">(C460-C461)/C461</f>
        <v>4.9325374650749305</v>
      </c>
      <c r="E460" s="186">
        <v>5.5191534427980098E-3</v>
      </c>
      <c r="G460">
        <v>449</v>
      </c>
      <c r="H460" s="186">
        <f t="shared" ca="1" si="17"/>
        <v>2.3735527954150343E-3</v>
      </c>
    </row>
    <row r="461" spans="2:8" x14ac:dyDescent="0.25">
      <c r="B461" s="67">
        <v>39411</v>
      </c>
      <c r="C461">
        <v>984.25</v>
      </c>
      <c r="D461" s="186">
        <f t="shared" si="18"/>
        <v>-0.77173106359293109</v>
      </c>
      <c r="E461" s="186">
        <v>5.4139639409571012E-3</v>
      </c>
      <c r="G461">
        <v>450</v>
      </c>
      <c r="H461" s="186">
        <f t="shared" ref="H461:H524" ca="1" si="19">_xlfn.NORM.INV(RAND(),N$14,N$15)</f>
        <v>-1.5218332596395191E-2</v>
      </c>
    </row>
    <row r="462" spans="2:8" x14ac:dyDescent="0.25">
      <c r="B462" s="67">
        <v>43079</v>
      </c>
      <c r="C462" s="66">
        <v>4311.8</v>
      </c>
      <c r="D462" s="186">
        <f t="shared" si="18"/>
        <v>0.71682261596655394</v>
      </c>
      <c r="E462" s="186">
        <v>5.3393644057918221E-3</v>
      </c>
      <c r="G462">
        <v>451</v>
      </c>
      <c r="H462" s="186">
        <f t="shared" ca="1" si="19"/>
        <v>3.9346610186060185E-2</v>
      </c>
    </row>
    <row r="463" spans="2:8" x14ac:dyDescent="0.25">
      <c r="B463" s="67">
        <v>41980</v>
      </c>
      <c r="C463" s="66">
        <v>2511.5</v>
      </c>
      <c r="D463" s="186">
        <f t="shared" si="18"/>
        <v>1.7945921887170355</v>
      </c>
      <c r="E463" s="186">
        <v>5.2634738927692642E-3</v>
      </c>
      <c r="G463">
        <v>452</v>
      </c>
      <c r="H463" s="186">
        <f t="shared" ca="1" si="19"/>
        <v>-5.3520572634403893E-2</v>
      </c>
    </row>
    <row r="464" spans="2:8" x14ac:dyDescent="0.25">
      <c r="B464" s="67">
        <v>39019</v>
      </c>
      <c r="C464">
        <v>898.7</v>
      </c>
      <c r="D464" s="186">
        <f t="shared" si="18"/>
        <v>-0.77560829452815827</v>
      </c>
      <c r="E464" s="186">
        <v>5.2572706935123548E-3</v>
      </c>
      <c r="G464">
        <v>453</v>
      </c>
      <c r="H464" s="186">
        <f t="shared" ca="1" si="19"/>
        <v>5.0685427960858884E-2</v>
      </c>
    </row>
    <row r="465" spans="2:8" x14ac:dyDescent="0.25">
      <c r="B465" s="67">
        <v>43443</v>
      </c>
      <c r="C465" s="66">
        <v>4005.05</v>
      </c>
      <c r="D465" s="186">
        <f t="shared" si="18"/>
        <v>0.38057566356428824</v>
      </c>
      <c r="E465" s="186">
        <v>5.2079411690886725E-3</v>
      </c>
      <c r="G465">
        <v>454</v>
      </c>
      <c r="H465" s="186">
        <f t="shared" ca="1" si="19"/>
        <v>4.9804076558731813E-2</v>
      </c>
    </row>
    <row r="466" spans="2:8" x14ac:dyDescent="0.25">
      <c r="B466" s="67">
        <v>42295</v>
      </c>
      <c r="C466" s="66">
        <v>2901</v>
      </c>
      <c r="D466" s="186">
        <f t="shared" si="18"/>
        <v>1.6295037389530931</v>
      </c>
      <c r="E466" s="186">
        <v>5.162676275943346E-3</v>
      </c>
      <c r="G466">
        <v>455</v>
      </c>
      <c r="H466" s="186">
        <f t="shared" ca="1" si="19"/>
        <v>1.2700687127753556E-2</v>
      </c>
    </row>
    <row r="467" spans="2:8" x14ac:dyDescent="0.25">
      <c r="B467" s="67">
        <v>40489</v>
      </c>
      <c r="C467" s="66">
        <v>1103.25</v>
      </c>
      <c r="D467" s="186">
        <f t="shared" si="18"/>
        <v>-0.3631483245302623</v>
      </c>
      <c r="E467" s="186">
        <v>5.1475947521866725E-3</v>
      </c>
      <c r="G467">
        <v>456</v>
      </c>
      <c r="H467" s="186">
        <f t="shared" ca="1" si="19"/>
        <v>7.2516436189527991E-3</v>
      </c>
    </row>
    <row r="468" spans="2:8" x14ac:dyDescent="0.25">
      <c r="B468" s="67">
        <v>41133</v>
      </c>
      <c r="C468" s="66">
        <v>1732.35</v>
      </c>
      <c r="D468" s="186">
        <f t="shared" si="18"/>
        <v>-0.76968024995014284</v>
      </c>
      <c r="E468" s="186">
        <v>5.1057410577006494E-3</v>
      </c>
      <c r="G468">
        <v>457</v>
      </c>
      <c r="H468" s="186">
        <f t="shared" ca="1" si="19"/>
        <v>-7.4736185646778641E-2</v>
      </c>
    </row>
    <row r="469" spans="2:8" x14ac:dyDescent="0.25">
      <c r="B469" s="67">
        <v>44458</v>
      </c>
      <c r="C469" s="66">
        <v>7521.5</v>
      </c>
      <c r="D469" s="186">
        <f t="shared" si="18"/>
        <v>0.66296333145402897</v>
      </c>
      <c r="E469" s="186">
        <v>5.0711226623727798E-3</v>
      </c>
      <c r="G469">
        <v>458</v>
      </c>
      <c r="H469" s="186">
        <f t="shared" ca="1" si="19"/>
        <v>-2.3542596797469818E-2</v>
      </c>
    </row>
    <row r="470" spans="2:8" x14ac:dyDescent="0.25">
      <c r="B470" s="67">
        <v>43660</v>
      </c>
      <c r="C470" s="66">
        <v>4522.95</v>
      </c>
      <c r="D470" s="186">
        <f t="shared" si="18"/>
        <v>1.331778110017013</v>
      </c>
      <c r="E470" s="186">
        <v>4.9771694570662772E-3</v>
      </c>
      <c r="G470">
        <v>459</v>
      </c>
      <c r="H470" s="186">
        <f t="shared" ca="1" si="19"/>
        <v>-6.6506768276020589E-2</v>
      </c>
    </row>
    <row r="471" spans="2:8" x14ac:dyDescent="0.25">
      <c r="B471" s="67">
        <v>41462</v>
      </c>
      <c r="C471" s="66">
        <v>1939.7</v>
      </c>
      <c r="D471" s="186">
        <f t="shared" si="18"/>
        <v>-0.67940432705816245</v>
      </c>
      <c r="E471" s="186">
        <v>4.895738893925681E-3</v>
      </c>
      <c r="G471">
        <v>460</v>
      </c>
      <c r="H471" s="186">
        <f t="shared" ca="1" si="19"/>
        <v>6.1481681183881309E-2</v>
      </c>
    </row>
    <row r="472" spans="2:8" x14ac:dyDescent="0.25">
      <c r="B472" s="67">
        <v>44619</v>
      </c>
      <c r="C472" s="66">
        <v>6050.3</v>
      </c>
      <c r="D472" s="186">
        <f t="shared" si="18"/>
        <v>0.68736491291676549</v>
      </c>
      <c r="E472" s="186">
        <v>4.8663012788573625E-3</v>
      </c>
      <c r="G472">
        <v>461</v>
      </c>
      <c r="H472" s="186">
        <f t="shared" ca="1" si="19"/>
        <v>-3.8053952284985926E-2</v>
      </c>
    </row>
    <row r="473" spans="2:8" x14ac:dyDescent="0.25">
      <c r="B473" s="67">
        <v>42701</v>
      </c>
      <c r="C473" s="66">
        <v>3585.65</v>
      </c>
      <c r="D473" s="186">
        <f t="shared" si="18"/>
        <v>0.30762918930746513</v>
      </c>
      <c r="E473" s="186">
        <v>4.6792473976940765E-3</v>
      </c>
      <c r="G473">
        <v>462</v>
      </c>
      <c r="H473" s="186">
        <f t="shared" ca="1" si="19"/>
        <v>-2.0282797600295027E-2</v>
      </c>
    </row>
    <row r="474" spans="2:8" x14ac:dyDescent="0.25">
      <c r="B474" s="67">
        <v>42001</v>
      </c>
      <c r="C474" s="66">
        <v>2742.1</v>
      </c>
      <c r="D474" s="186">
        <f t="shared" si="18"/>
        <v>-0.34477114421916627</v>
      </c>
      <c r="E474" s="186">
        <v>4.6714419184054811E-3</v>
      </c>
      <c r="G474">
        <v>463</v>
      </c>
      <c r="H474" s="186">
        <f t="shared" ca="1" si="19"/>
        <v>6.3204915608733175E-3</v>
      </c>
    </row>
    <row r="475" spans="2:8" x14ac:dyDescent="0.25">
      <c r="B475" s="67">
        <v>43065</v>
      </c>
      <c r="C475" s="66">
        <v>4184.95</v>
      </c>
      <c r="D475" s="186">
        <f t="shared" si="18"/>
        <v>3.2325663716814157</v>
      </c>
      <c r="E475" s="186">
        <v>4.6572481425021031E-3</v>
      </c>
      <c r="G475">
        <v>464</v>
      </c>
      <c r="H475" s="186">
        <f t="shared" ca="1" si="19"/>
        <v>-1.152797467684202E-2</v>
      </c>
    </row>
    <row r="476" spans="2:8" x14ac:dyDescent="0.25">
      <c r="B476" s="67">
        <v>39404</v>
      </c>
      <c r="C476">
        <v>988.75</v>
      </c>
      <c r="D476" s="186">
        <f t="shared" si="18"/>
        <v>-0.75771275944031957</v>
      </c>
      <c r="E476" s="186">
        <v>4.5720091440182879E-3</v>
      </c>
      <c r="G476">
        <v>465</v>
      </c>
      <c r="H476" s="186">
        <f t="shared" ca="1" si="19"/>
        <v>-7.0487118597126225E-2</v>
      </c>
    </row>
    <row r="477" spans="2:8" x14ac:dyDescent="0.25">
      <c r="B477" s="67">
        <v>43205</v>
      </c>
      <c r="C477" s="66">
        <v>4080.9</v>
      </c>
      <c r="D477" s="186">
        <f t="shared" si="18"/>
        <v>2.9446136001159928</v>
      </c>
      <c r="E477" s="186">
        <v>4.5663224488289248E-3</v>
      </c>
      <c r="G477">
        <v>466</v>
      </c>
      <c r="H477" s="186">
        <f t="shared" ca="1" si="19"/>
        <v>-6.7803985768650835E-2</v>
      </c>
    </row>
    <row r="478" spans="2:8" x14ac:dyDescent="0.25">
      <c r="B478" s="67">
        <v>40685</v>
      </c>
      <c r="C478" s="66">
        <v>1034.55</v>
      </c>
      <c r="D478" s="186">
        <f t="shared" si="18"/>
        <v>0.7503595296506218</v>
      </c>
      <c r="E478" s="186">
        <v>4.4662362250593802E-3</v>
      </c>
      <c r="G478">
        <v>467</v>
      </c>
      <c r="H478" s="186">
        <f t="shared" ca="1" si="19"/>
        <v>3.3314886498117202E-2</v>
      </c>
    </row>
    <row r="479" spans="2:8" x14ac:dyDescent="0.25">
      <c r="B479" s="67">
        <v>39684</v>
      </c>
      <c r="C479">
        <v>591.04999999999995</v>
      </c>
      <c r="D479" s="186">
        <f t="shared" si="18"/>
        <v>-0.92213857108041708</v>
      </c>
      <c r="E479" s="186">
        <v>4.4183872886394918E-3</v>
      </c>
      <c r="G479">
        <v>468</v>
      </c>
      <c r="H479" s="186">
        <f t="shared" ca="1" si="19"/>
        <v>2.836179486824628E-2</v>
      </c>
    </row>
    <row r="480" spans="2:8" x14ac:dyDescent="0.25">
      <c r="B480" s="67">
        <v>44556</v>
      </c>
      <c r="C480" s="66">
        <v>7591.05</v>
      </c>
      <c r="D480" s="186">
        <f t="shared" si="18"/>
        <v>-0.3710811930405965</v>
      </c>
      <c r="E480" s="186">
        <v>4.3794944396298423E-3</v>
      </c>
      <c r="G480">
        <v>469</v>
      </c>
      <c r="H480" s="186">
        <f t="shared" ca="1" si="19"/>
        <v>-5.5932088496801591E-2</v>
      </c>
    </row>
    <row r="481" spans="2:8" x14ac:dyDescent="0.25">
      <c r="B481" s="67">
        <v>45921</v>
      </c>
      <c r="C481" s="66">
        <v>12070</v>
      </c>
      <c r="D481" s="186">
        <f t="shared" si="18"/>
        <v>9.7245990492691803</v>
      </c>
      <c r="E481" s="186">
        <v>4.2432814710042432E-3</v>
      </c>
      <c r="G481">
        <v>470</v>
      </c>
      <c r="H481" s="186">
        <f t="shared" ca="1" si="19"/>
        <v>9.0325017835454408E-2</v>
      </c>
    </row>
    <row r="482" spans="2:8" x14ac:dyDescent="0.25">
      <c r="B482" s="67">
        <v>40825</v>
      </c>
      <c r="C482" s="66">
        <v>1125.45</v>
      </c>
      <c r="D482" s="186">
        <f t="shared" si="18"/>
        <v>-0.88365217121620143</v>
      </c>
      <c r="E482" s="186">
        <v>4.1936203435200053E-3</v>
      </c>
      <c r="G482">
        <v>471</v>
      </c>
      <c r="H482" s="186">
        <f t="shared" ca="1" si="19"/>
        <v>-3.0092473629162182E-2</v>
      </c>
    </row>
    <row r="483" spans="2:8" x14ac:dyDescent="0.25">
      <c r="B483" s="67">
        <v>45354</v>
      </c>
      <c r="C483" s="66">
        <v>9673.15</v>
      </c>
      <c r="D483" s="186">
        <f t="shared" si="18"/>
        <v>1.2500668752398785</v>
      </c>
      <c r="E483" s="186">
        <v>4.1731764412769618E-3</v>
      </c>
      <c r="G483">
        <v>472</v>
      </c>
      <c r="H483" s="186">
        <f t="shared" ca="1" si="19"/>
        <v>1.9100117306208884E-2</v>
      </c>
    </row>
    <row r="484" spans="2:8" x14ac:dyDescent="0.25">
      <c r="B484" s="67">
        <v>43674</v>
      </c>
      <c r="C484" s="66">
        <v>4299.05</v>
      </c>
      <c r="D484" s="186">
        <f t="shared" si="18"/>
        <v>0.30153948623242155</v>
      </c>
      <c r="E484" s="186">
        <v>4.1342100038538818E-3</v>
      </c>
      <c r="G484">
        <v>473</v>
      </c>
      <c r="H484" s="186">
        <f t="shared" ca="1" si="19"/>
        <v>1.3234236446599469E-2</v>
      </c>
    </row>
    <row r="485" spans="2:8" x14ac:dyDescent="0.25">
      <c r="B485" s="67">
        <v>42533</v>
      </c>
      <c r="C485" s="66">
        <v>3303.05</v>
      </c>
      <c r="D485" s="186">
        <f t="shared" si="18"/>
        <v>-0.27787190782785498</v>
      </c>
      <c r="E485" s="186">
        <v>3.9818234319671623E-3</v>
      </c>
      <c r="G485">
        <v>474</v>
      </c>
      <c r="H485" s="186">
        <f t="shared" ca="1" si="19"/>
        <v>6.6047013488070988E-2</v>
      </c>
    </row>
    <row r="486" spans="2:8" x14ac:dyDescent="0.25">
      <c r="B486" s="67">
        <v>44129</v>
      </c>
      <c r="C486" s="66">
        <v>4574.05</v>
      </c>
      <c r="D486" s="186">
        <f t="shared" si="18"/>
        <v>9.8804876583988996E-2</v>
      </c>
      <c r="E486" s="186">
        <v>3.9618086040386705E-3</v>
      </c>
      <c r="G486">
        <v>475</v>
      </c>
      <c r="H486" s="186">
        <f t="shared" ca="1" si="19"/>
        <v>-3.8357309539137505E-2</v>
      </c>
    </row>
    <row r="487" spans="2:8" x14ac:dyDescent="0.25">
      <c r="B487" s="67">
        <v>43765</v>
      </c>
      <c r="C487" s="66">
        <v>4162.75</v>
      </c>
      <c r="D487" s="186">
        <f t="shared" si="18"/>
        <v>5.4992193598750978</v>
      </c>
      <c r="E487" s="186">
        <v>3.7374163602387125E-3</v>
      </c>
      <c r="G487">
        <v>476</v>
      </c>
      <c r="H487" s="186">
        <f t="shared" ca="1" si="19"/>
        <v>6.4479148485819454E-2</v>
      </c>
    </row>
    <row r="488" spans="2:8" x14ac:dyDescent="0.25">
      <c r="B488" s="67">
        <v>39600</v>
      </c>
      <c r="C488">
        <v>640.5</v>
      </c>
      <c r="D488" s="186">
        <f t="shared" si="18"/>
        <v>-0.34280730556125594</v>
      </c>
      <c r="E488" s="186">
        <v>3.6825197837499378E-3</v>
      </c>
      <c r="G488">
        <v>477</v>
      </c>
      <c r="H488" s="186">
        <f t="shared" ca="1" si="19"/>
        <v>6.076189743132672E-2</v>
      </c>
    </row>
    <row r="489" spans="2:8" x14ac:dyDescent="0.25">
      <c r="B489" s="67">
        <v>39383</v>
      </c>
      <c r="C489">
        <v>974.6</v>
      </c>
      <c r="D489" s="186">
        <f t="shared" si="18"/>
        <v>-0.91407007706007859</v>
      </c>
      <c r="E489" s="186">
        <v>3.6041602306662547E-3</v>
      </c>
      <c r="G489">
        <v>478</v>
      </c>
      <c r="H489" s="186">
        <f t="shared" ca="1" si="19"/>
        <v>-1.0712250543808356E-2</v>
      </c>
    </row>
    <row r="490" spans="2:8" x14ac:dyDescent="0.25">
      <c r="B490" s="67">
        <v>45522</v>
      </c>
      <c r="C490" s="66">
        <v>11341.8</v>
      </c>
      <c r="D490" s="186">
        <f t="shared" si="18"/>
        <v>6.2144265631957252</v>
      </c>
      <c r="E490" s="186">
        <v>3.5303798476362062E-3</v>
      </c>
      <c r="G490">
        <v>479</v>
      </c>
      <c r="H490" s="186">
        <f t="shared" ca="1" si="19"/>
        <v>1.1318510876292119E-2</v>
      </c>
    </row>
    <row r="491" spans="2:8" x14ac:dyDescent="0.25">
      <c r="B491" s="67">
        <v>41098</v>
      </c>
      <c r="C491" s="66">
        <v>1572.1</v>
      </c>
      <c r="D491" s="186">
        <f t="shared" si="18"/>
        <v>3.8975077881619935</v>
      </c>
      <c r="E491" s="186">
        <v>3.5107876930933232E-3</v>
      </c>
      <c r="G491">
        <v>480</v>
      </c>
      <c r="H491" s="186">
        <f t="shared" ca="1" si="19"/>
        <v>-6.8560449465764678E-3</v>
      </c>
    </row>
    <row r="492" spans="2:8" x14ac:dyDescent="0.25">
      <c r="B492" s="67">
        <v>38508</v>
      </c>
      <c r="C492">
        <v>321</v>
      </c>
      <c r="D492" s="186">
        <f t="shared" si="18"/>
        <v>-0.69448938802702964</v>
      </c>
      <c r="E492" s="186">
        <v>3.281762775433697E-3</v>
      </c>
      <c r="G492">
        <v>481</v>
      </c>
      <c r="H492" s="186">
        <f t="shared" ca="1" si="19"/>
        <v>8.5261552787140732E-2</v>
      </c>
    </row>
    <row r="493" spans="2:8" x14ac:dyDescent="0.25">
      <c r="B493" s="67">
        <v>39341</v>
      </c>
      <c r="C493" s="66">
        <v>1050.7</v>
      </c>
      <c r="D493" s="186">
        <f t="shared" si="18"/>
        <v>-0.87120854605517184</v>
      </c>
      <c r="E493" s="186">
        <v>3.2464432349852872E-3</v>
      </c>
      <c r="G493">
        <v>482</v>
      </c>
      <c r="H493" s="186">
        <f t="shared" ca="1" si="19"/>
        <v>-6.6046844660756594E-3</v>
      </c>
    </row>
    <row r="494" spans="2:8" x14ac:dyDescent="0.25">
      <c r="B494" s="67">
        <v>45137</v>
      </c>
      <c r="C494" s="66">
        <v>8158.15</v>
      </c>
      <c r="D494" s="186">
        <f t="shared" si="18"/>
        <v>-0.35457674050632915</v>
      </c>
      <c r="E494" s="186">
        <v>3.0985066919137359E-3</v>
      </c>
      <c r="G494">
        <v>483</v>
      </c>
      <c r="H494" s="186">
        <f t="shared" ca="1" si="19"/>
        <v>-3.8359520639461727E-3</v>
      </c>
    </row>
    <row r="495" spans="2:8" x14ac:dyDescent="0.25">
      <c r="B495" s="67">
        <v>45893</v>
      </c>
      <c r="C495" s="66">
        <v>12640</v>
      </c>
      <c r="D495" s="186">
        <f t="shared" si="18"/>
        <v>2.227701029085059</v>
      </c>
      <c r="E495" s="186">
        <v>3.0949924609158003E-3</v>
      </c>
      <c r="G495">
        <v>484</v>
      </c>
      <c r="H495" s="186">
        <f t="shared" ca="1" si="19"/>
        <v>2.8664105961869992E-2</v>
      </c>
    </row>
    <row r="496" spans="2:8" x14ac:dyDescent="0.25">
      <c r="B496" s="67">
        <v>44073</v>
      </c>
      <c r="C496" s="66">
        <v>3916.1</v>
      </c>
      <c r="D496" s="186">
        <f t="shared" si="18"/>
        <v>-1.1684837472239093E-2</v>
      </c>
      <c r="E496" s="186">
        <v>3.0736917599446735E-3</v>
      </c>
      <c r="G496">
        <v>485</v>
      </c>
      <c r="H496" s="186">
        <f t="shared" ca="1" si="19"/>
        <v>-5.7294485035416912E-2</v>
      </c>
    </row>
    <row r="497" spans="2:8" x14ac:dyDescent="0.25">
      <c r="B497" s="67">
        <v>43415</v>
      </c>
      <c r="C497" s="66">
        <v>3962.4</v>
      </c>
      <c r="D497" s="186">
        <f t="shared" si="18"/>
        <v>4.047000382116928</v>
      </c>
      <c r="E497" s="186">
        <v>3.0376670716889429E-3</v>
      </c>
      <c r="G497">
        <v>486</v>
      </c>
      <c r="H497" s="186">
        <f t="shared" ca="1" si="19"/>
        <v>-3.1786019727152455E-2</v>
      </c>
    </row>
    <row r="498" spans="2:8" x14ac:dyDescent="0.25">
      <c r="B498" s="67">
        <v>39551</v>
      </c>
      <c r="C498">
        <v>785.1</v>
      </c>
      <c r="D498" s="186">
        <f t="shared" si="18"/>
        <v>-0.92106176004826179</v>
      </c>
      <c r="E498" s="186">
        <v>3.0022357074417408E-3</v>
      </c>
      <c r="G498">
        <v>487</v>
      </c>
      <c r="H498" s="186">
        <f t="shared" ca="1" si="19"/>
        <v>-7.7334683548687916E-2</v>
      </c>
    </row>
    <row r="499" spans="2:8" x14ac:dyDescent="0.25">
      <c r="B499" s="67">
        <v>45326</v>
      </c>
      <c r="C499" s="66">
        <v>9945.75</v>
      </c>
      <c r="D499" s="186">
        <f t="shared" si="18"/>
        <v>11.294641201557573</v>
      </c>
      <c r="E499" s="186">
        <v>2.9799721667573536E-3</v>
      </c>
      <c r="G499">
        <v>488</v>
      </c>
      <c r="H499" s="186">
        <f t="shared" ca="1" si="19"/>
        <v>-2.6992714088072745E-2</v>
      </c>
    </row>
    <row r="500" spans="2:8" x14ac:dyDescent="0.25">
      <c r="B500" s="67">
        <v>39236</v>
      </c>
      <c r="C500">
        <v>808.95</v>
      </c>
      <c r="D500" s="186">
        <f t="shared" si="18"/>
        <v>0.4312632696390658</v>
      </c>
      <c r="E500" s="186">
        <v>2.9756369722894935E-3</v>
      </c>
      <c r="G500">
        <v>489</v>
      </c>
      <c r="H500" s="186">
        <f t="shared" ca="1" si="19"/>
        <v>-4.7821674441435782E-3</v>
      </c>
    </row>
    <row r="501" spans="2:8" x14ac:dyDescent="0.25">
      <c r="B501" s="67">
        <v>39698</v>
      </c>
      <c r="C501">
        <v>565.20000000000005</v>
      </c>
      <c r="D501" s="186">
        <f t="shared" si="18"/>
        <v>-0.71314741035856566</v>
      </c>
      <c r="E501" s="186">
        <v>2.9278679797712557E-3</v>
      </c>
      <c r="G501">
        <v>490</v>
      </c>
      <c r="H501" s="186">
        <f t="shared" ca="1" si="19"/>
        <v>-6.8899473993789942E-2</v>
      </c>
    </row>
    <row r="502" spans="2:8" x14ac:dyDescent="0.25">
      <c r="B502" s="67">
        <v>41553</v>
      </c>
      <c r="C502" s="66">
        <v>1970.35</v>
      </c>
      <c r="D502" s="186">
        <f t="shared" si="18"/>
        <v>5.7396955703779708</v>
      </c>
      <c r="E502" s="186">
        <v>2.9268044385625572E-3</v>
      </c>
      <c r="G502">
        <v>491</v>
      </c>
      <c r="H502" s="186">
        <f t="shared" ca="1" si="19"/>
        <v>-2.7018021400558652E-2</v>
      </c>
    </row>
    <row r="503" spans="2:8" x14ac:dyDescent="0.25">
      <c r="B503" s="67">
        <v>38291</v>
      </c>
      <c r="C503">
        <v>292.35000000000002</v>
      </c>
      <c r="D503" s="186">
        <f t="shared" si="18"/>
        <v>-0.6687064422913479</v>
      </c>
      <c r="E503" s="186">
        <v>2.915951972555824E-3</v>
      </c>
      <c r="G503">
        <v>492</v>
      </c>
      <c r="H503" s="186">
        <f t="shared" ca="1" si="19"/>
        <v>3.1494992008385916E-2</v>
      </c>
    </row>
    <row r="504" spans="2:8" x14ac:dyDescent="0.25">
      <c r="B504" s="67">
        <v>39033</v>
      </c>
      <c r="C504">
        <v>882.45</v>
      </c>
      <c r="D504" s="186">
        <f t="shared" si="18"/>
        <v>-0.88543999376862115</v>
      </c>
      <c r="E504" s="186">
        <v>2.8410705153701912E-3</v>
      </c>
      <c r="G504">
        <v>493</v>
      </c>
      <c r="H504" s="186">
        <f t="shared" ca="1" si="19"/>
        <v>-4.0601779947035038E-2</v>
      </c>
    </row>
    <row r="505" spans="2:8" x14ac:dyDescent="0.25">
      <c r="B505" s="67">
        <v>45053</v>
      </c>
      <c r="C505" s="66">
        <v>7702.95</v>
      </c>
      <c r="D505" s="186">
        <f t="shared" si="18"/>
        <v>6.8613563300505174</v>
      </c>
      <c r="E505" s="186">
        <v>2.8185333211825647E-3</v>
      </c>
      <c r="G505">
        <v>494</v>
      </c>
      <c r="H505" s="186">
        <f t="shared" ca="1" si="19"/>
        <v>2.8231431407193423E-2</v>
      </c>
    </row>
    <row r="506" spans="2:8" x14ac:dyDescent="0.25">
      <c r="B506" s="67">
        <v>39439</v>
      </c>
      <c r="C506">
        <v>979.85</v>
      </c>
      <c r="D506" s="186">
        <f t="shared" si="18"/>
        <v>-0.60659653912554701</v>
      </c>
      <c r="E506" s="186">
        <v>2.609229509874213E-3</v>
      </c>
      <c r="G506">
        <v>495</v>
      </c>
      <c r="H506" s="186">
        <f t="shared" ca="1" si="19"/>
        <v>1.9709712936145866E-2</v>
      </c>
    </row>
    <row r="507" spans="2:8" x14ac:dyDescent="0.25">
      <c r="B507" s="67">
        <v>41959</v>
      </c>
      <c r="C507" s="66">
        <v>2490.6999999999998</v>
      </c>
      <c r="D507" s="186">
        <f t="shared" si="18"/>
        <v>-0.77866346751977245</v>
      </c>
      <c r="E507" s="186">
        <v>2.5963570494112178E-3</v>
      </c>
      <c r="G507">
        <v>496</v>
      </c>
      <c r="H507" s="186">
        <f t="shared" ca="1" si="19"/>
        <v>8.8736723999055828E-2</v>
      </c>
    </row>
    <row r="508" spans="2:8" x14ac:dyDescent="0.25">
      <c r="B508" s="67">
        <v>45809</v>
      </c>
      <c r="C508" s="66">
        <v>11253</v>
      </c>
      <c r="D508" s="186">
        <f t="shared" si="18"/>
        <v>-1.7226698107028232E-2</v>
      </c>
      <c r="E508" s="186">
        <v>2.5837491090520315E-3</v>
      </c>
      <c r="G508">
        <v>497</v>
      </c>
      <c r="H508" s="186">
        <f t="shared" ca="1" si="19"/>
        <v>-5.4438729901178984E-2</v>
      </c>
    </row>
    <row r="509" spans="2:8" x14ac:dyDescent="0.25">
      <c r="B509" s="67">
        <v>45564</v>
      </c>
      <c r="C509" s="66">
        <v>11450.25</v>
      </c>
      <c r="D509" s="186">
        <f t="shared" si="18"/>
        <v>2.6374249499666447</v>
      </c>
      <c r="E509" s="186">
        <v>2.5347377268787902E-3</v>
      </c>
      <c r="G509">
        <v>498</v>
      </c>
      <c r="H509" s="186">
        <f t="shared" ca="1" si="19"/>
        <v>-4.4919761979316949E-2</v>
      </c>
    </row>
    <row r="510" spans="2:8" x14ac:dyDescent="0.25">
      <c r="B510" s="67">
        <v>42022</v>
      </c>
      <c r="C510" s="66">
        <v>3147.9</v>
      </c>
      <c r="D510" s="186">
        <f t="shared" si="18"/>
        <v>-0.22643665450256178</v>
      </c>
      <c r="E510" s="186">
        <v>2.4041906156957605E-3</v>
      </c>
      <c r="G510">
        <v>499</v>
      </c>
      <c r="H510" s="186">
        <f t="shared" ca="1" si="19"/>
        <v>-6.1214439123183518E-3</v>
      </c>
    </row>
    <row r="511" spans="2:8" x14ac:dyDescent="0.25">
      <c r="B511" s="67">
        <v>43359</v>
      </c>
      <c r="C511" s="66">
        <v>4069.35</v>
      </c>
      <c r="D511" s="186">
        <f t="shared" si="18"/>
        <v>1.0420775310500565</v>
      </c>
      <c r="E511" s="186">
        <v>2.3152994495006323E-3</v>
      </c>
      <c r="G511">
        <v>500</v>
      </c>
      <c r="H511" s="186">
        <f t="shared" ca="1" si="19"/>
        <v>-1.7376544692389456E-2</v>
      </c>
    </row>
    <row r="512" spans="2:8" x14ac:dyDescent="0.25">
      <c r="B512" s="67">
        <v>41252</v>
      </c>
      <c r="C512" s="66">
        <v>1992.75</v>
      </c>
      <c r="D512" s="186">
        <f t="shared" si="18"/>
        <v>9.6263457884737183E-3</v>
      </c>
      <c r="E512" s="186">
        <v>2.0868953032284476E-3</v>
      </c>
      <c r="G512">
        <v>501</v>
      </c>
      <c r="H512" s="186">
        <f t="shared" ca="1" si="19"/>
        <v>1.5883699613226082E-2</v>
      </c>
    </row>
    <row r="513" spans="2:8" x14ac:dyDescent="0.25">
      <c r="B513" s="67">
        <v>41700</v>
      </c>
      <c r="C513" s="66">
        <v>1973.75</v>
      </c>
      <c r="D513" s="186">
        <f t="shared" si="18"/>
        <v>-0.68183283630208757</v>
      </c>
      <c r="E513" s="186">
        <v>1.928982969110868E-3</v>
      </c>
      <c r="G513">
        <v>502</v>
      </c>
      <c r="H513" s="186">
        <f t="shared" ca="1" si="19"/>
        <v>4.6116983903691691E-2</v>
      </c>
    </row>
    <row r="514" spans="2:8" x14ac:dyDescent="0.25">
      <c r="B514" s="67">
        <v>44836</v>
      </c>
      <c r="C514" s="66">
        <v>6203.5</v>
      </c>
      <c r="D514" s="186">
        <f t="shared" si="18"/>
        <v>1.5059583922439912</v>
      </c>
      <c r="E514" s="186">
        <v>1.857235142118863E-3</v>
      </c>
      <c r="G514">
        <v>503</v>
      </c>
      <c r="H514" s="186">
        <f t="shared" ca="1" si="19"/>
        <v>-1.2496136132948426E-2</v>
      </c>
    </row>
    <row r="515" spans="2:8" x14ac:dyDescent="0.25">
      <c r="B515" s="67">
        <v>41840</v>
      </c>
      <c r="C515" s="66">
        <v>2475.5</v>
      </c>
      <c r="D515" s="186">
        <f t="shared" si="18"/>
        <v>5.9978798586572442</v>
      </c>
      <c r="E515" s="186">
        <v>1.5779252306198782E-3</v>
      </c>
      <c r="G515">
        <v>504</v>
      </c>
      <c r="H515" s="186">
        <f t="shared" ca="1" si="19"/>
        <v>-8.762217558666352E-3</v>
      </c>
    </row>
    <row r="516" spans="2:8" x14ac:dyDescent="0.25">
      <c r="B516" s="67">
        <v>38438</v>
      </c>
      <c r="C516">
        <v>353.75</v>
      </c>
      <c r="D516" s="186">
        <f t="shared" si="18"/>
        <v>-0.8797668411392835</v>
      </c>
      <c r="E516" s="186">
        <v>1.5571913929785146E-3</v>
      </c>
      <c r="G516">
        <v>505</v>
      </c>
      <c r="H516" s="186">
        <f t="shared" ca="1" si="19"/>
        <v>-5.2431734787369122E-2</v>
      </c>
    </row>
    <row r="517" spans="2:8" x14ac:dyDescent="0.25">
      <c r="B517" s="67">
        <v>42253</v>
      </c>
      <c r="C517" s="66">
        <v>2942.2</v>
      </c>
      <c r="D517" s="186">
        <f t="shared" si="18"/>
        <v>-0.74242742585005417</v>
      </c>
      <c r="E517" s="186">
        <v>1.4465869058357019E-3</v>
      </c>
      <c r="G517">
        <v>506</v>
      </c>
      <c r="H517" s="186">
        <f t="shared" ca="1" si="19"/>
        <v>-6.5432603797139013E-2</v>
      </c>
    </row>
    <row r="518" spans="2:8" x14ac:dyDescent="0.25">
      <c r="B518" s="67">
        <v>45641</v>
      </c>
      <c r="C518" s="66">
        <v>11422.8</v>
      </c>
      <c r="D518" s="186">
        <f t="shared" si="18"/>
        <v>1.5759806961561442</v>
      </c>
      <c r="E518" s="186">
        <v>1.4246200647873371E-3</v>
      </c>
      <c r="G518">
        <v>507</v>
      </c>
      <c r="H518" s="186">
        <f t="shared" ca="1" si="19"/>
        <v>4.4892068026601076E-2</v>
      </c>
    </row>
    <row r="519" spans="2:8" x14ac:dyDescent="0.25">
      <c r="B519" s="67">
        <v>43870</v>
      </c>
      <c r="C519" s="66">
        <v>4434.3500000000004</v>
      </c>
      <c r="D519" s="186">
        <f t="shared" si="18"/>
        <v>-0.61472429417309971</v>
      </c>
      <c r="E519" s="186">
        <v>1.4114405727061266E-3</v>
      </c>
      <c r="G519">
        <v>508</v>
      </c>
      <c r="H519" s="186">
        <f t="shared" ca="1" si="19"/>
        <v>-4.4215802101537485E-2</v>
      </c>
    </row>
    <row r="520" spans="2:8" x14ac:dyDescent="0.25">
      <c r="B520" s="67">
        <v>45739</v>
      </c>
      <c r="C520" s="66">
        <v>11509.55</v>
      </c>
      <c r="D520" s="186">
        <f t="shared" si="18"/>
        <v>2.4638627642765778</v>
      </c>
      <c r="E520" s="186">
        <v>9.479373665603907E-4</v>
      </c>
      <c r="G520">
        <v>509</v>
      </c>
      <c r="H520" s="186">
        <f t="shared" ca="1" si="19"/>
        <v>1.6166983126635563E-3</v>
      </c>
    </row>
    <row r="521" spans="2:8" x14ac:dyDescent="0.25">
      <c r="B521" s="67">
        <v>42736</v>
      </c>
      <c r="C521" s="66">
        <v>3322.75</v>
      </c>
      <c r="D521" s="186">
        <f t="shared" si="18"/>
        <v>-0.73430753238445545</v>
      </c>
      <c r="E521" s="186">
        <v>9.1875771907105528E-4</v>
      </c>
      <c r="G521">
        <v>510</v>
      </c>
      <c r="H521" s="186">
        <f t="shared" ca="1" si="19"/>
        <v>-6.1595953427581243E-2</v>
      </c>
    </row>
    <row r="522" spans="2:8" x14ac:dyDescent="0.25">
      <c r="B522" s="67">
        <v>45837</v>
      </c>
      <c r="C522" s="66">
        <v>12506</v>
      </c>
      <c r="D522" s="186">
        <f t="shared" si="18"/>
        <v>2.8201423465803219</v>
      </c>
      <c r="E522" s="186">
        <v>8.8035214085634258E-4</v>
      </c>
      <c r="G522">
        <v>511</v>
      </c>
      <c r="H522" s="186">
        <f t="shared" ca="1" si="19"/>
        <v>1.7337568708955926E-2</v>
      </c>
    </row>
    <row r="523" spans="2:8" x14ac:dyDescent="0.25">
      <c r="B523" s="67">
        <v>42470</v>
      </c>
      <c r="C523" s="66">
        <v>3273.7</v>
      </c>
      <c r="D523" s="186">
        <f t="shared" si="18"/>
        <v>11.080073800738006</v>
      </c>
      <c r="E523" s="186">
        <v>7.9483965638467457E-4</v>
      </c>
      <c r="G523">
        <v>512</v>
      </c>
      <c r="H523" s="186">
        <f t="shared" ca="1" si="19"/>
        <v>-2.3260851166654113E-2</v>
      </c>
    </row>
    <row r="524" spans="2:8" x14ac:dyDescent="0.25">
      <c r="B524" s="67">
        <v>38242</v>
      </c>
      <c r="C524">
        <v>271</v>
      </c>
      <c r="D524" s="186">
        <f t="shared" ref="D524:D587" si="20">(C524-C525)/C525</f>
        <v>-0.3519072103312208</v>
      </c>
      <c r="E524" s="186">
        <v>7.3855243722300082E-4</v>
      </c>
      <c r="G524">
        <v>513</v>
      </c>
      <c r="H524" s="186">
        <f t="shared" ca="1" si="19"/>
        <v>8.6711745131930279E-2</v>
      </c>
    </row>
    <row r="525" spans="2:8" x14ac:dyDescent="0.25">
      <c r="B525" s="67">
        <v>38571</v>
      </c>
      <c r="C525">
        <v>418.15</v>
      </c>
      <c r="D525" s="186">
        <f t="shared" si="20"/>
        <v>-0.85146175979538907</v>
      </c>
      <c r="E525" s="186">
        <v>7.1796099078605847E-4</v>
      </c>
      <c r="G525">
        <v>514</v>
      </c>
      <c r="H525" s="186">
        <f t="shared" ref="H525:H588" ca="1" si="21">_xlfn.NORM.INV(RAND(),N$14,N$15)</f>
        <v>1.6619001649593394E-2</v>
      </c>
    </row>
    <row r="526" spans="2:8" x14ac:dyDescent="0.25">
      <c r="B526" s="67">
        <v>42351</v>
      </c>
      <c r="C526" s="66">
        <v>2815.1</v>
      </c>
      <c r="D526" s="186">
        <f t="shared" si="20"/>
        <v>-0.54596625915293051</v>
      </c>
      <c r="E526" s="186">
        <v>6.576024171331766E-4</v>
      </c>
      <c r="G526">
        <v>515</v>
      </c>
      <c r="H526" s="186">
        <f t="shared" ca="1" si="21"/>
        <v>7.4322945444121297E-2</v>
      </c>
    </row>
    <row r="527" spans="2:8" x14ac:dyDescent="0.25">
      <c r="B527" s="67">
        <v>44682</v>
      </c>
      <c r="C527" s="66">
        <v>6200.2</v>
      </c>
      <c r="D527" s="186">
        <f t="shared" si="20"/>
        <v>5.895240213523131</v>
      </c>
      <c r="E527" s="186">
        <v>5.8903744825743935E-4</v>
      </c>
      <c r="G527">
        <v>516</v>
      </c>
      <c r="H527" s="186">
        <f t="shared" ca="1" si="21"/>
        <v>-4.4169098885423535E-3</v>
      </c>
    </row>
    <row r="528" spans="2:8" x14ac:dyDescent="0.25">
      <c r="B528" s="67">
        <v>40160</v>
      </c>
      <c r="C528">
        <v>899.2</v>
      </c>
      <c r="D528" s="186">
        <f t="shared" si="20"/>
        <v>-0.92042724340396531</v>
      </c>
      <c r="E528" s="186">
        <v>4.4503782821549951E-4</v>
      </c>
      <c r="G528">
        <v>517</v>
      </c>
      <c r="H528" s="186">
        <f t="shared" ca="1" si="21"/>
        <v>-4.5231457790471524E-2</v>
      </c>
    </row>
    <row r="529" spans="2:8" x14ac:dyDescent="0.25">
      <c r="B529" s="67">
        <v>45508</v>
      </c>
      <c r="C529" s="66">
        <v>11300.35</v>
      </c>
      <c r="D529" s="186">
        <f t="shared" si="20"/>
        <v>6.4589768976897695</v>
      </c>
      <c r="E529" s="186">
        <v>4.1166107456816627E-4</v>
      </c>
      <c r="G529">
        <v>518</v>
      </c>
      <c r="H529" s="186">
        <f t="shared" ca="1" si="21"/>
        <v>-3.495642007156495E-2</v>
      </c>
    </row>
    <row r="530" spans="2:8" x14ac:dyDescent="0.25">
      <c r="B530" s="67">
        <v>40986</v>
      </c>
      <c r="C530" s="66">
        <v>1515</v>
      </c>
      <c r="D530" s="186">
        <f t="shared" si="20"/>
        <v>3.1558085310656976</v>
      </c>
      <c r="E530" s="186">
        <v>2.9711795582849394E-4</v>
      </c>
      <c r="G530">
        <v>519</v>
      </c>
      <c r="H530" s="186">
        <f t="shared" ca="1" si="21"/>
        <v>-1.9312616923899763E-2</v>
      </c>
    </row>
    <row r="531" spans="2:8" x14ac:dyDescent="0.25">
      <c r="B531" s="67">
        <v>38403</v>
      </c>
      <c r="C531">
        <v>364.55</v>
      </c>
      <c r="D531" s="186">
        <f t="shared" si="20"/>
        <v>-0.75930144267274113</v>
      </c>
      <c r="E531" s="186">
        <v>2.7438606118815404E-4</v>
      </c>
      <c r="G531">
        <v>520</v>
      </c>
      <c r="H531" s="186">
        <f t="shared" ca="1" si="21"/>
        <v>4.9581782741723049E-2</v>
      </c>
    </row>
    <row r="532" spans="2:8" x14ac:dyDescent="0.25">
      <c r="B532" s="67">
        <v>40993</v>
      </c>
      <c r="C532" s="66">
        <v>1514.55</v>
      </c>
      <c r="D532" s="186">
        <f t="shared" si="20"/>
        <v>-0.86943534482758622</v>
      </c>
      <c r="E532" s="186">
        <v>2.6417461942334876E-4</v>
      </c>
      <c r="G532">
        <v>521</v>
      </c>
      <c r="H532" s="186">
        <f t="shared" ca="1" si="21"/>
        <v>9.1745763698344342E-3</v>
      </c>
    </row>
    <row r="533" spans="2:8" x14ac:dyDescent="0.25">
      <c r="B533" s="67">
        <v>45984</v>
      </c>
      <c r="C533" s="66">
        <v>11600</v>
      </c>
      <c r="D533" s="186">
        <f t="shared" si="20"/>
        <v>0.74061791936137322</v>
      </c>
      <c r="E533" s="186">
        <v>2.5868759161852203E-4</v>
      </c>
      <c r="G533">
        <v>522</v>
      </c>
      <c r="H533" s="186">
        <f t="shared" ca="1" si="21"/>
        <v>-6.8240939121663444E-2</v>
      </c>
    </row>
    <row r="534" spans="2:8" x14ac:dyDescent="0.25">
      <c r="B534" s="67">
        <v>44346</v>
      </c>
      <c r="C534" s="66">
        <v>6664.3</v>
      </c>
      <c r="D534" s="186">
        <f t="shared" si="20"/>
        <v>0.68716455696202539</v>
      </c>
      <c r="E534" s="186">
        <v>2.1762459007779224E-4</v>
      </c>
      <c r="G534">
        <v>523</v>
      </c>
      <c r="H534" s="186">
        <f t="shared" ca="1" si="21"/>
        <v>-3.3137777365277454E-2</v>
      </c>
    </row>
    <row r="535" spans="2:8" x14ac:dyDescent="0.25">
      <c r="B535" s="67">
        <v>43184</v>
      </c>
      <c r="C535" s="66">
        <v>3950</v>
      </c>
      <c r="D535" s="186">
        <f t="shared" si="20"/>
        <v>-0.45265841728213724</v>
      </c>
      <c r="E535" s="186">
        <v>1.2659830358273199E-4</v>
      </c>
      <c r="G535">
        <v>524</v>
      </c>
      <c r="H535" s="186">
        <f t="shared" ca="1" si="21"/>
        <v>-7.0092262306950814E-2</v>
      </c>
    </row>
    <row r="536" spans="2:8" x14ac:dyDescent="0.25">
      <c r="B536" s="67">
        <v>44976</v>
      </c>
      <c r="C536" s="66">
        <v>7216.7</v>
      </c>
      <c r="D536" s="186">
        <f t="shared" si="20"/>
        <v>1.4254554009544933</v>
      </c>
      <c r="E536" s="186">
        <v>1.0393641862817786E-4</v>
      </c>
      <c r="G536">
        <v>525</v>
      </c>
      <c r="H536" s="186">
        <f t="shared" ca="1" si="21"/>
        <v>-1.3161550514913389E-2</v>
      </c>
    </row>
    <row r="537" spans="2:8" x14ac:dyDescent="0.25">
      <c r="B537" s="67">
        <v>42141</v>
      </c>
      <c r="C537" s="66">
        <v>2975.4</v>
      </c>
      <c r="D537" s="186">
        <f t="shared" si="20"/>
        <v>1.7304762778746443</v>
      </c>
      <c r="E537" s="186">
        <v>3.3610056128763162E-5</v>
      </c>
      <c r="G537">
        <v>526</v>
      </c>
      <c r="H537" s="186">
        <f t="shared" ca="1" si="21"/>
        <v>-6.7591343033963483E-2</v>
      </c>
    </row>
    <row r="538" spans="2:8" x14ac:dyDescent="0.25">
      <c r="B538" s="67">
        <v>40447</v>
      </c>
      <c r="C538" s="66">
        <v>1089.7</v>
      </c>
      <c r="D538" s="186">
        <f t="shared" si="20"/>
        <v>-0.84006047085070157</v>
      </c>
      <c r="E538" s="186">
        <v>-1.3763361930528383E-4</v>
      </c>
      <c r="G538">
        <v>527</v>
      </c>
      <c r="H538" s="186">
        <f t="shared" ca="1" si="21"/>
        <v>-5.5402798318625393E-2</v>
      </c>
    </row>
    <row r="539" spans="2:8" x14ac:dyDescent="0.25">
      <c r="B539" s="67">
        <v>44871</v>
      </c>
      <c r="C539" s="66">
        <v>6813.2</v>
      </c>
      <c r="D539" s="186">
        <f t="shared" si="20"/>
        <v>-0.45472589035614247</v>
      </c>
      <c r="E539" s="186">
        <v>-1.8343373272971408E-4</v>
      </c>
      <c r="G539">
        <v>528</v>
      </c>
      <c r="H539" s="186">
        <f t="shared" ca="1" si="21"/>
        <v>9.7853170916700847E-3</v>
      </c>
    </row>
    <row r="540" spans="2:8" x14ac:dyDescent="0.25">
      <c r="B540" s="67">
        <v>45844</v>
      </c>
      <c r="C540" s="66">
        <v>12495</v>
      </c>
      <c r="D540" s="186">
        <f t="shared" si="20"/>
        <v>8.6649302309401571E-2</v>
      </c>
      <c r="E540" s="186">
        <v>-2.4003840614498319E-4</v>
      </c>
      <c r="G540">
        <v>529</v>
      </c>
      <c r="H540" s="186">
        <f t="shared" ca="1" si="21"/>
        <v>-3.113001716224292E-2</v>
      </c>
    </row>
    <row r="541" spans="2:8" x14ac:dyDescent="0.25">
      <c r="B541" s="67">
        <v>45746</v>
      </c>
      <c r="C541" s="66">
        <v>11498.65</v>
      </c>
      <c r="D541" s="186">
        <f t="shared" si="20"/>
        <v>2.0309056882281613</v>
      </c>
      <c r="E541" s="186">
        <v>-3.4774595419316421E-4</v>
      </c>
      <c r="G541">
        <v>530</v>
      </c>
      <c r="H541" s="186">
        <f t="shared" ca="1" si="21"/>
        <v>-6.5815917197889276E-2</v>
      </c>
    </row>
    <row r="542" spans="2:8" x14ac:dyDescent="0.25">
      <c r="B542" s="67">
        <v>43373</v>
      </c>
      <c r="C542" s="66">
        <v>3793.8</v>
      </c>
      <c r="D542" s="186">
        <f t="shared" si="20"/>
        <v>8.585144012127337</v>
      </c>
      <c r="E542" s="186">
        <v>-3.5571716532940964E-4</v>
      </c>
      <c r="G542">
        <v>531</v>
      </c>
      <c r="H542" s="186">
        <f t="shared" ca="1" si="21"/>
        <v>-1.5866753651768435E-2</v>
      </c>
    </row>
    <row r="543" spans="2:8" x14ac:dyDescent="0.25">
      <c r="B543" s="67">
        <v>39831</v>
      </c>
      <c r="C543">
        <v>395.8</v>
      </c>
      <c r="D543" s="186">
        <f t="shared" si="20"/>
        <v>-0.84067626044077681</v>
      </c>
      <c r="E543" s="186">
        <v>-3.7883571157968748E-4</v>
      </c>
      <c r="G543">
        <v>532</v>
      </c>
      <c r="H543" s="186">
        <f t="shared" ca="1" si="21"/>
        <v>-7.3348849579770295E-2</v>
      </c>
    </row>
    <row r="544" spans="2:8" x14ac:dyDescent="0.25">
      <c r="B544" s="67">
        <v>41966</v>
      </c>
      <c r="C544" s="66">
        <v>2484.25</v>
      </c>
      <c r="D544" s="186">
        <f t="shared" si="20"/>
        <v>-0.37595769800798817</v>
      </c>
      <c r="E544" s="186">
        <v>-4.0237400663917109E-4</v>
      </c>
      <c r="G544">
        <v>533</v>
      </c>
      <c r="H544" s="186">
        <f t="shared" ca="1" si="21"/>
        <v>-5.1530412343492982E-2</v>
      </c>
    </row>
    <row r="545" spans="2:8" x14ac:dyDescent="0.25">
      <c r="B545" s="67">
        <v>42659</v>
      </c>
      <c r="C545" s="66">
        <v>3980.9</v>
      </c>
      <c r="D545" s="186">
        <f t="shared" si="20"/>
        <v>2.850372376438727</v>
      </c>
      <c r="E545" s="186">
        <v>-4.5195470409514332E-4</v>
      </c>
      <c r="G545">
        <v>534</v>
      </c>
      <c r="H545" s="186">
        <f t="shared" ca="1" si="21"/>
        <v>-3.9427067457691187E-2</v>
      </c>
    </row>
    <row r="546" spans="2:8" x14ac:dyDescent="0.25">
      <c r="B546" s="67">
        <v>40678</v>
      </c>
      <c r="C546" s="66">
        <v>1033.9000000000001</v>
      </c>
      <c r="D546" s="186">
        <f t="shared" si="20"/>
        <v>-0.6082747646200769</v>
      </c>
      <c r="E546" s="186">
        <v>-6.2829249432107064E-4</v>
      </c>
      <c r="G546">
        <v>535</v>
      </c>
      <c r="H546" s="186">
        <f t="shared" ca="1" si="21"/>
        <v>1.7684027396932787E-2</v>
      </c>
    </row>
    <row r="547" spans="2:8" x14ac:dyDescent="0.25">
      <c r="B547" s="67">
        <v>41889</v>
      </c>
      <c r="C547" s="66">
        <v>2639.35</v>
      </c>
      <c r="D547" s="186">
        <f t="shared" si="20"/>
        <v>-0.35268798744297841</v>
      </c>
      <c r="E547" s="186">
        <v>-8.3284435274754321E-4</v>
      </c>
      <c r="G547">
        <v>536</v>
      </c>
      <c r="H547" s="186">
        <f t="shared" ca="1" si="21"/>
        <v>7.3785717447414911E-2</v>
      </c>
    </row>
    <row r="548" spans="2:8" x14ac:dyDescent="0.25">
      <c r="B548" s="67">
        <v>43779</v>
      </c>
      <c r="C548" s="66">
        <v>4077.4</v>
      </c>
      <c r="D548" s="186">
        <f t="shared" si="20"/>
        <v>0.43565367416640266</v>
      </c>
      <c r="E548" s="186">
        <v>-9.1885865503595803E-4</v>
      </c>
      <c r="G548">
        <v>537</v>
      </c>
      <c r="H548" s="186">
        <f t="shared" ca="1" si="21"/>
        <v>1.0494007784905031E-2</v>
      </c>
    </row>
    <row r="549" spans="2:8" x14ac:dyDescent="0.25">
      <c r="B549" s="67">
        <v>42393</v>
      </c>
      <c r="C549" s="66">
        <v>2840.1</v>
      </c>
      <c r="D549" s="186">
        <f t="shared" si="20"/>
        <v>7.3356009070294756E-2</v>
      </c>
      <c r="E549" s="186">
        <v>-9.3219593703283471E-4</v>
      </c>
      <c r="G549">
        <v>538</v>
      </c>
      <c r="H549" s="186">
        <f t="shared" ca="1" si="21"/>
        <v>5.9559580791170658E-2</v>
      </c>
    </row>
    <row r="550" spans="2:8" x14ac:dyDescent="0.25">
      <c r="B550" s="67">
        <v>41903</v>
      </c>
      <c r="C550" s="66">
        <v>2646</v>
      </c>
      <c r="D550" s="186">
        <f t="shared" si="20"/>
        <v>7.0561579543615513E-2</v>
      </c>
      <c r="E550" s="186">
        <v>-1.0382255781028788E-3</v>
      </c>
      <c r="G550">
        <v>539</v>
      </c>
      <c r="H550" s="186">
        <f t="shared" ca="1" si="21"/>
        <v>-6.7868858385816853E-3</v>
      </c>
    </row>
    <row r="551" spans="2:8" x14ac:dyDescent="0.25">
      <c r="B551" s="67">
        <v>41847</v>
      </c>
      <c r="C551" s="66">
        <v>2471.6</v>
      </c>
      <c r="D551" s="186">
        <f t="shared" si="20"/>
        <v>-0.68831692907179831</v>
      </c>
      <c r="E551" s="186">
        <v>-1.1921359439091036E-3</v>
      </c>
      <c r="G551">
        <v>540</v>
      </c>
      <c r="H551" s="186">
        <f t="shared" ca="1" si="21"/>
        <v>-1.4165573076394676E-2</v>
      </c>
    </row>
    <row r="552" spans="2:8" x14ac:dyDescent="0.25">
      <c r="B552" s="67">
        <v>44437</v>
      </c>
      <c r="C552" s="66">
        <v>7929.85</v>
      </c>
      <c r="D552" s="186">
        <f t="shared" si="20"/>
        <v>7.6292507753414229</v>
      </c>
      <c r="E552" s="186">
        <v>-1.2343113361419297E-3</v>
      </c>
      <c r="G552">
        <v>541</v>
      </c>
      <c r="H552" s="186">
        <f t="shared" ca="1" si="21"/>
        <v>2.3268320194724804E-2</v>
      </c>
    </row>
    <row r="553" spans="2:8" x14ac:dyDescent="0.25">
      <c r="B553" s="67">
        <v>40412</v>
      </c>
      <c r="C553">
        <v>918.95</v>
      </c>
      <c r="D553" s="186">
        <f t="shared" si="20"/>
        <v>0.95106157112526546</v>
      </c>
      <c r="E553" s="186">
        <v>-1.3584003477504891E-3</v>
      </c>
      <c r="G553">
        <v>542</v>
      </c>
      <c r="H553" s="186">
        <f t="shared" ca="1" si="21"/>
        <v>8.2275881374947301E-3</v>
      </c>
    </row>
    <row r="554" spans="2:8" x14ac:dyDescent="0.25">
      <c r="B554" s="67">
        <v>39880</v>
      </c>
      <c r="C554">
        <v>471</v>
      </c>
      <c r="D554" s="186">
        <f t="shared" si="20"/>
        <v>-0.78063434399888221</v>
      </c>
      <c r="E554" s="186">
        <v>-1.3781405703381263E-3</v>
      </c>
      <c r="G554">
        <v>543</v>
      </c>
      <c r="H554" s="186">
        <f t="shared" ca="1" si="21"/>
        <v>-5.3796700548859225E-2</v>
      </c>
    </row>
    <row r="555" spans="2:8" x14ac:dyDescent="0.25">
      <c r="B555" s="67">
        <v>41721</v>
      </c>
      <c r="C555" s="66">
        <v>2147.1</v>
      </c>
      <c r="D555" s="186">
        <f t="shared" si="20"/>
        <v>-0.70245082075125254</v>
      </c>
      <c r="E555" s="186">
        <v>-1.4417263510370707E-3</v>
      </c>
      <c r="G555">
        <v>544</v>
      </c>
      <c r="H555" s="186">
        <f t="shared" ca="1" si="21"/>
        <v>1.4357158912510833E-2</v>
      </c>
    </row>
    <row r="556" spans="2:8" x14ac:dyDescent="0.25">
      <c r="B556" s="67">
        <v>44983</v>
      </c>
      <c r="C556" s="66">
        <v>7215.95</v>
      </c>
      <c r="D556" s="186">
        <f t="shared" si="20"/>
        <v>0.80207279765249417</v>
      </c>
      <c r="E556" s="186">
        <v>-1.4460865714601763E-3</v>
      </c>
      <c r="G556">
        <v>545</v>
      </c>
      <c r="H556" s="186">
        <f t="shared" ca="1" si="21"/>
        <v>-2.4217776197357394E-2</v>
      </c>
    </row>
    <row r="557" spans="2:8" x14ac:dyDescent="0.25">
      <c r="B557" s="67">
        <v>44045</v>
      </c>
      <c r="C557" s="66">
        <v>4004.25</v>
      </c>
      <c r="D557" s="186">
        <f t="shared" si="20"/>
        <v>0.98244919177166634</v>
      </c>
      <c r="E557" s="186">
        <v>-1.458816488366851E-3</v>
      </c>
      <c r="G557">
        <v>546</v>
      </c>
      <c r="H557" s="186">
        <f t="shared" ca="1" si="21"/>
        <v>-2.6982329569115653E-2</v>
      </c>
    </row>
    <row r="558" spans="2:8" x14ac:dyDescent="0.25">
      <c r="B558" s="67">
        <v>41210</v>
      </c>
      <c r="C558" s="66">
        <v>2019.85</v>
      </c>
      <c r="D558" s="186">
        <f t="shared" si="20"/>
        <v>-0.45144820281628945</v>
      </c>
      <c r="E558" s="186">
        <v>-1.5077364180138325E-3</v>
      </c>
      <c r="G558">
        <v>547</v>
      </c>
      <c r="H558" s="186">
        <f t="shared" ca="1" si="21"/>
        <v>-4.1899727644150869E-2</v>
      </c>
    </row>
    <row r="559" spans="2:8" x14ac:dyDescent="0.25">
      <c r="B559" s="67">
        <v>43240</v>
      </c>
      <c r="C559" s="66">
        <v>3682.15</v>
      </c>
      <c r="D559" s="186">
        <f t="shared" si="20"/>
        <v>0.15122950178992958</v>
      </c>
      <c r="E559" s="186">
        <v>-1.6268318804820844E-3</v>
      </c>
      <c r="G559">
        <v>548</v>
      </c>
      <c r="H559" s="186">
        <f t="shared" ca="1" si="21"/>
        <v>-3.8542004365485776E-3</v>
      </c>
    </row>
    <row r="560" spans="2:8" x14ac:dyDescent="0.25">
      <c r="B560" s="67">
        <v>42449</v>
      </c>
      <c r="C560" s="66">
        <v>3198.45</v>
      </c>
      <c r="D560" s="186">
        <f t="shared" si="20"/>
        <v>0.62535254211449043</v>
      </c>
      <c r="E560" s="186">
        <v>-1.6387302181852235E-3</v>
      </c>
      <c r="G560">
        <v>549</v>
      </c>
      <c r="H560" s="186">
        <f t="shared" ca="1" si="21"/>
        <v>3.499802355655589E-3</v>
      </c>
    </row>
    <row r="561" spans="2:8" x14ac:dyDescent="0.25">
      <c r="B561" s="67">
        <v>41175</v>
      </c>
      <c r="C561" s="66">
        <v>1967.85</v>
      </c>
      <c r="D561" s="186">
        <f t="shared" si="20"/>
        <v>-0.25503965474815932</v>
      </c>
      <c r="E561" s="186">
        <v>-1.6488255288924967E-3</v>
      </c>
      <c r="G561">
        <v>550</v>
      </c>
      <c r="H561" s="186">
        <f t="shared" ca="1" si="21"/>
        <v>-0.10652366052408029</v>
      </c>
    </row>
    <row r="562" spans="2:8" x14ac:dyDescent="0.25">
      <c r="B562" s="67">
        <v>41896</v>
      </c>
      <c r="C562" s="66">
        <v>2641.55</v>
      </c>
      <c r="D562" s="186">
        <f t="shared" si="20"/>
        <v>6.3345828127169241</v>
      </c>
      <c r="E562" s="186">
        <v>-1.6817838246408988E-3</v>
      </c>
      <c r="G562">
        <v>551</v>
      </c>
      <c r="H562" s="186">
        <f t="shared" ca="1" si="21"/>
        <v>1.6139787628107676E-2</v>
      </c>
    </row>
    <row r="563" spans="2:8" x14ac:dyDescent="0.25">
      <c r="B563" s="67">
        <v>39796</v>
      </c>
      <c r="C563">
        <v>360.15</v>
      </c>
      <c r="D563" s="186">
        <f t="shared" si="20"/>
        <v>-0.96913326305504854</v>
      </c>
      <c r="E563" s="186">
        <v>-1.8015521064302497E-3</v>
      </c>
      <c r="G563">
        <v>552</v>
      </c>
      <c r="H563" s="186">
        <f t="shared" ca="1" si="21"/>
        <v>9.765238086204114E-3</v>
      </c>
    </row>
    <row r="564" spans="2:8" x14ac:dyDescent="0.25">
      <c r="B564" s="67">
        <v>45466</v>
      </c>
      <c r="C564" s="66">
        <v>11667.9</v>
      </c>
      <c r="D564" s="186">
        <f t="shared" si="20"/>
        <v>15.870879120879119</v>
      </c>
      <c r="E564" s="186">
        <v>-1.9033117624666922E-3</v>
      </c>
      <c r="G564">
        <v>553</v>
      </c>
      <c r="H564" s="186">
        <f t="shared" ca="1" si="21"/>
        <v>4.1084299480134964E-2</v>
      </c>
    </row>
    <row r="565" spans="2:8" x14ac:dyDescent="0.25">
      <c r="B565" s="67">
        <v>39572</v>
      </c>
      <c r="C565">
        <v>691.6</v>
      </c>
      <c r="D565" s="186">
        <f t="shared" si="20"/>
        <v>-0.73357987595824192</v>
      </c>
      <c r="E565" s="186">
        <v>-1.9481925102821599E-3</v>
      </c>
      <c r="G565">
        <v>554</v>
      </c>
      <c r="H565" s="186">
        <f t="shared" ca="1" si="21"/>
        <v>3.1282952074318977E-3</v>
      </c>
    </row>
    <row r="566" spans="2:8" x14ac:dyDescent="0.25">
      <c r="B566" s="67">
        <v>41812</v>
      </c>
      <c r="C566" s="66">
        <v>2595.9</v>
      </c>
      <c r="D566" s="186">
        <f t="shared" si="20"/>
        <v>-0.6142822118706398</v>
      </c>
      <c r="E566" s="186">
        <v>-1.960784313725455E-3</v>
      </c>
      <c r="G566">
        <v>555</v>
      </c>
      <c r="H566" s="186">
        <f t="shared" ca="1" si="21"/>
        <v>-2.7708914427605449E-2</v>
      </c>
    </row>
    <row r="567" spans="2:8" x14ac:dyDescent="0.25">
      <c r="B567" s="67">
        <v>44661</v>
      </c>
      <c r="C567" s="66">
        <v>6730.05</v>
      </c>
      <c r="D567" s="186">
        <f t="shared" si="20"/>
        <v>-0.432015359945987</v>
      </c>
      <c r="E567" s="186">
        <v>-2.0833024421346336E-3</v>
      </c>
      <c r="G567">
        <v>556</v>
      </c>
      <c r="H567" s="186">
        <f t="shared" ca="1" si="21"/>
        <v>1.4652635599320538E-2</v>
      </c>
    </row>
    <row r="568" spans="2:8" x14ac:dyDescent="0.25">
      <c r="B568" s="67">
        <v>45963</v>
      </c>
      <c r="C568" s="66">
        <v>11849</v>
      </c>
      <c r="D568" s="186">
        <f t="shared" si="20"/>
        <v>1.6955275490240682</v>
      </c>
      <c r="E568" s="186">
        <v>-2.1054404581438437E-3</v>
      </c>
      <c r="G568">
        <v>557</v>
      </c>
      <c r="H568" s="186">
        <f t="shared" ca="1" si="21"/>
        <v>5.3828655909865311E-2</v>
      </c>
    </row>
    <row r="569" spans="2:8" x14ac:dyDescent="0.25">
      <c r="B569" s="67">
        <v>43100</v>
      </c>
      <c r="C569" s="66">
        <v>4395.8</v>
      </c>
      <c r="D569" s="186">
        <f t="shared" si="20"/>
        <v>4.0272186642268988</v>
      </c>
      <c r="E569" s="186">
        <v>-2.201793213029127E-3</v>
      </c>
      <c r="G569">
        <v>558</v>
      </c>
      <c r="H569" s="186">
        <f t="shared" ca="1" si="21"/>
        <v>4.1842322362371523E-2</v>
      </c>
    </row>
    <row r="570" spans="2:8" x14ac:dyDescent="0.25">
      <c r="B570" s="67">
        <v>39306</v>
      </c>
      <c r="C570">
        <v>874.4</v>
      </c>
      <c r="D570" s="186">
        <f t="shared" si="20"/>
        <v>-0.87837311522839823</v>
      </c>
      <c r="E570" s="186">
        <v>-2.2251383579620534E-3</v>
      </c>
      <c r="G570">
        <v>559</v>
      </c>
      <c r="H570" s="186">
        <f t="shared" ca="1" si="21"/>
        <v>1.984669199965431E-2</v>
      </c>
    </row>
    <row r="571" spans="2:8" x14ac:dyDescent="0.25">
      <c r="B571" s="67">
        <v>44955</v>
      </c>
      <c r="C571" s="66">
        <v>7189.2</v>
      </c>
      <c r="D571" s="186">
        <f t="shared" si="20"/>
        <v>0.81804847825812077</v>
      </c>
      <c r="E571" s="186">
        <v>-2.3383129453723416E-3</v>
      </c>
      <c r="G571">
        <v>560</v>
      </c>
      <c r="H571" s="186">
        <f t="shared" ca="1" si="21"/>
        <v>3.968390014289358E-2</v>
      </c>
    </row>
    <row r="572" spans="2:8" x14ac:dyDescent="0.25">
      <c r="B572" s="67">
        <v>43282</v>
      </c>
      <c r="C572" s="66">
        <v>3954.35</v>
      </c>
      <c r="D572" s="186">
        <f t="shared" si="20"/>
        <v>-0.66820355764389994</v>
      </c>
      <c r="E572" s="186">
        <v>-2.3714916430148448E-3</v>
      </c>
      <c r="G572">
        <v>561</v>
      </c>
      <c r="H572" s="186">
        <f t="shared" ca="1" si="21"/>
        <v>7.7810540008427208E-3</v>
      </c>
    </row>
    <row r="573" spans="2:8" x14ac:dyDescent="0.25">
      <c r="B573" s="67">
        <v>45949</v>
      </c>
      <c r="C573" s="66">
        <v>11918</v>
      </c>
      <c r="D573" s="186">
        <f t="shared" si="20"/>
        <v>1.9990311906289713</v>
      </c>
      <c r="E573" s="186">
        <v>-2.427387628693396E-3</v>
      </c>
      <c r="G573">
        <v>562</v>
      </c>
      <c r="H573" s="186">
        <f t="shared" ca="1" si="21"/>
        <v>-4.2180533158686882E-3</v>
      </c>
    </row>
    <row r="574" spans="2:8" x14ac:dyDescent="0.25">
      <c r="B574" s="67">
        <v>42813</v>
      </c>
      <c r="C574" s="66">
        <v>3973.95</v>
      </c>
      <c r="D574" s="186">
        <f t="shared" si="20"/>
        <v>3.2730645161290322</v>
      </c>
      <c r="E574" s="186">
        <v>-2.7103331451157993E-3</v>
      </c>
      <c r="G574">
        <v>563</v>
      </c>
      <c r="H574" s="186">
        <f t="shared" ca="1" si="21"/>
        <v>-3.6559866818119285E-3</v>
      </c>
    </row>
    <row r="575" spans="2:8" x14ac:dyDescent="0.25">
      <c r="B575" s="67">
        <v>40202</v>
      </c>
      <c r="C575">
        <v>930</v>
      </c>
      <c r="D575" s="186">
        <f t="shared" si="20"/>
        <v>-0.31860644026816132</v>
      </c>
      <c r="E575" s="186">
        <v>-2.7344378317516E-3</v>
      </c>
      <c r="G575">
        <v>564</v>
      </c>
      <c r="H575" s="186">
        <f t="shared" ca="1" si="21"/>
        <v>-1.94240636287252E-3</v>
      </c>
    </row>
    <row r="576" spans="2:8" x14ac:dyDescent="0.25">
      <c r="B576" s="67">
        <v>41028</v>
      </c>
      <c r="C576" s="66">
        <v>1364.85</v>
      </c>
      <c r="D576" s="186">
        <f t="shared" si="20"/>
        <v>1.4007915567282321</v>
      </c>
      <c r="E576" s="186">
        <v>-2.8128881420326855E-3</v>
      </c>
      <c r="G576">
        <v>565</v>
      </c>
      <c r="H576" s="186">
        <f t="shared" ca="1" si="21"/>
        <v>-5.68799567629205E-2</v>
      </c>
    </row>
    <row r="577" spans="2:8" x14ac:dyDescent="0.25">
      <c r="B577" s="67">
        <v>39922</v>
      </c>
      <c r="C577">
        <v>568.5</v>
      </c>
      <c r="D577" s="186">
        <f t="shared" si="20"/>
        <v>-0.86312089182096163</v>
      </c>
      <c r="E577" s="186">
        <v>-2.9814100315679504E-3</v>
      </c>
      <c r="G577">
        <v>566</v>
      </c>
      <c r="H577" s="186">
        <f t="shared" ca="1" si="21"/>
        <v>-4.4164979328544754E-2</v>
      </c>
    </row>
    <row r="578" spans="2:8" x14ac:dyDescent="0.25">
      <c r="B578" s="67">
        <v>43135</v>
      </c>
      <c r="C578" s="66">
        <v>4153.3</v>
      </c>
      <c r="D578" s="186">
        <f t="shared" si="20"/>
        <v>13.088534599728629</v>
      </c>
      <c r="E578" s="186">
        <v>-3.1322380500918502E-3</v>
      </c>
      <c r="G578">
        <v>567</v>
      </c>
      <c r="H578" s="186">
        <f t="shared" ca="1" si="21"/>
        <v>-1.7237679447891827E-2</v>
      </c>
    </row>
    <row r="579" spans="2:8" x14ac:dyDescent="0.25">
      <c r="B579" s="67">
        <v>38312</v>
      </c>
      <c r="C579">
        <v>294.8</v>
      </c>
      <c r="D579" s="186">
        <f t="shared" si="20"/>
        <v>-0.71117860291956503</v>
      </c>
      <c r="E579" s="186">
        <v>-3.2121724429416353E-3</v>
      </c>
      <c r="G579">
        <v>568</v>
      </c>
      <c r="H579" s="186">
        <f t="shared" ca="1" si="21"/>
        <v>4.3879400714804687E-2</v>
      </c>
    </row>
    <row r="580" spans="2:8" x14ac:dyDescent="0.25">
      <c r="B580" s="67">
        <v>40552</v>
      </c>
      <c r="C580" s="66">
        <v>1020.7</v>
      </c>
      <c r="D580" s="186">
        <f t="shared" si="20"/>
        <v>-0.75177227349554354</v>
      </c>
      <c r="E580" s="186">
        <v>-3.2226562499999556E-3</v>
      </c>
      <c r="G580">
        <v>569</v>
      </c>
      <c r="H580" s="186">
        <f t="shared" ca="1" si="21"/>
        <v>6.7396170594162183E-3</v>
      </c>
    </row>
    <row r="581" spans="2:8" x14ac:dyDescent="0.25">
      <c r="B581" s="67">
        <v>42890</v>
      </c>
      <c r="C581" s="66">
        <v>4111.95</v>
      </c>
      <c r="D581" s="186">
        <f t="shared" si="20"/>
        <v>-0.4091219347468405</v>
      </c>
      <c r="E581" s="186">
        <v>-3.2361282815796095E-3</v>
      </c>
      <c r="G581">
        <v>570</v>
      </c>
      <c r="H581" s="186">
        <f t="shared" ca="1" si="21"/>
        <v>4.8697220871764979E-2</v>
      </c>
    </row>
    <row r="582" spans="2:8" x14ac:dyDescent="0.25">
      <c r="B582" s="67">
        <v>44920</v>
      </c>
      <c r="C582" s="66">
        <v>6959.05</v>
      </c>
      <c r="D582" s="186">
        <f t="shared" si="20"/>
        <v>0.77703582645999858</v>
      </c>
      <c r="E582" s="186">
        <v>-3.3155738878862875E-3</v>
      </c>
      <c r="G582">
        <v>571</v>
      </c>
      <c r="H582" s="186">
        <f t="shared" ca="1" si="21"/>
        <v>2.3328475828632629E-2</v>
      </c>
    </row>
    <row r="583" spans="2:8" x14ac:dyDescent="0.25">
      <c r="B583" s="67">
        <v>43534</v>
      </c>
      <c r="C583" s="66">
        <v>3916.1</v>
      </c>
      <c r="D583" s="186">
        <f t="shared" si="20"/>
        <v>-0.67670271609015109</v>
      </c>
      <c r="E583" s="186">
        <v>-3.4735034035244202E-3</v>
      </c>
      <c r="G583">
        <v>572</v>
      </c>
      <c r="H583" s="186">
        <f t="shared" ca="1" si="21"/>
        <v>-7.5125694582041366E-2</v>
      </c>
    </row>
    <row r="584" spans="2:8" x14ac:dyDescent="0.25">
      <c r="B584" s="67">
        <v>45865</v>
      </c>
      <c r="C584" s="66">
        <v>12113</v>
      </c>
      <c r="D584" s="186">
        <f t="shared" si="20"/>
        <v>3.3056962587754377</v>
      </c>
      <c r="E584" s="186">
        <v>-3.6193139754873735E-3</v>
      </c>
      <c r="G584">
        <v>573</v>
      </c>
      <c r="H584" s="186">
        <f t="shared" ca="1" si="21"/>
        <v>1.8768802347339141E-2</v>
      </c>
    </row>
    <row r="585" spans="2:8" x14ac:dyDescent="0.25">
      <c r="B585" s="67">
        <v>42358</v>
      </c>
      <c r="C585" s="66">
        <v>2813.25</v>
      </c>
      <c r="D585" s="186">
        <f t="shared" si="20"/>
        <v>-0.74904103479036577</v>
      </c>
      <c r="E585" s="186">
        <v>-3.806657223796034E-3</v>
      </c>
      <c r="G585">
        <v>574</v>
      </c>
      <c r="H585" s="186">
        <f t="shared" ca="1" si="21"/>
        <v>-5.0356905704779159E-2</v>
      </c>
    </row>
    <row r="586" spans="2:8" x14ac:dyDescent="0.25">
      <c r="B586" s="67">
        <v>45802</v>
      </c>
      <c r="C586" s="66">
        <v>11210</v>
      </c>
      <c r="D586" s="186">
        <f t="shared" si="20"/>
        <v>4.8712617189545915</v>
      </c>
      <c r="E586" s="186">
        <v>-3.8212032346929708E-3</v>
      </c>
      <c r="G586">
        <v>575</v>
      </c>
      <c r="H586" s="186">
        <f t="shared" ca="1" si="21"/>
        <v>-3.1511003425279377E-2</v>
      </c>
    </row>
    <row r="587" spans="2:8" x14ac:dyDescent="0.25">
      <c r="B587" s="67">
        <v>41287</v>
      </c>
      <c r="C587" s="66">
        <v>1909.3</v>
      </c>
      <c r="D587" s="186">
        <f t="shared" si="20"/>
        <v>1.2564557111623236</v>
      </c>
      <c r="E587" s="186">
        <v>-3.8348159549214181E-3</v>
      </c>
      <c r="G587">
        <v>576</v>
      </c>
      <c r="H587" s="186">
        <f t="shared" ca="1" si="21"/>
        <v>4.0525386465377067E-2</v>
      </c>
    </row>
    <row r="588" spans="2:8" x14ac:dyDescent="0.25">
      <c r="B588" s="67">
        <v>39509</v>
      </c>
      <c r="C588">
        <v>846.15</v>
      </c>
      <c r="D588" s="186">
        <f t="shared" ref="D588:D651" si="22">(C588-C589)/C589</f>
        <v>-0.48123965422107778</v>
      </c>
      <c r="E588" s="186">
        <v>-3.88486667843907E-3</v>
      </c>
      <c r="G588">
        <v>577</v>
      </c>
      <c r="H588" s="186">
        <f t="shared" ca="1" si="21"/>
        <v>-3.76551732292979E-2</v>
      </c>
    </row>
    <row r="589" spans="2:8" x14ac:dyDescent="0.25">
      <c r="B589" s="67">
        <v>41112</v>
      </c>
      <c r="C589" s="66">
        <v>1631.1</v>
      </c>
      <c r="D589" s="186">
        <f t="shared" si="22"/>
        <v>-0.87043450631503694</v>
      </c>
      <c r="E589" s="186">
        <v>-3.9996336213477734E-3</v>
      </c>
      <c r="G589">
        <v>578</v>
      </c>
      <c r="H589" s="186">
        <f t="shared" ref="H589:H652" ca="1" si="23">_xlfn.NORM.INV(RAND(),N$14,N$15)</f>
        <v>3.4495295780140822E-2</v>
      </c>
    </row>
    <row r="590" spans="2:8" x14ac:dyDescent="0.25">
      <c r="B590" s="67">
        <v>45886</v>
      </c>
      <c r="C590" s="66">
        <v>12589</v>
      </c>
      <c r="D590" s="186">
        <f t="shared" si="22"/>
        <v>0.11449489628796791</v>
      </c>
      <c r="E590" s="186">
        <v>-4.0348101265822783E-3</v>
      </c>
      <c r="G590">
        <v>579</v>
      </c>
      <c r="H590" s="186">
        <f t="shared" ca="1" si="23"/>
        <v>2.4170009072158796E-2</v>
      </c>
    </row>
    <row r="591" spans="2:8" x14ac:dyDescent="0.25">
      <c r="B591" s="67">
        <v>45515</v>
      </c>
      <c r="C591" s="66">
        <v>11295.7</v>
      </c>
      <c r="D591" s="186">
        <f t="shared" si="22"/>
        <v>1.9834658355563775</v>
      </c>
      <c r="E591" s="186">
        <v>-4.0646105556435969E-3</v>
      </c>
      <c r="G591">
        <v>580</v>
      </c>
      <c r="H591" s="186">
        <f t="shared" ca="1" si="23"/>
        <v>-7.2072500861770456E-3</v>
      </c>
    </row>
    <row r="592" spans="2:8" x14ac:dyDescent="0.25">
      <c r="B592" s="67">
        <v>42785</v>
      </c>
      <c r="C592" s="66">
        <v>3786.1</v>
      </c>
      <c r="D592" s="186">
        <f t="shared" si="22"/>
        <v>5.6886317463121641</v>
      </c>
      <c r="E592" s="186">
        <v>-4.1165252844085204E-3</v>
      </c>
      <c r="G592">
        <v>581</v>
      </c>
      <c r="H592" s="186">
        <f t="shared" ca="1" si="23"/>
        <v>-4.0518720599919872E-2</v>
      </c>
    </row>
    <row r="593" spans="2:8" x14ac:dyDescent="0.25">
      <c r="B593" s="67">
        <v>39915</v>
      </c>
      <c r="C593">
        <v>566.04999999999995</v>
      </c>
      <c r="D593" s="186">
        <f t="shared" si="22"/>
        <v>-0.92412910316726304</v>
      </c>
      <c r="E593" s="186">
        <v>-4.309586631486448E-3</v>
      </c>
      <c r="G593">
        <v>582</v>
      </c>
      <c r="H593" s="186">
        <f t="shared" ca="1" si="23"/>
        <v>-7.4013531940242211E-2</v>
      </c>
    </row>
    <row r="594" spans="2:8" x14ac:dyDescent="0.25">
      <c r="B594" s="67">
        <v>44416</v>
      </c>
      <c r="C594" s="66">
        <v>7460.7</v>
      </c>
      <c r="D594" s="186">
        <f t="shared" si="22"/>
        <v>22.343867334167708</v>
      </c>
      <c r="E594" s="186">
        <v>-4.3571967144201921E-3</v>
      </c>
      <c r="G594">
        <v>583</v>
      </c>
      <c r="H594" s="186">
        <f t="shared" ca="1" si="23"/>
        <v>3.6636160251532726E-2</v>
      </c>
    </row>
    <row r="595" spans="2:8" x14ac:dyDescent="0.25">
      <c r="B595" s="67">
        <v>38501</v>
      </c>
      <c r="C595">
        <v>319.60000000000002</v>
      </c>
      <c r="D595" s="186">
        <f t="shared" si="22"/>
        <v>-0.7795481979651665</v>
      </c>
      <c r="E595" s="186">
        <v>-4.3613707165108323E-3</v>
      </c>
      <c r="G595">
        <v>584</v>
      </c>
      <c r="H595" s="186">
        <f t="shared" ca="1" si="23"/>
        <v>8.5824993495754228E-3</v>
      </c>
    </row>
    <row r="596" spans="2:8" x14ac:dyDescent="0.25">
      <c r="B596" s="67">
        <v>41070</v>
      </c>
      <c r="C596" s="66">
        <v>1449.75</v>
      </c>
      <c r="D596" s="186">
        <f t="shared" si="22"/>
        <v>0.76637222053000309</v>
      </c>
      <c r="E596" s="186">
        <v>-4.395151598393085E-3</v>
      </c>
      <c r="G596">
        <v>585</v>
      </c>
      <c r="H596" s="186">
        <f t="shared" ca="1" si="23"/>
        <v>-4.5379911366889264E-2</v>
      </c>
    </row>
    <row r="597" spans="2:8" x14ac:dyDescent="0.25">
      <c r="B597" s="67">
        <v>39215</v>
      </c>
      <c r="C597">
        <v>820.75</v>
      </c>
      <c r="D597" s="186">
        <f t="shared" si="22"/>
        <v>-0.87681697771974454</v>
      </c>
      <c r="E597" s="186">
        <v>-4.4274623968946838E-3</v>
      </c>
      <c r="G597">
        <v>586</v>
      </c>
      <c r="H597" s="186">
        <f t="shared" ca="1" si="23"/>
        <v>-4.6806971422868285E-2</v>
      </c>
    </row>
    <row r="598" spans="2:8" x14ac:dyDescent="0.25">
      <c r="B598" s="67">
        <v>44353</v>
      </c>
      <c r="C598" s="66">
        <v>6662.85</v>
      </c>
      <c r="D598" s="186">
        <f t="shared" si="22"/>
        <v>7.5295397810919811</v>
      </c>
      <c r="E598" s="186">
        <v>-4.6385515170527308E-3</v>
      </c>
      <c r="G598">
        <v>587</v>
      </c>
      <c r="H598" s="186">
        <f t="shared" ca="1" si="23"/>
        <v>3.431151867077234E-2</v>
      </c>
    </row>
    <row r="599" spans="2:8" x14ac:dyDescent="0.25">
      <c r="B599" s="67">
        <v>39523</v>
      </c>
      <c r="C599">
        <v>781.15</v>
      </c>
      <c r="D599" s="186">
        <f t="shared" si="22"/>
        <v>-0.21763733787370429</v>
      </c>
      <c r="E599" s="186">
        <v>-4.6508664627930392E-3</v>
      </c>
      <c r="G599">
        <v>588</v>
      </c>
      <c r="H599" s="186">
        <f t="shared" ca="1" si="23"/>
        <v>3.8384785365465995E-2</v>
      </c>
    </row>
    <row r="600" spans="2:8" x14ac:dyDescent="0.25">
      <c r="B600" s="67">
        <v>40734</v>
      </c>
      <c r="C600">
        <v>998.45</v>
      </c>
      <c r="D600" s="186">
        <f t="shared" si="22"/>
        <v>-7.6529344531132849E-3</v>
      </c>
      <c r="E600" s="186">
        <v>-4.8340476427787393E-3</v>
      </c>
      <c r="G600">
        <v>589</v>
      </c>
      <c r="H600" s="186">
        <f t="shared" ca="1" si="23"/>
        <v>-4.2172185269072904E-2</v>
      </c>
    </row>
    <row r="601" spans="2:8" x14ac:dyDescent="0.25">
      <c r="B601" s="67">
        <v>39369</v>
      </c>
      <c r="C601" s="66">
        <v>1006.15</v>
      </c>
      <c r="D601" s="186">
        <f t="shared" si="22"/>
        <v>-3.5652389205249051E-3</v>
      </c>
      <c r="E601" s="186">
        <v>-4.8956581940461331E-3</v>
      </c>
      <c r="G601">
        <v>590</v>
      </c>
      <c r="H601" s="186">
        <f t="shared" ca="1" si="23"/>
        <v>-1.4214710875284751E-2</v>
      </c>
    </row>
    <row r="602" spans="2:8" x14ac:dyDescent="0.25">
      <c r="B602" s="67">
        <v>40601</v>
      </c>
      <c r="C602" s="66">
        <v>1009.75</v>
      </c>
      <c r="D602" s="186">
        <f t="shared" si="22"/>
        <v>-0.77471497735436512</v>
      </c>
      <c r="E602" s="186">
        <v>-4.9273220004927322E-3</v>
      </c>
      <c r="G602">
        <v>591</v>
      </c>
      <c r="H602" s="186">
        <f t="shared" ca="1" si="23"/>
        <v>-4.6941205295350272E-2</v>
      </c>
    </row>
    <row r="603" spans="2:8" x14ac:dyDescent="0.25">
      <c r="B603" s="67">
        <v>44115</v>
      </c>
      <c r="C603" s="66">
        <v>4482.1000000000004</v>
      </c>
      <c r="D603" s="186">
        <f t="shared" si="22"/>
        <v>8.77024523160763</v>
      </c>
      <c r="E603" s="186">
        <v>-4.9838496631183617E-3</v>
      </c>
      <c r="G603">
        <v>592</v>
      </c>
      <c r="H603" s="186">
        <f t="shared" ca="1" si="23"/>
        <v>-3.1055691224763607E-2</v>
      </c>
    </row>
    <row r="604" spans="2:8" x14ac:dyDescent="0.25">
      <c r="B604" s="67">
        <v>38606</v>
      </c>
      <c r="C604">
        <v>458.75</v>
      </c>
      <c r="D604" s="186">
        <f t="shared" si="22"/>
        <v>-0.56125669472073447</v>
      </c>
      <c r="E604" s="186">
        <v>-4.9886129487040701E-3</v>
      </c>
      <c r="G604">
        <v>593</v>
      </c>
      <c r="H604" s="186">
        <f t="shared" ca="1" si="23"/>
        <v>3.8625804409400347E-2</v>
      </c>
    </row>
    <row r="605" spans="2:8" x14ac:dyDescent="0.25">
      <c r="B605" s="67">
        <v>40664</v>
      </c>
      <c r="C605" s="66">
        <v>1045.5999999999999</v>
      </c>
      <c r="D605" s="186">
        <f t="shared" si="22"/>
        <v>-0.8739443623979023</v>
      </c>
      <c r="E605" s="186">
        <v>-4.9959556549459966E-3</v>
      </c>
      <c r="G605">
        <v>594</v>
      </c>
      <c r="H605" s="186">
        <f t="shared" ca="1" si="23"/>
        <v>-5.0577597338093611E-2</v>
      </c>
    </row>
    <row r="606" spans="2:8" x14ac:dyDescent="0.25">
      <c r="B606" s="67">
        <v>45102</v>
      </c>
      <c r="C606" s="66">
        <v>8294.75</v>
      </c>
      <c r="D606" s="186">
        <f t="shared" si="22"/>
        <v>-0.13891902272927822</v>
      </c>
      <c r="E606" s="186">
        <v>-5.0021292036779115E-3</v>
      </c>
      <c r="G606">
        <v>595</v>
      </c>
      <c r="H606" s="186">
        <f t="shared" ca="1" si="23"/>
        <v>2.9766839056415622E-2</v>
      </c>
    </row>
    <row r="607" spans="2:8" x14ac:dyDescent="0.25">
      <c r="B607" s="67">
        <v>45361</v>
      </c>
      <c r="C607" s="66">
        <v>9632.9500000000007</v>
      </c>
      <c r="D607" s="186">
        <f t="shared" si="22"/>
        <v>11.244756578111096</v>
      </c>
      <c r="E607" s="186">
        <v>-5.0404110827070797E-3</v>
      </c>
      <c r="G607">
        <v>596</v>
      </c>
      <c r="H607" s="186">
        <f t="shared" ca="1" si="23"/>
        <v>-1.342554948747857E-2</v>
      </c>
    </row>
    <row r="608" spans="2:8" x14ac:dyDescent="0.25">
      <c r="B608" s="67">
        <v>39152</v>
      </c>
      <c r="C608">
        <v>786.7</v>
      </c>
      <c r="D608" s="186">
        <f t="shared" si="22"/>
        <v>-0.88148806519888823</v>
      </c>
      <c r="E608" s="186">
        <v>-5.0588086505627926E-3</v>
      </c>
      <c r="G608">
        <v>597</v>
      </c>
      <c r="H608" s="186">
        <f t="shared" ca="1" si="23"/>
        <v>-2.2953437882287667E-2</v>
      </c>
    </row>
    <row r="609" spans="2:8" x14ac:dyDescent="0.25">
      <c r="B609" s="67">
        <v>44262</v>
      </c>
      <c r="C609" s="66">
        <v>6638.15</v>
      </c>
      <c r="D609" s="186">
        <f t="shared" si="22"/>
        <v>3.5074692741223599</v>
      </c>
      <c r="E609" s="186">
        <v>-5.0734412470024529E-3</v>
      </c>
      <c r="G609">
        <v>598</v>
      </c>
      <c r="H609" s="186">
        <f t="shared" ca="1" si="23"/>
        <v>6.5701828012734664E-2</v>
      </c>
    </row>
    <row r="610" spans="2:8" x14ac:dyDescent="0.25">
      <c r="B610" s="67">
        <v>40972</v>
      </c>
      <c r="C610" s="66">
        <v>1472.7</v>
      </c>
      <c r="D610" s="186">
        <f t="shared" si="22"/>
        <v>-0.63037421880882472</v>
      </c>
      <c r="E610" s="186">
        <v>-5.1340944403160905E-3</v>
      </c>
      <c r="G610">
        <v>599</v>
      </c>
      <c r="H610" s="186">
        <f t="shared" ca="1" si="23"/>
        <v>5.789913767246882E-2</v>
      </c>
    </row>
    <row r="611" spans="2:8" x14ac:dyDescent="0.25">
      <c r="B611" s="67">
        <v>43450</v>
      </c>
      <c r="C611" s="66">
        <v>3984.3</v>
      </c>
      <c r="D611" s="186">
        <f t="shared" si="22"/>
        <v>0.56342090290176405</v>
      </c>
      <c r="E611" s="186">
        <v>-5.156119302363235E-3</v>
      </c>
      <c r="G611">
        <v>600</v>
      </c>
      <c r="H611" s="186">
        <f t="shared" ca="1" si="23"/>
        <v>2.3393094095301922E-2</v>
      </c>
    </row>
    <row r="612" spans="2:8" x14ac:dyDescent="0.25">
      <c r="B612" s="67">
        <v>41938</v>
      </c>
      <c r="C612" s="66">
        <v>2548.4499999999998</v>
      </c>
      <c r="D612" s="186">
        <f t="shared" si="22"/>
        <v>-0.66822673245414188</v>
      </c>
      <c r="E612" s="186">
        <v>-5.2500097583825572E-3</v>
      </c>
      <c r="G612">
        <v>601</v>
      </c>
      <c r="H612" s="186">
        <f t="shared" ca="1" si="23"/>
        <v>-5.6080392645866159E-2</v>
      </c>
    </row>
    <row r="613" spans="2:8" x14ac:dyDescent="0.25">
      <c r="B613" s="67">
        <v>45060</v>
      </c>
      <c r="C613" s="66">
        <v>7681.3</v>
      </c>
      <c r="D613" s="186">
        <f t="shared" si="22"/>
        <v>25.423460612315104</v>
      </c>
      <c r="E613" s="186">
        <v>-5.2513322584614025E-3</v>
      </c>
      <c r="G613">
        <v>602</v>
      </c>
      <c r="H613" s="186">
        <f t="shared" ca="1" si="23"/>
        <v>-2.0322933285147667E-3</v>
      </c>
    </row>
    <row r="614" spans="2:8" x14ac:dyDescent="0.25">
      <c r="B614" s="67">
        <v>38270</v>
      </c>
      <c r="C614">
        <v>290.7</v>
      </c>
      <c r="D614" s="186">
        <f t="shared" si="22"/>
        <v>-0.67714349178143052</v>
      </c>
      <c r="E614" s="186">
        <v>-5.303678357570612E-3</v>
      </c>
      <c r="G614">
        <v>603</v>
      </c>
      <c r="H614" s="186">
        <f t="shared" ca="1" si="23"/>
        <v>7.260084435341746E-2</v>
      </c>
    </row>
    <row r="615" spans="2:8" x14ac:dyDescent="0.25">
      <c r="B615" s="67">
        <v>39257</v>
      </c>
      <c r="C615">
        <v>900.4</v>
      </c>
      <c r="D615" s="186">
        <f t="shared" si="22"/>
        <v>-0.53347150259067355</v>
      </c>
      <c r="E615" s="186">
        <v>-5.5224210293792798E-3</v>
      </c>
      <c r="G615">
        <v>604</v>
      </c>
      <c r="H615" s="186">
        <f t="shared" ca="1" si="23"/>
        <v>3.6100118514579227E-2</v>
      </c>
    </row>
    <row r="616" spans="2:8" x14ac:dyDescent="0.25">
      <c r="B616" s="67">
        <v>41315</v>
      </c>
      <c r="C616" s="66">
        <v>1930</v>
      </c>
      <c r="D616" s="186">
        <f t="shared" si="22"/>
        <v>4.4884117730698136</v>
      </c>
      <c r="E616" s="186">
        <v>-5.6159513627698958E-3</v>
      </c>
      <c r="G616">
        <v>605</v>
      </c>
      <c r="H616" s="186">
        <f t="shared" ca="1" si="23"/>
        <v>6.1419522442610522E-2</v>
      </c>
    </row>
    <row r="617" spans="2:8" x14ac:dyDescent="0.25">
      <c r="B617" s="67">
        <v>38431</v>
      </c>
      <c r="C617">
        <v>351.65</v>
      </c>
      <c r="D617" s="186">
        <f t="shared" si="22"/>
        <v>-0.90833735191001863</v>
      </c>
      <c r="E617" s="186">
        <v>-5.936395759717379E-3</v>
      </c>
      <c r="G617">
        <v>606</v>
      </c>
      <c r="H617" s="186">
        <f t="shared" ca="1" si="23"/>
        <v>7.6368088610331737E-3</v>
      </c>
    </row>
    <row r="618" spans="2:8" x14ac:dyDescent="0.25">
      <c r="B618" s="67">
        <v>43996</v>
      </c>
      <c r="C618" s="66">
        <v>3836.35</v>
      </c>
      <c r="D618" s="186">
        <f t="shared" si="22"/>
        <v>1.2570083835858215</v>
      </c>
      <c r="E618" s="186">
        <v>-6.2814070351758797E-3</v>
      </c>
      <c r="G618">
        <v>607</v>
      </c>
      <c r="H618" s="186">
        <f t="shared" ca="1" si="23"/>
        <v>1.7718391427342724E-2</v>
      </c>
    </row>
    <row r="619" spans="2:8" x14ac:dyDescent="0.25">
      <c r="B619" s="67">
        <v>41658</v>
      </c>
      <c r="C619" s="66">
        <v>1699.75</v>
      </c>
      <c r="D619" s="186">
        <f t="shared" si="22"/>
        <v>-0.54521739130434788</v>
      </c>
      <c r="E619" s="186">
        <v>-6.4008885251651635E-3</v>
      </c>
      <c r="G619">
        <v>608</v>
      </c>
      <c r="H619" s="186">
        <f t="shared" ca="1" si="23"/>
        <v>4.136109415199278E-2</v>
      </c>
    </row>
    <row r="620" spans="2:8" x14ac:dyDescent="0.25">
      <c r="B620" s="67">
        <v>42764</v>
      </c>
      <c r="C620" s="66">
        <v>3737.5</v>
      </c>
      <c r="D620" s="186">
        <f t="shared" si="22"/>
        <v>0.91715824570402671</v>
      </c>
      <c r="E620" s="186">
        <v>-6.4860841596002259E-3</v>
      </c>
      <c r="G620">
        <v>609</v>
      </c>
      <c r="H620" s="186">
        <f t="shared" ca="1" si="23"/>
        <v>3.8552949770650505E-2</v>
      </c>
    </row>
    <row r="621" spans="2:8" x14ac:dyDescent="0.25">
      <c r="B621" s="67">
        <v>41567</v>
      </c>
      <c r="C621" s="66">
        <v>1949.5</v>
      </c>
      <c r="D621" s="186">
        <f t="shared" si="22"/>
        <v>-0.83363130923071016</v>
      </c>
      <c r="E621" s="186">
        <v>-6.6242038216560509E-3</v>
      </c>
      <c r="G621">
        <v>610</v>
      </c>
      <c r="H621" s="186">
        <f t="shared" ca="1" si="23"/>
        <v>4.8937047923394705E-2</v>
      </c>
    </row>
    <row r="622" spans="2:8" x14ac:dyDescent="0.25">
      <c r="B622" s="67">
        <v>45543</v>
      </c>
      <c r="C622" s="66">
        <v>11717.95</v>
      </c>
      <c r="D622" s="186">
        <f t="shared" si="22"/>
        <v>0.21031321816820314</v>
      </c>
      <c r="E622" s="186">
        <v>-6.8103031792714668E-3</v>
      </c>
      <c r="G622">
        <v>611</v>
      </c>
      <c r="H622" s="186">
        <f t="shared" ca="1" si="23"/>
        <v>-3.816046315948643E-2</v>
      </c>
    </row>
    <row r="623" spans="2:8" x14ac:dyDescent="0.25">
      <c r="B623" s="67">
        <v>45368</v>
      </c>
      <c r="C623" s="66">
        <v>9681.75</v>
      </c>
      <c r="D623" s="186">
        <f t="shared" si="22"/>
        <v>4.0262167423750812</v>
      </c>
      <c r="E623" s="186">
        <v>-6.9134232215115818E-3</v>
      </c>
      <c r="G623">
        <v>612</v>
      </c>
      <c r="H623" s="186">
        <f t="shared" ca="1" si="23"/>
        <v>-2.3331401504895197E-2</v>
      </c>
    </row>
    <row r="624" spans="2:8" x14ac:dyDescent="0.25">
      <c r="B624" s="67">
        <v>41455</v>
      </c>
      <c r="C624" s="66">
        <v>1926.25</v>
      </c>
      <c r="D624" s="186">
        <f t="shared" si="22"/>
        <v>-0.5505401684672282</v>
      </c>
      <c r="E624" s="186">
        <v>-6.9340619683456442E-3</v>
      </c>
      <c r="G624">
        <v>613</v>
      </c>
      <c r="H624" s="186">
        <f t="shared" ca="1" si="23"/>
        <v>7.6054206320218896E-3</v>
      </c>
    </row>
    <row r="625" spans="2:8" x14ac:dyDescent="0.25">
      <c r="B625" s="67">
        <v>43324</v>
      </c>
      <c r="C625" s="66">
        <v>4285.7</v>
      </c>
      <c r="D625" s="186">
        <f t="shared" si="22"/>
        <v>-0.32530974008595587</v>
      </c>
      <c r="E625" s="186">
        <v>-7.0203892493049544E-3</v>
      </c>
      <c r="G625">
        <v>614</v>
      </c>
      <c r="H625" s="186">
        <f t="shared" ca="1" si="23"/>
        <v>-1.6811236336443519E-2</v>
      </c>
    </row>
    <row r="626" spans="2:8" x14ac:dyDescent="0.25">
      <c r="B626" s="67">
        <v>44227</v>
      </c>
      <c r="C626" s="66">
        <v>6352.1</v>
      </c>
      <c r="D626" s="186">
        <f t="shared" si="22"/>
        <v>1.4129076370819167</v>
      </c>
      <c r="E626" s="186">
        <v>-7.0577201141114754E-3</v>
      </c>
      <c r="G626">
        <v>615</v>
      </c>
      <c r="H626" s="186">
        <f t="shared" ca="1" si="23"/>
        <v>-7.1671395584073774E-2</v>
      </c>
    </row>
    <row r="627" spans="2:8" x14ac:dyDescent="0.25">
      <c r="B627" s="67">
        <v>41861</v>
      </c>
      <c r="C627" s="66">
        <v>2632.55</v>
      </c>
      <c r="D627" s="186">
        <f t="shared" si="22"/>
        <v>-0.61899007149680141</v>
      </c>
      <c r="E627" s="186">
        <v>-7.0907273653043647E-3</v>
      </c>
      <c r="G627">
        <v>616</v>
      </c>
      <c r="H627" s="186">
        <f t="shared" ca="1" si="23"/>
        <v>-2.0861127336567014E-2</v>
      </c>
    </row>
    <row r="628" spans="2:8" x14ac:dyDescent="0.25">
      <c r="B628" s="67">
        <v>44913</v>
      </c>
      <c r="C628" s="66">
        <v>6909.4</v>
      </c>
      <c r="D628" s="186">
        <f t="shared" si="22"/>
        <v>-0.43739109193062459</v>
      </c>
      <c r="E628" s="186">
        <v>-7.1345945208039236E-3</v>
      </c>
      <c r="G628">
        <v>617</v>
      </c>
      <c r="H628" s="186">
        <f t="shared" ca="1" si="23"/>
        <v>2.7097697859692054E-2</v>
      </c>
    </row>
    <row r="629" spans="2:8" x14ac:dyDescent="0.25">
      <c r="B629" s="67">
        <v>45935</v>
      </c>
      <c r="C629" s="66">
        <v>12281</v>
      </c>
      <c r="D629" s="186">
        <f t="shared" si="22"/>
        <v>6.3457547028740615</v>
      </c>
      <c r="E629" s="186">
        <v>-7.1948261924009698E-3</v>
      </c>
      <c r="G629">
        <v>618</v>
      </c>
      <c r="H629" s="186">
        <f t="shared" ca="1" si="23"/>
        <v>2.192258827608258E-2</v>
      </c>
    </row>
    <row r="630" spans="2:8" x14ac:dyDescent="0.25">
      <c r="B630" s="67">
        <v>41490</v>
      </c>
      <c r="C630" s="66">
        <v>1671.85</v>
      </c>
      <c r="D630" s="186">
        <f t="shared" si="22"/>
        <v>-0.54669685343600449</v>
      </c>
      <c r="E630" s="186">
        <v>-7.2149643705463722E-3</v>
      </c>
      <c r="G630">
        <v>619</v>
      </c>
      <c r="H630" s="186">
        <f t="shared" ca="1" si="23"/>
        <v>-2.9467955250860232E-2</v>
      </c>
    </row>
    <row r="631" spans="2:8" x14ac:dyDescent="0.25">
      <c r="B631" s="67">
        <v>43247</v>
      </c>
      <c r="C631" s="66">
        <v>3688.15</v>
      </c>
      <c r="D631" s="186">
        <f t="shared" si="22"/>
        <v>-7.9113607990012463E-2</v>
      </c>
      <c r="E631" s="186">
        <v>-7.2675396686540245E-3</v>
      </c>
      <c r="G631">
        <v>620</v>
      </c>
      <c r="H631" s="186">
        <f t="shared" ca="1" si="23"/>
        <v>-2.1860329234263268E-4</v>
      </c>
    </row>
    <row r="632" spans="2:8" x14ac:dyDescent="0.25">
      <c r="B632" s="67">
        <v>43016</v>
      </c>
      <c r="C632" s="66">
        <v>4005</v>
      </c>
      <c r="D632" s="186">
        <f t="shared" si="22"/>
        <v>-6.6194129030753723E-2</v>
      </c>
      <c r="E632" s="186">
        <v>-7.2750257166581756E-3</v>
      </c>
      <c r="G632">
        <v>621</v>
      </c>
      <c r="H632" s="186">
        <f t="shared" ca="1" si="23"/>
        <v>3.1597005517167379E-3</v>
      </c>
    </row>
    <row r="633" spans="2:8" x14ac:dyDescent="0.25">
      <c r="B633" s="67">
        <v>43086</v>
      </c>
      <c r="C633" s="66">
        <v>4288.8999999999996</v>
      </c>
      <c r="D633" s="186">
        <f t="shared" si="22"/>
        <v>1.3056122997527146</v>
      </c>
      <c r="E633" s="186">
        <v>-7.3369439429710514E-3</v>
      </c>
      <c r="G633">
        <v>622</v>
      </c>
      <c r="H633" s="186">
        <f t="shared" ca="1" si="23"/>
        <v>-7.8362959117481215E-3</v>
      </c>
    </row>
    <row r="634" spans="2:8" x14ac:dyDescent="0.25">
      <c r="B634" s="67">
        <v>41427</v>
      </c>
      <c r="C634" s="66">
        <v>1860.2</v>
      </c>
      <c r="D634" s="186">
        <f t="shared" si="22"/>
        <v>-1.3993427329587546E-2</v>
      </c>
      <c r="E634" s="186">
        <v>-7.3639274279615552E-3</v>
      </c>
      <c r="G634">
        <v>623</v>
      </c>
      <c r="H634" s="186">
        <f t="shared" ca="1" si="23"/>
        <v>1.3594217398495388E-2</v>
      </c>
    </row>
    <row r="635" spans="2:8" x14ac:dyDescent="0.25">
      <c r="B635" s="67">
        <v>41329</v>
      </c>
      <c r="C635" s="66">
        <v>1886.6</v>
      </c>
      <c r="D635" s="186">
        <f t="shared" si="22"/>
        <v>-0.51131948401802829</v>
      </c>
      <c r="E635" s="186">
        <v>-7.3922079288665354E-3</v>
      </c>
      <c r="G635">
        <v>624</v>
      </c>
      <c r="H635" s="186">
        <f t="shared" ca="1" si="23"/>
        <v>-1.5234210453768646E-2</v>
      </c>
    </row>
    <row r="636" spans="2:8" x14ac:dyDescent="0.25">
      <c r="B636" s="67">
        <v>44003</v>
      </c>
      <c r="C636" s="66">
        <v>3860.6</v>
      </c>
      <c r="D636" s="186">
        <f t="shared" si="22"/>
        <v>-0.60400650313104209</v>
      </c>
      <c r="E636" s="186">
        <v>-7.4557795146030443E-3</v>
      </c>
      <c r="G636">
        <v>625</v>
      </c>
      <c r="H636" s="186">
        <f t="shared" ca="1" si="23"/>
        <v>2.7537458724358456E-2</v>
      </c>
    </row>
    <row r="637" spans="2:8" x14ac:dyDescent="0.25">
      <c r="B637" s="67">
        <v>45375</v>
      </c>
      <c r="C637" s="66">
        <v>9749.15</v>
      </c>
      <c r="D637" s="186">
        <f t="shared" si="22"/>
        <v>-0.16481553664209436</v>
      </c>
      <c r="E637" s="186">
        <v>-7.5786880573313984E-3</v>
      </c>
      <c r="G637">
        <v>626</v>
      </c>
      <c r="H637" s="186">
        <f t="shared" ca="1" si="23"/>
        <v>-7.298649962373463E-2</v>
      </c>
    </row>
    <row r="638" spans="2:8" x14ac:dyDescent="0.25">
      <c r="B638" s="67">
        <v>45494</v>
      </c>
      <c r="C638" s="66">
        <v>11673.05</v>
      </c>
      <c r="D638" s="186">
        <f t="shared" si="22"/>
        <v>18.904595447182196</v>
      </c>
      <c r="E638" s="186">
        <v>-7.773386034255661E-3</v>
      </c>
      <c r="G638">
        <v>627</v>
      </c>
      <c r="H638" s="186">
        <f t="shared" ca="1" si="23"/>
        <v>-2.4308188002424447E-2</v>
      </c>
    </row>
    <row r="639" spans="2:8" x14ac:dyDescent="0.25">
      <c r="B639" s="67">
        <v>39677</v>
      </c>
      <c r="C639">
        <v>586.45000000000005</v>
      </c>
      <c r="D639" s="186">
        <f t="shared" si="22"/>
        <v>-0.92005589067239213</v>
      </c>
      <c r="E639" s="186">
        <v>-7.7827594958123835E-3</v>
      </c>
      <c r="G639">
        <v>628</v>
      </c>
      <c r="H639" s="186">
        <f t="shared" ca="1" si="23"/>
        <v>-1.3410983525339124E-2</v>
      </c>
    </row>
    <row r="640" spans="2:8" x14ac:dyDescent="0.25">
      <c r="B640" s="67">
        <v>44472</v>
      </c>
      <c r="C640" s="66">
        <v>7335.75</v>
      </c>
      <c r="D640" s="186">
        <f t="shared" si="22"/>
        <v>5.6825324527442493</v>
      </c>
      <c r="E640" s="186">
        <v>-8.0792373740788317E-3</v>
      </c>
      <c r="G640">
        <v>629</v>
      </c>
      <c r="H640" s="186">
        <f t="shared" ca="1" si="23"/>
        <v>-6.3657773670604351E-2</v>
      </c>
    </row>
    <row r="641" spans="2:8" x14ac:dyDescent="0.25">
      <c r="B641" s="67">
        <v>40237</v>
      </c>
      <c r="C641" s="66">
        <v>1097.75</v>
      </c>
      <c r="D641" s="186">
        <f t="shared" si="22"/>
        <v>-0.86592202652856831</v>
      </c>
      <c r="E641" s="186">
        <v>-8.0871058100660028E-3</v>
      </c>
      <c r="G641">
        <v>630</v>
      </c>
      <c r="H641" s="186">
        <f t="shared" ca="1" si="23"/>
        <v>-2.4177586525096533E-2</v>
      </c>
    </row>
    <row r="642" spans="2:8" x14ac:dyDescent="0.25">
      <c r="B642" s="67">
        <v>45186</v>
      </c>
      <c r="C642" s="66">
        <v>8187.4</v>
      </c>
      <c r="D642" s="186">
        <f t="shared" si="22"/>
        <v>3.4172646344753166</v>
      </c>
      <c r="E642" s="186">
        <v>-8.1709540451977598E-3</v>
      </c>
      <c r="G642">
        <v>631</v>
      </c>
      <c r="H642" s="186">
        <f t="shared" ca="1" si="23"/>
        <v>-8.8971842190829639E-2</v>
      </c>
    </row>
    <row r="643" spans="2:8" x14ac:dyDescent="0.25">
      <c r="B643" s="67">
        <v>41350</v>
      </c>
      <c r="C643" s="66">
        <v>1853.5</v>
      </c>
      <c r="D643" s="186">
        <f t="shared" si="22"/>
        <v>1.1244770473952661</v>
      </c>
      <c r="E643" s="186">
        <v>-8.266673800797264E-3</v>
      </c>
      <c r="G643">
        <v>632</v>
      </c>
      <c r="H643" s="186">
        <f t="shared" ca="1" si="23"/>
        <v>4.7148276761607266E-2</v>
      </c>
    </row>
    <row r="644" spans="2:8" x14ac:dyDescent="0.25">
      <c r="B644" s="67">
        <v>39467</v>
      </c>
      <c r="C644">
        <v>872.45</v>
      </c>
      <c r="D644" s="186">
        <f t="shared" si="22"/>
        <v>-0.91201770839636143</v>
      </c>
      <c r="E644" s="186">
        <v>-8.2978118783744864E-3</v>
      </c>
      <c r="G644">
        <v>633</v>
      </c>
      <c r="H644" s="186">
        <f t="shared" ca="1" si="23"/>
        <v>1.645818294164568E-2</v>
      </c>
    </row>
    <row r="645" spans="2:8" x14ac:dyDescent="0.25">
      <c r="B645" s="67">
        <v>45333</v>
      </c>
      <c r="C645" s="66">
        <v>9916.2000000000007</v>
      </c>
      <c r="D645" s="186">
        <f t="shared" si="22"/>
        <v>0.45517246439551262</v>
      </c>
      <c r="E645" s="186">
        <v>-8.469237768600717E-3</v>
      </c>
      <c r="G645">
        <v>634</v>
      </c>
      <c r="H645" s="186">
        <f t="shared" ca="1" si="23"/>
        <v>-3.8728495210420003E-2</v>
      </c>
    </row>
    <row r="646" spans="2:8" x14ac:dyDescent="0.25">
      <c r="B646" s="67">
        <v>44878</v>
      </c>
      <c r="C646" s="66">
        <v>6814.45</v>
      </c>
      <c r="D646" s="186">
        <f t="shared" si="22"/>
        <v>-5.700625484335213E-2</v>
      </c>
      <c r="E646" s="186">
        <v>-8.6630782659296163E-3</v>
      </c>
      <c r="G646">
        <v>635</v>
      </c>
      <c r="H646" s="186">
        <f t="shared" ca="1" si="23"/>
        <v>5.498236728156243E-2</v>
      </c>
    </row>
    <row r="647" spans="2:8" x14ac:dyDescent="0.25">
      <c r="B647" s="67">
        <v>44990</v>
      </c>
      <c r="C647" s="66">
        <v>7226.4</v>
      </c>
      <c r="D647" s="186">
        <f t="shared" si="22"/>
        <v>7.3648570436393106</v>
      </c>
      <c r="E647" s="186">
        <v>-8.7174809155069911E-3</v>
      </c>
      <c r="G647">
        <v>636</v>
      </c>
      <c r="H647" s="186">
        <f t="shared" ca="1" si="23"/>
        <v>4.468396229168857E-2</v>
      </c>
    </row>
    <row r="648" spans="2:8" x14ac:dyDescent="0.25">
      <c r="B648" s="67">
        <v>40384</v>
      </c>
      <c r="C648">
        <v>863.9</v>
      </c>
      <c r="D648" s="186">
        <f t="shared" si="22"/>
        <v>-0.79013215430959083</v>
      </c>
      <c r="E648" s="186">
        <v>-8.7774654351442574E-3</v>
      </c>
      <c r="G648">
        <v>637</v>
      </c>
      <c r="H648" s="186">
        <f t="shared" ca="1" si="23"/>
        <v>-3.1520260384928722E-2</v>
      </c>
    </row>
    <row r="649" spans="2:8" x14ac:dyDescent="0.25">
      <c r="B649" s="67">
        <v>43149</v>
      </c>
      <c r="C649" s="66">
        <v>4116.3999999999996</v>
      </c>
      <c r="D649" s="186">
        <f t="shared" si="22"/>
        <v>3.1250626315262044</v>
      </c>
      <c r="E649" s="186">
        <v>-8.8845014807503783E-3</v>
      </c>
      <c r="G649">
        <v>638</v>
      </c>
      <c r="H649" s="186">
        <f t="shared" ca="1" si="23"/>
        <v>-1.7418037456668103E-2</v>
      </c>
    </row>
    <row r="650" spans="2:8" x14ac:dyDescent="0.25">
      <c r="B650" s="67">
        <v>40566</v>
      </c>
      <c r="C650">
        <v>997.9</v>
      </c>
      <c r="D650" s="186">
        <f t="shared" si="22"/>
        <v>0.2799333034053742</v>
      </c>
      <c r="E650" s="186">
        <v>-8.8891095992452152E-3</v>
      </c>
      <c r="G650">
        <v>639</v>
      </c>
      <c r="H650" s="186">
        <f t="shared" ca="1" si="23"/>
        <v>-1.3104432420342271E-2</v>
      </c>
    </row>
    <row r="651" spans="2:8" x14ac:dyDescent="0.25">
      <c r="B651" s="67">
        <v>39145</v>
      </c>
      <c r="C651">
        <v>779.65</v>
      </c>
      <c r="D651" s="186">
        <f t="shared" si="22"/>
        <v>-0.91049667942852885</v>
      </c>
      <c r="E651" s="186">
        <v>-8.9614846828525076E-3</v>
      </c>
      <c r="G651">
        <v>640</v>
      </c>
      <c r="H651" s="186">
        <f t="shared" ca="1" si="23"/>
        <v>-4.4306149199171974E-2</v>
      </c>
    </row>
    <row r="652" spans="2:8" x14ac:dyDescent="0.25">
      <c r="B652" s="67">
        <v>45235</v>
      </c>
      <c r="C652" s="66">
        <v>8710.85</v>
      </c>
      <c r="D652" s="186">
        <f t="shared" ref="D652:D715" si="24">(C652-C653)/C653</f>
        <v>0.33660419048203599</v>
      </c>
      <c r="E652" s="186">
        <v>-9.1116432239974465E-3</v>
      </c>
      <c r="G652">
        <v>641</v>
      </c>
      <c r="H652" s="186">
        <f t="shared" ca="1" si="23"/>
        <v>7.1880762680361379E-2</v>
      </c>
    </row>
    <row r="653" spans="2:8" x14ac:dyDescent="0.25">
      <c r="B653" s="67">
        <v>44794</v>
      </c>
      <c r="C653" s="66">
        <v>6517.15</v>
      </c>
      <c r="D653" s="186">
        <f t="shared" si="24"/>
        <v>0.59632342134914018</v>
      </c>
      <c r="E653" s="186">
        <v>-9.1752185480806336E-3</v>
      </c>
      <c r="G653">
        <v>642</v>
      </c>
      <c r="H653" s="186">
        <f t="shared" ref="H653:H716" ca="1" si="25">_xlfn.NORM.INV(RAND(),N$14,N$15)</f>
        <v>4.4363403764501125E-2</v>
      </c>
    </row>
    <row r="654" spans="2:8" x14ac:dyDescent="0.25">
      <c r="B654" s="67">
        <v>43807</v>
      </c>
      <c r="C654" s="66">
        <v>4082.6</v>
      </c>
      <c r="D654" s="186">
        <f t="shared" si="24"/>
        <v>0.40050084045144252</v>
      </c>
      <c r="E654" s="186">
        <v>-9.1858898906672596E-3</v>
      </c>
      <c r="G654">
        <v>643</v>
      </c>
      <c r="H654" s="186">
        <f t="shared" ca="1" si="25"/>
        <v>6.6226580877954633E-2</v>
      </c>
    </row>
    <row r="655" spans="2:8" x14ac:dyDescent="0.25">
      <c r="B655" s="67">
        <v>42246</v>
      </c>
      <c r="C655" s="66">
        <v>2915.1</v>
      </c>
      <c r="D655" s="186">
        <f t="shared" si="24"/>
        <v>-0.31348028825773633</v>
      </c>
      <c r="E655" s="186">
        <v>-9.2107946434640438E-3</v>
      </c>
      <c r="G655">
        <v>644</v>
      </c>
      <c r="H655" s="186">
        <f t="shared" ca="1" si="25"/>
        <v>-3.3731302946808782E-2</v>
      </c>
    </row>
    <row r="656" spans="2:8" x14ac:dyDescent="0.25">
      <c r="B656" s="67">
        <v>43317</v>
      </c>
      <c r="C656" s="66">
        <v>4246.2</v>
      </c>
      <c r="D656" s="186">
        <f t="shared" si="24"/>
        <v>-0.36357913669064751</v>
      </c>
      <c r="E656" s="186">
        <v>-9.2166973889912969E-3</v>
      </c>
      <c r="G656">
        <v>645</v>
      </c>
      <c r="H656" s="186">
        <f t="shared" ca="1" si="25"/>
        <v>6.0635932131535841E-3</v>
      </c>
    </row>
    <row r="657" spans="2:8" x14ac:dyDescent="0.25">
      <c r="B657" s="67">
        <v>44269</v>
      </c>
      <c r="C657" s="66">
        <v>6672</v>
      </c>
      <c r="D657" s="186">
        <f t="shared" si="24"/>
        <v>0.50114745983890552</v>
      </c>
      <c r="E657" s="186">
        <v>-9.390891206710961E-3</v>
      </c>
      <c r="G657">
        <v>646</v>
      </c>
      <c r="H657" s="186">
        <f t="shared" ca="1" si="25"/>
        <v>4.6647863407541762E-2</v>
      </c>
    </row>
    <row r="658" spans="2:8" x14ac:dyDescent="0.25">
      <c r="B658" s="67">
        <v>43835</v>
      </c>
      <c r="C658" s="66">
        <v>4444.6000000000004</v>
      </c>
      <c r="D658" s="186">
        <f t="shared" si="24"/>
        <v>-0.41179428813424729</v>
      </c>
      <c r="E658" s="186">
        <v>-9.394327742798159E-3</v>
      </c>
      <c r="G658">
        <v>647</v>
      </c>
      <c r="H658" s="186">
        <f t="shared" ca="1" si="25"/>
        <v>-6.5307286425195597E-3</v>
      </c>
    </row>
    <row r="659" spans="2:8" x14ac:dyDescent="0.25">
      <c r="B659" s="67">
        <v>45039</v>
      </c>
      <c r="C659" s="66">
        <v>7556.2</v>
      </c>
      <c r="D659" s="186">
        <f t="shared" si="24"/>
        <v>8.3874368606830663E-3</v>
      </c>
      <c r="E659" s="186">
        <v>-9.516568791946357E-3</v>
      </c>
      <c r="G659">
        <v>648</v>
      </c>
      <c r="H659" s="186">
        <f t="shared" ca="1" si="25"/>
        <v>-3.5143731693799918E-2</v>
      </c>
    </row>
    <row r="660" spans="2:8" x14ac:dyDescent="0.25">
      <c r="B660" s="67">
        <v>44423</v>
      </c>
      <c r="C660" s="66">
        <v>7493.35</v>
      </c>
      <c r="D660" s="186">
        <f t="shared" si="24"/>
        <v>0.65706924956601542</v>
      </c>
      <c r="E660" s="186">
        <v>-9.5498043777096329E-3</v>
      </c>
      <c r="G660">
        <v>649</v>
      </c>
      <c r="H660" s="186">
        <f t="shared" ca="1" si="25"/>
        <v>-3.633930526528463E-2</v>
      </c>
    </row>
    <row r="661" spans="2:8" x14ac:dyDescent="0.25">
      <c r="B661" s="67">
        <v>43646</v>
      </c>
      <c r="C661" s="66">
        <v>4522.05</v>
      </c>
      <c r="D661" s="186">
        <f t="shared" si="24"/>
        <v>0.6923206466823848</v>
      </c>
      <c r="E661" s="186">
        <v>-9.5929564046125428E-3</v>
      </c>
      <c r="G661">
        <v>650</v>
      </c>
      <c r="H661" s="186">
        <f t="shared" ca="1" si="25"/>
        <v>3.622236895597232E-2</v>
      </c>
    </row>
    <row r="662" spans="2:8" x14ac:dyDescent="0.25">
      <c r="B662" s="67">
        <v>42120</v>
      </c>
      <c r="C662" s="66">
        <v>2672.1</v>
      </c>
      <c r="D662" s="186">
        <f t="shared" si="24"/>
        <v>-0.64973521392617462</v>
      </c>
      <c r="E662" s="186">
        <v>-9.5997034840623018E-3</v>
      </c>
      <c r="G662">
        <v>651</v>
      </c>
      <c r="H662" s="186">
        <f t="shared" ca="1" si="25"/>
        <v>7.4320253703877209E-2</v>
      </c>
    </row>
    <row r="663" spans="2:8" x14ac:dyDescent="0.25">
      <c r="B663" s="67">
        <v>45046</v>
      </c>
      <c r="C663" s="66">
        <v>7628.8</v>
      </c>
      <c r="D663" s="186">
        <f t="shared" si="24"/>
        <v>0.15614154732136093</v>
      </c>
      <c r="E663" s="186">
        <v>-9.6261821769581309E-3</v>
      </c>
      <c r="G663">
        <v>652</v>
      </c>
      <c r="H663" s="186">
        <f t="shared" ca="1" si="25"/>
        <v>1.1544160538209659E-2</v>
      </c>
    </row>
    <row r="664" spans="2:8" x14ac:dyDescent="0.25">
      <c r="B664" s="67">
        <v>44339</v>
      </c>
      <c r="C664" s="66">
        <v>6598.5</v>
      </c>
      <c r="D664" s="186">
        <f t="shared" si="24"/>
        <v>-0.18867077751615341</v>
      </c>
      <c r="E664" s="186">
        <v>-9.8735050943085066E-3</v>
      </c>
      <c r="G664">
        <v>653</v>
      </c>
      <c r="H664" s="186">
        <f t="shared" ca="1" si="25"/>
        <v>-5.978250191341794E-2</v>
      </c>
    </row>
    <row r="665" spans="2:8" x14ac:dyDescent="0.25">
      <c r="B665" s="67">
        <v>45144</v>
      </c>
      <c r="C665" s="66">
        <v>8132.95</v>
      </c>
      <c r="D665" s="186">
        <f t="shared" si="24"/>
        <v>1.0726172273190622</v>
      </c>
      <c r="E665" s="186">
        <v>-9.9697499041370864E-3</v>
      </c>
      <c r="G665">
        <v>654</v>
      </c>
      <c r="H665" s="186">
        <f t="shared" ca="1" si="25"/>
        <v>-3.7511244405447217E-2</v>
      </c>
    </row>
    <row r="666" spans="2:8" x14ac:dyDescent="0.25">
      <c r="B666" s="67">
        <v>42624</v>
      </c>
      <c r="C666" s="66">
        <v>3924</v>
      </c>
      <c r="D666" s="186">
        <f t="shared" si="24"/>
        <v>-4.8646551828639924E-2</v>
      </c>
      <c r="E666" s="186">
        <v>-1.0140759800211851E-2</v>
      </c>
      <c r="G666">
        <v>655</v>
      </c>
      <c r="H666" s="186">
        <f t="shared" ca="1" si="25"/>
        <v>-6.4765554820288597E-3</v>
      </c>
    </row>
    <row r="667" spans="2:8" x14ac:dyDescent="0.25">
      <c r="B667" s="67">
        <v>43303</v>
      </c>
      <c r="C667" s="66">
        <v>4124.6499999999996</v>
      </c>
      <c r="D667" s="186">
        <f t="shared" si="24"/>
        <v>-0.45886003293034122</v>
      </c>
      <c r="E667" s="186">
        <v>-1.0341311259072729E-2</v>
      </c>
      <c r="G667">
        <v>656</v>
      </c>
      <c r="H667" s="186">
        <f t="shared" ca="1" si="25"/>
        <v>-1.9916157881700588E-2</v>
      </c>
    </row>
    <row r="668" spans="2:8" x14ac:dyDescent="0.25">
      <c r="B668" s="67">
        <v>45011</v>
      </c>
      <c r="C668" s="66">
        <v>7622.15</v>
      </c>
      <c r="D668" s="186">
        <f t="shared" si="24"/>
        <v>3.3900071994240459</v>
      </c>
      <c r="E668" s="186">
        <v>-1.0348163103669991E-2</v>
      </c>
      <c r="G668">
        <v>657</v>
      </c>
      <c r="H668" s="186">
        <f t="shared" ca="1" si="25"/>
        <v>4.5749354131979281E-2</v>
      </c>
    </row>
    <row r="669" spans="2:8" x14ac:dyDescent="0.25">
      <c r="B669" s="67">
        <v>41154</v>
      </c>
      <c r="C669" s="66">
        <v>1736.25</v>
      </c>
      <c r="D669" s="186">
        <f t="shared" si="24"/>
        <v>-0.30137813097273913</v>
      </c>
      <c r="E669" s="186">
        <v>-1.0373621362820282E-2</v>
      </c>
      <c r="G669">
        <v>658</v>
      </c>
      <c r="H669" s="186">
        <f t="shared" ca="1" si="25"/>
        <v>-5.7628052545247124E-2</v>
      </c>
    </row>
    <row r="670" spans="2:8" x14ac:dyDescent="0.25">
      <c r="B670" s="67">
        <v>41973</v>
      </c>
      <c r="C670" s="66">
        <v>2485.25</v>
      </c>
      <c r="D670" s="186">
        <f t="shared" si="24"/>
        <v>6.6340039932422048</v>
      </c>
      <c r="E670" s="186">
        <v>-1.0451921162651801E-2</v>
      </c>
      <c r="G670">
        <v>659</v>
      </c>
      <c r="H670" s="186">
        <f t="shared" ca="1" si="25"/>
        <v>-1.47916061782553E-2</v>
      </c>
    </row>
    <row r="671" spans="2:8" x14ac:dyDescent="0.25">
      <c r="B671" s="67">
        <v>38487</v>
      </c>
      <c r="C671">
        <v>325.55</v>
      </c>
      <c r="D671" s="186">
        <f t="shared" si="24"/>
        <v>-0.83231173380035028</v>
      </c>
      <c r="E671" s="186">
        <v>-1.0486322188449814E-2</v>
      </c>
      <c r="G671">
        <v>660</v>
      </c>
      <c r="H671" s="186">
        <f t="shared" ca="1" si="25"/>
        <v>-8.3893852510455759E-3</v>
      </c>
    </row>
    <row r="672" spans="2:8" x14ac:dyDescent="0.25">
      <c r="B672" s="67">
        <v>41238</v>
      </c>
      <c r="C672" s="66">
        <v>1941.4</v>
      </c>
      <c r="D672" s="186">
        <f t="shared" si="24"/>
        <v>0.13485707605073949</v>
      </c>
      <c r="E672" s="186">
        <v>-1.0600346549791027E-2</v>
      </c>
      <c r="G672">
        <v>661</v>
      </c>
      <c r="H672" s="186">
        <f t="shared" ca="1" si="25"/>
        <v>-5.7187673274430278E-2</v>
      </c>
    </row>
    <row r="673" spans="2:8" x14ac:dyDescent="0.25">
      <c r="B673" s="67">
        <v>41665</v>
      </c>
      <c r="C673" s="66">
        <v>1710.7</v>
      </c>
      <c r="D673" s="186">
        <f t="shared" si="24"/>
        <v>2.7104435527600046</v>
      </c>
      <c r="E673" s="186">
        <v>-1.06127642346953E-2</v>
      </c>
      <c r="G673">
        <v>662</v>
      </c>
      <c r="H673" s="186">
        <f t="shared" ca="1" si="25"/>
        <v>3.9324667247791394E-3</v>
      </c>
    </row>
    <row r="674" spans="2:8" x14ac:dyDescent="0.25">
      <c r="B674" s="67">
        <v>38613</v>
      </c>
      <c r="C674">
        <v>461.05</v>
      </c>
      <c r="D674" s="186">
        <f t="shared" si="24"/>
        <v>-0.96024402862809355</v>
      </c>
      <c r="E674" s="186">
        <v>-1.0622317596566499E-2</v>
      </c>
      <c r="G674">
        <v>663</v>
      </c>
      <c r="H674" s="186">
        <f t="shared" ca="1" si="25"/>
        <v>-3.3143835535677069E-2</v>
      </c>
    </row>
    <row r="675" spans="2:8" x14ac:dyDescent="0.25">
      <c r="B675" s="67">
        <v>45991</v>
      </c>
      <c r="C675" s="66">
        <v>11597</v>
      </c>
      <c r="D675" s="186">
        <f t="shared" si="24"/>
        <v>0.38570916477476402</v>
      </c>
      <c r="E675" s="186">
        <v>-1.074810202166681E-2</v>
      </c>
      <c r="G675">
        <v>664</v>
      </c>
      <c r="H675" s="186">
        <f t="shared" ca="1" si="25"/>
        <v>2.9812212141559689E-2</v>
      </c>
    </row>
    <row r="676" spans="2:8" x14ac:dyDescent="0.25">
      <c r="B676" s="67">
        <v>45207</v>
      </c>
      <c r="C676" s="66">
        <v>8369</v>
      </c>
      <c r="D676" s="186">
        <f t="shared" si="24"/>
        <v>7.9107751277683134</v>
      </c>
      <c r="E676" s="186">
        <v>-1.0879264393899017E-2</v>
      </c>
      <c r="G676">
        <v>665</v>
      </c>
      <c r="H676" s="186">
        <f t="shared" ca="1" si="25"/>
        <v>-6.622264873410437E-2</v>
      </c>
    </row>
    <row r="677" spans="2:8" x14ac:dyDescent="0.25">
      <c r="B677" s="67">
        <v>40307</v>
      </c>
      <c r="C677">
        <v>939.2</v>
      </c>
      <c r="D677" s="186">
        <f t="shared" si="24"/>
        <v>-0.92407437348423604</v>
      </c>
      <c r="E677" s="186">
        <v>-1.0899899952609036E-2</v>
      </c>
      <c r="G677">
        <v>666</v>
      </c>
      <c r="H677" s="186">
        <f t="shared" ca="1" si="25"/>
        <v>-1.1556573228915502E-2</v>
      </c>
    </row>
    <row r="678" spans="2:8" x14ac:dyDescent="0.25">
      <c r="B678" s="67">
        <v>45907</v>
      </c>
      <c r="C678" s="66">
        <v>12370</v>
      </c>
      <c r="D678" s="186">
        <f t="shared" si="24"/>
        <v>28.732003364980173</v>
      </c>
      <c r="E678" s="186">
        <v>-1.1032938919091781E-2</v>
      </c>
      <c r="G678">
        <v>667</v>
      </c>
      <c r="H678" s="186">
        <f t="shared" ca="1" si="25"/>
        <v>1.1323133991310295E-2</v>
      </c>
    </row>
    <row r="679" spans="2:8" x14ac:dyDescent="0.25">
      <c r="B679" s="67">
        <v>39845</v>
      </c>
      <c r="C679">
        <v>416.05</v>
      </c>
      <c r="D679" s="186">
        <f t="shared" si="24"/>
        <v>-0.85052453833441111</v>
      </c>
      <c r="E679" s="186">
        <v>-1.1053006893273062E-2</v>
      </c>
      <c r="G679">
        <v>668</v>
      </c>
      <c r="H679" s="186">
        <f t="shared" ca="1" si="25"/>
        <v>-3.3052310151545389E-2</v>
      </c>
    </row>
    <row r="680" spans="2:8" x14ac:dyDescent="0.25">
      <c r="B680" s="67">
        <v>42344</v>
      </c>
      <c r="C680" s="66">
        <v>2783.4</v>
      </c>
      <c r="D680" s="186">
        <f t="shared" si="24"/>
        <v>1.8733353979560234</v>
      </c>
      <c r="E680" s="186">
        <v>-1.1260701218429122E-2</v>
      </c>
      <c r="G680">
        <v>669</v>
      </c>
      <c r="H680" s="186">
        <f t="shared" ca="1" si="25"/>
        <v>4.3426987749288545E-3</v>
      </c>
    </row>
    <row r="681" spans="2:8" x14ac:dyDescent="0.25">
      <c r="B681" s="67">
        <v>39432</v>
      </c>
      <c r="C681">
        <v>968.7</v>
      </c>
      <c r="D681" s="186">
        <f t="shared" si="24"/>
        <v>-0.91428874790964343</v>
      </c>
      <c r="E681" s="186">
        <v>-1.1379292748890112E-2</v>
      </c>
      <c r="G681">
        <v>670</v>
      </c>
      <c r="H681" s="186">
        <f t="shared" ca="1" si="25"/>
        <v>2.4968004338431053E-2</v>
      </c>
    </row>
    <row r="682" spans="2:8" x14ac:dyDescent="0.25">
      <c r="B682" s="67">
        <v>45529</v>
      </c>
      <c r="C682" s="66">
        <v>11301.9</v>
      </c>
      <c r="D682" s="186">
        <f t="shared" si="24"/>
        <v>4.9463341488438166</v>
      </c>
      <c r="E682" s="186">
        <v>-1.1453836969784499E-2</v>
      </c>
      <c r="G682">
        <v>671</v>
      </c>
      <c r="H682" s="186">
        <f t="shared" ca="1" si="25"/>
        <v>7.8008168694861865E-2</v>
      </c>
    </row>
    <row r="683" spans="2:8" x14ac:dyDescent="0.25">
      <c r="B683" s="67">
        <v>41336</v>
      </c>
      <c r="C683" s="66">
        <v>1900.65</v>
      </c>
      <c r="D683" s="186">
        <f t="shared" si="24"/>
        <v>-0.80407487965034175</v>
      </c>
      <c r="E683" s="186">
        <v>-1.1699555416894157E-2</v>
      </c>
      <c r="G683">
        <v>672</v>
      </c>
      <c r="H683" s="186">
        <f t="shared" ca="1" si="25"/>
        <v>-2.622844510595362E-2</v>
      </c>
    </row>
    <row r="684" spans="2:8" x14ac:dyDescent="0.25">
      <c r="B684" s="67">
        <v>45403</v>
      </c>
      <c r="C684" s="66">
        <v>9700.9</v>
      </c>
      <c r="D684" s="186">
        <f t="shared" si="24"/>
        <v>7.4311663479923515</v>
      </c>
      <c r="E684" s="186">
        <v>-1.1755956928781683E-2</v>
      </c>
      <c r="G684">
        <v>673</v>
      </c>
      <c r="H684" s="186">
        <f t="shared" ca="1" si="25"/>
        <v>-5.2253571900246473E-2</v>
      </c>
    </row>
    <row r="685" spans="2:8" x14ac:dyDescent="0.25">
      <c r="B685" s="67">
        <v>40909</v>
      </c>
      <c r="C685" s="66">
        <v>1150.5999999999999</v>
      </c>
      <c r="D685" s="186">
        <f t="shared" si="24"/>
        <v>0.11996885190052077</v>
      </c>
      <c r="E685" s="186">
        <v>-1.1894027223152678E-2</v>
      </c>
      <c r="G685">
        <v>674</v>
      </c>
      <c r="H685" s="186">
        <f t="shared" ca="1" si="25"/>
        <v>-8.2812480684650754E-3</v>
      </c>
    </row>
    <row r="686" spans="2:8" x14ac:dyDescent="0.25">
      <c r="B686" s="67">
        <v>40223</v>
      </c>
      <c r="C686" s="66">
        <v>1027.3499999999999</v>
      </c>
      <c r="D686" s="186">
        <f t="shared" si="24"/>
        <v>-0.73993772782503042</v>
      </c>
      <c r="E686" s="186">
        <v>-1.2210951396567518E-2</v>
      </c>
      <c r="G686">
        <v>675</v>
      </c>
      <c r="H686" s="186">
        <f t="shared" ca="1" si="25"/>
        <v>2.3740970517047598E-3</v>
      </c>
    </row>
    <row r="687" spans="2:8" x14ac:dyDescent="0.25">
      <c r="B687" s="67">
        <v>43422</v>
      </c>
      <c r="C687" s="66">
        <v>3950.4</v>
      </c>
      <c r="D687" s="186">
        <f t="shared" si="24"/>
        <v>-0.1054550395145038</v>
      </c>
      <c r="E687" s="186">
        <v>-1.2313577438025827E-2</v>
      </c>
      <c r="G687">
        <v>676</v>
      </c>
      <c r="H687" s="186">
        <f t="shared" ca="1" si="25"/>
        <v>-8.0674221741320624E-3</v>
      </c>
    </row>
    <row r="688" spans="2:8" x14ac:dyDescent="0.25">
      <c r="B688" s="67">
        <v>43856</v>
      </c>
      <c r="C688" s="66">
        <v>4416.1000000000004</v>
      </c>
      <c r="D688" s="186">
        <f t="shared" si="24"/>
        <v>0.16564384791015035</v>
      </c>
      <c r="E688" s="186">
        <v>-1.2455834339639477E-2</v>
      </c>
      <c r="G688">
        <v>677</v>
      </c>
      <c r="H688" s="186">
        <f t="shared" ca="1" si="25"/>
        <v>-4.0728881002390818E-2</v>
      </c>
    </row>
    <row r="689" spans="2:8" x14ac:dyDescent="0.25">
      <c r="B689" s="67">
        <v>43989</v>
      </c>
      <c r="C689" s="66">
        <v>3788.55</v>
      </c>
      <c r="D689" s="186">
        <f t="shared" si="24"/>
        <v>-0.4742542724516205</v>
      </c>
      <c r="E689" s="186">
        <v>-1.2459759928056546E-2</v>
      </c>
      <c r="G689">
        <v>678</v>
      </c>
      <c r="H689" s="186">
        <f t="shared" ca="1" si="25"/>
        <v>3.0963769435386149E-4</v>
      </c>
    </row>
    <row r="690" spans="2:8" x14ac:dyDescent="0.25">
      <c r="B690" s="67">
        <v>44962</v>
      </c>
      <c r="C690" s="66">
        <v>7206.05</v>
      </c>
      <c r="D690" s="186">
        <f t="shared" si="24"/>
        <v>1.5454529398258536</v>
      </c>
      <c r="E690" s="186">
        <v>-1.257904725364322E-2</v>
      </c>
      <c r="G690">
        <v>679</v>
      </c>
      <c r="H690" s="186">
        <f t="shared" ca="1" si="25"/>
        <v>-4.4517710913215019E-2</v>
      </c>
    </row>
    <row r="691" spans="2:8" x14ac:dyDescent="0.25">
      <c r="B691" s="67">
        <v>42330</v>
      </c>
      <c r="C691" s="66">
        <v>2830.95</v>
      </c>
      <c r="D691" s="186">
        <f t="shared" si="24"/>
        <v>-0.71603464619057411</v>
      </c>
      <c r="E691" s="186">
        <v>-1.2608559171288093E-2</v>
      </c>
      <c r="G691">
        <v>680</v>
      </c>
      <c r="H691" s="186">
        <f t="shared" ca="1" si="25"/>
        <v>3.0675073199251935E-2</v>
      </c>
    </row>
    <row r="692" spans="2:8" x14ac:dyDescent="0.25">
      <c r="B692" s="67">
        <v>45312</v>
      </c>
      <c r="C692" s="66">
        <v>9969.35</v>
      </c>
      <c r="D692" s="186">
        <f t="shared" si="24"/>
        <v>0.56679344324128944</v>
      </c>
      <c r="E692" s="186">
        <v>-1.279391595823152E-2</v>
      </c>
      <c r="G692">
        <v>681</v>
      </c>
      <c r="H692" s="186">
        <f t="shared" ca="1" si="25"/>
        <v>-5.6600687809011656E-3</v>
      </c>
    </row>
    <row r="693" spans="2:8" x14ac:dyDescent="0.25">
      <c r="B693" s="67">
        <v>44850</v>
      </c>
      <c r="C693" s="66">
        <v>6362.9</v>
      </c>
      <c r="D693" s="186">
        <f t="shared" si="24"/>
        <v>-0.46069348974004731</v>
      </c>
      <c r="E693" s="186">
        <v>-1.2868745006477148E-2</v>
      </c>
      <c r="G693">
        <v>682</v>
      </c>
      <c r="H693" s="186">
        <f t="shared" ca="1" si="25"/>
        <v>7.9496172923950004E-2</v>
      </c>
    </row>
    <row r="694" spans="2:8" x14ac:dyDescent="0.25">
      <c r="B694" s="67">
        <v>45550</v>
      </c>
      <c r="C694" s="66">
        <v>11798.3</v>
      </c>
      <c r="D694" s="186">
        <f t="shared" si="24"/>
        <v>-2.9505634613802807E-2</v>
      </c>
      <c r="E694" s="186">
        <v>-1.288454941726697E-2</v>
      </c>
      <c r="G694">
        <v>683</v>
      </c>
      <c r="H694" s="186">
        <f t="shared" ca="1" si="25"/>
        <v>-2.6893703920561906E-2</v>
      </c>
    </row>
    <row r="695" spans="2:8" x14ac:dyDescent="0.25">
      <c r="B695" s="67">
        <v>45872</v>
      </c>
      <c r="C695" s="66">
        <v>12157</v>
      </c>
      <c r="D695" s="186">
        <f t="shared" si="24"/>
        <v>2.2244973741446077</v>
      </c>
      <c r="E695" s="186">
        <v>-1.2990176179264431E-2</v>
      </c>
      <c r="G695">
        <v>684</v>
      </c>
      <c r="H695" s="186">
        <f t="shared" ca="1" si="25"/>
        <v>-1.8440953633978074E-2</v>
      </c>
    </row>
    <row r="696" spans="2:8" x14ac:dyDescent="0.25">
      <c r="B696" s="67">
        <v>43471</v>
      </c>
      <c r="C696" s="66">
        <v>3770.2</v>
      </c>
      <c r="D696" s="186">
        <f t="shared" si="24"/>
        <v>-0.14975474995771554</v>
      </c>
      <c r="E696" s="186">
        <v>-1.3023730677103103E-2</v>
      </c>
      <c r="G696">
        <v>685</v>
      </c>
      <c r="H696" s="186">
        <f t="shared" ca="1" si="25"/>
        <v>-6.8967884946401478E-2</v>
      </c>
    </row>
    <row r="697" spans="2:8" x14ac:dyDescent="0.25">
      <c r="B697" s="67">
        <v>43590</v>
      </c>
      <c r="C697" s="66">
        <v>4434.25</v>
      </c>
      <c r="D697" s="186">
        <f t="shared" si="24"/>
        <v>3.2770677598263807</v>
      </c>
      <c r="E697" s="186">
        <v>-1.3031962250712291E-2</v>
      </c>
      <c r="G697">
        <v>686</v>
      </c>
      <c r="H697" s="186">
        <f t="shared" ca="1" si="25"/>
        <v>1.6022735333878976E-2</v>
      </c>
    </row>
    <row r="698" spans="2:8" x14ac:dyDescent="0.25">
      <c r="B698" s="67">
        <v>40615</v>
      </c>
      <c r="C698" s="66">
        <v>1036.75</v>
      </c>
      <c r="D698" s="186">
        <f t="shared" si="24"/>
        <v>-0.14582904222451082</v>
      </c>
      <c r="E698" s="186">
        <v>-1.3042029606359222E-2</v>
      </c>
      <c r="G698">
        <v>687</v>
      </c>
      <c r="H698" s="186">
        <f t="shared" ca="1" si="25"/>
        <v>3.0525182635288747E-2</v>
      </c>
    </row>
    <row r="699" spans="2:8" x14ac:dyDescent="0.25">
      <c r="B699" s="67">
        <v>40923</v>
      </c>
      <c r="C699" s="66">
        <v>1213.75</v>
      </c>
      <c r="D699" s="186">
        <f t="shared" si="24"/>
        <v>-0.81207518540882839</v>
      </c>
      <c r="E699" s="186">
        <v>-1.305090258578627E-2</v>
      </c>
      <c r="G699">
        <v>688</v>
      </c>
      <c r="H699" s="186">
        <f t="shared" ca="1" si="25"/>
        <v>1.9736780026689736E-2</v>
      </c>
    </row>
    <row r="700" spans="2:8" x14ac:dyDescent="0.25">
      <c r="B700" s="67">
        <v>44759</v>
      </c>
      <c r="C700" s="66">
        <v>6458.7</v>
      </c>
      <c r="D700" s="186">
        <f t="shared" si="24"/>
        <v>-0.4377603384563154</v>
      </c>
      <c r="E700" s="186">
        <v>-1.3155482214888211E-2</v>
      </c>
      <c r="G700">
        <v>689</v>
      </c>
      <c r="H700" s="186">
        <f t="shared" ca="1" si="25"/>
        <v>2.0235779976950755E-2</v>
      </c>
    </row>
    <row r="701" spans="2:8" x14ac:dyDescent="0.25">
      <c r="B701" s="67">
        <v>45683</v>
      </c>
      <c r="C701" s="66">
        <v>11487.45</v>
      </c>
      <c r="D701" s="186">
        <f t="shared" si="24"/>
        <v>2.0216216216216218</v>
      </c>
      <c r="E701" s="186">
        <v>-1.3156538322766836E-2</v>
      </c>
      <c r="G701">
        <v>690</v>
      </c>
      <c r="H701" s="186">
        <f t="shared" ca="1" si="25"/>
        <v>-5.5536094743676906E-2</v>
      </c>
    </row>
    <row r="702" spans="2:8" x14ac:dyDescent="0.25">
      <c r="B702" s="67">
        <v>42792</v>
      </c>
      <c r="C702" s="66">
        <v>3801.75</v>
      </c>
      <c r="D702" s="186">
        <f t="shared" si="24"/>
        <v>2.7283024418946749</v>
      </c>
      <c r="E702" s="186">
        <v>-1.3160456332982861E-2</v>
      </c>
      <c r="G702">
        <v>691</v>
      </c>
      <c r="H702" s="186">
        <f t="shared" ca="1" si="25"/>
        <v>4.6494302351327774E-2</v>
      </c>
    </row>
    <row r="703" spans="2:8" x14ac:dyDescent="0.25">
      <c r="B703" s="67">
        <v>39061</v>
      </c>
      <c r="C703" s="66">
        <v>1019.7</v>
      </c>
      <c r="D703" s="186">
        <f t="shared" si="24"/>
        <v>-0.84454133825255751</v>
      </c>
      <c r="E703" s="186">
        <v>-1.3209464363477877E-2</v>
      </c>
      <c r="G703">
        <v>692</v>
      </c>
      <c r="H703" s="186">
        <f t="shared" ca="1" si="25"/>
        <v>-5.3380894284445535E-2</v>
      </c>
    </row>
    <row r="704" spans="2:8" x14ac:dyDescent="0.25">
      <c r="B704" s="67">
        <v>44780</v>
      </c>
      <c r="C704" s="66">
        <v>6559.3</v>
      </c>
      <c r="D704" s="186">
        <f t="shared" si="24"/>
        <v>-0.34412902838744508</v>
      </c>
      <c r="E704" s="186">
        <v>-1.3275567690352085E-2</v>
      </c>
      <c r="G704">
        <v>693</v>
      </c>
      <c r="H704" s="186">
        <f t="shared" ca="1" si="25"/>
        <v>-4.266822691477111E-2</v>
      </c>
    </row>
    <row r="705" spans="2:8" x14ac:dyDescent="0.25">
      <c r="B705" s="67">
        <v>45340</v>
      </c>
      <c r="C705" s="66">
        <v>10000.9</v>
      </c>
      <c r="D705" s="186">
        <f t="shared" si="24"/>
        <v>0.32322918251642307</v>
      </c>
      <c r="E705" s="186">
        <v>-1.3280055251344321E-2</v>
      </c>
      <c r="G705">
        <v>694</v>
      </c>
      <c r="H705" s="186">
        <f t="shared" ca="1" si="25"/>
        <v>-2.9403358697532495E-2</v>
      </c>
    </row>
    <row r="706" spans="2:8" x14ac:dyDescent="0.25">
      <c r="B706" s="67">
        <v>44563</v>
      </c>
      <c r="C706" s="66">
        <v>7557.95</v>
      </c>
      <c r="D706" s="186">
        <f t="shared" si="24"/>
        <v>8.1678190198932565</v>
      </c>
      <c r="E706" s="186">
        <v>-1.3393294215167365E-2</v>
      </c>
      <c r="G706">
        <v>695</v>
      </c>
      <c r="H706" s="186">
        <f t="shared" ca="1" si="25"/>
        <v>-9.0815532768043536E-2</v>
      </c>
    </row>
    <row r="707" spans="2:8" x14ac:dyDescent="0.25">
      <c r="B707" s="67">
        <v>39222</v>
      </c>
      <c r="C707">
        <v>824.4</v>
      </c>
      <c r="D707" s="186">
        <f t="shared" si="24"/>
        <v>-0.27952807515840072</v>
      </c>
      <c r="E707" s="186">
        <v>-1.3403542364767885E-2</v>
      </c>
      <c r="G707">
        <v>696</v>
      </c>
      <c r="H707" s="186">
        <f t="shared" ca="1" si="25"/>
        <v>-3.4572284071291731E-2</v>
      </c>
    </row>
    <row r="708" spans="2:8" x14ac:dyDescent="0.25">
      <c r="B708" s="67">
        <v>40265</v>
      </c>
      <c r="C708" s="66">
        <v>1144.25</v>
      </c>
      <c r="D708" s="186">
        <f t="shared" si="24"/>
        <v>-0.89593186117578583</v>
      </c>
      <c r="E708" s="186">
        <v>-1.3492542460557021E-2</v>
      </c>
      <c r="G708">
        <v>697</v>
      </c>
      <c r="H708" s="186">
        <f t="shared" ca="1" si="25"/>
        <v>-8.6792102742566407E-2</v>
      </c>
    </row>
    <row r="709" spans="2:8" x14ac:dyDescent="0.25">
      <c r="B709" s="67">
        <v>45585</v>
      </c>
      <c r="C709" s="66">
        <v>10995.2</v>
      </c>
      <c r="D709" s="186">
        <f t="shared" si="24"/>
        <v>4.8382626241172417</v>
      </c>
      <c r="E709" s="186">
        <v>-1.3511816110104125E-2</v>
      </c>
      <c r="G709">
        <v>698</v>
      </c>
      <c r="H709" s="186">
        <f t="shared" ca="1" si="25"/>
        <v>1.6899921769305073E-2</v>
      </c>
    </row>
    <row r="710" spans="2:8" x14ac:dyDescent="0.25">
      <c r="B710" s="67">
        <v>41280</v>
      </c>
      <c r="C710" s="66">
        <v>1883.3</v>
      </c>
      <c r="D710" s="186">
        <f t="shared" si="24"/>
        <v>0.99059296057499202</v>
      </c>
      <c r="E710" s="186">
        <v>-1.3617556172419212E-2</v>
      </c>
      <c r="G710">
        <v>699</v>
      </c>
      <c r="H710" s="186">
        <f t="shared" ca="1" si="25"/>
        <v>6.0365125834643707E-2</v>
      </c>
    </row>
    <row r="711" spans="2:8" x14ac:dyDescent="0.25">
      <c r="B711" s="67">
        <v>40587</v>
      </c>
      <c r="C711">
        <v>946.1</v>
      </c>
      <c r="D711" s="186">
        <f t="shared" si="24"/>
        <v>0.32026234998604519</v>
      </c>
      <c r="E711" s="186">
        <v>-1.3657214345287763E-2</v>
      </c>
      <c r="G711">
        <v>700</v>
      </c>
      <c r="H711" s="186">
        <f t="shared" ca="1" si="25"/>
        <v>1.1920636273637307E-2</v>
      </c>
    </row>
    <row r="712" spans="2:8" x14ac:dyDescent="0.25">
      <c r="B712" s="67">
        <v>38900</v>
      </c>
      <c r="C712">
        <v>716.6</v>
      </c>
      <c r="D712" s="186">
        <f t="shared" si="24"/>
        <v>-0.80560453571331692</v>
      </c>
      <c r="E712" s="186">
        <v>-1.3694859266395888E-2</v>
      </c>
      <c r="G712">
        <v>701</v>
      </c>
      <c r="H712" s="186">
        <f t="shared" ca="1" si="25"/>
        <v>1.6835130899818584E-2</v>
      </c>
    </row>
    <row r="713" spans="2:8" x14ac:dyDescent="0.25">
      <c r="B713" s="67">
        <v>42757</v>
      </c>
      <c r="C713" s="66">
        <v>3686.3</v>
      </c>
      <c r="D713" s="186">
        <f t="shared" si="24"/>
        <v>-0.14272093023255811</v>
      </c>
      <c r="E713" s="186">
        <v>-1.3698996655518346E-2</v>
      </c>
      <c r="G713">
        <v>702</v>
      </c>
      <c r="H713" s="186">
        <f t="shared" ca="1" si="25"/>
        <v>6.2474109054918656E-3</v>
      </c>
    </row>
    <row r="714" spans="2:8" x14ac:dyDescent="0.25">
      <c r="B714" s="67">
        <v>43114</v>
      </c>
      <c r="C714" s="66">
        <v>4300</v>
      </c>
      <c r="D714" s="186">
        <f t="shared" si="24"/>
        <v>3.8203576032733593</v>
      </c>
      <c r="E714" s="186">
        <v>-1.3750157685294515E-2</v>
      </c>
      <c r="G714">
        <v>703</v>
      </c>
      <c r="H714" s="186">
        <f t="shared" ca="1" si="25"/>
        <v>1.5737442187504027E-2</v>
      </c>
    </row>
    <row r="715" spans="2:8" x14ac:dyDescent="0.25">
      <c r="B715" s="67">
        <v>39495</v>
      </c>
      <c r="C715">
        <v>892.05</v>
      </c>
      <c r="D715" s="186">
        <f t="shared" si="24"/>
        <v>0.64660821412090441</v>
      </c>
      <c r="E715" s="186">
        <v>-1.3764510779436204E-2</v>
      </c>
      <c r="G715">
        <v>704</v>
      </c>
      <c r="H715" s="186">
        <f t="shared" ca="1" si="25"/>
        <v>-1.904065340348635E-2</v>
      </c>
    </row>
    <row r="716" spans="2:8" x14ac:dyDescent="0.25">
      <c r="B716" s="67">
        <v>38760</v>
      </c>
      <c r="C716">
        <v>541.75</v>
      </c>
      <c r="D716" s="186">
        <f t="shared" ref="D716:D779" si="26">(C716-C717)/C717</f>
        <v>-0.86537696933552011</v>
      </c>
      <c r="E716" s="186">
        <v>-1.3924281033855073E-2</v>
      </c>
      <c r="G716">
        <v>705</v>
      </c>
      <c r="H716" s="186">
        <f t="shared" ca="1" si="25"/>
        <v>-2.9073254471035704E-3</v>
      </c>
    </row>
    <row r="717" spans="2:8" x14ac:dyDescent="0.25">
      <c r="B717" s="67">
        <v>42939</v>
      </c>
      <c r="C717" s="66">
        <v>4024.2</v>
      </c>
      <c r="D717" s="186">
        <f t="shared" si="26"/>
        <v>2.6362157766332337</v>
      </c>
      <c r="E717" s="186">
        <v>-1.400271968833844E-2</v>
      </c>
      <c r="G717">
        <v>706</v>
      </c>
      <c r="H717" s="186">
        <f t="shared" ref="H717:H780" ca="1" si="27">_xlfn.NORM.INV(RAND(),N$14,N$15)</f>
        <v>-1.0530810015203433E-3</v>
      </c>
    </row>
    <row r="718" spans="2:8" x14ac:dyDescent="0.25">
      <c r="B718" s="67">
        <v>40244</v>
      </c>
      <c r="C718" s="66">
        <v>1106.7</v>
      </c>
      <c r="D718" s="186">
        <f t="shared" si="26"/>
        <v>-0.84906818321297794</v>
      </c>
      <c r="E718" s="186">
        <v>-1.4031805425631431E-2</v>
      </c>
      <c r="G718">
        <v>707</v>
      </c>
      <c r="H718" s="186">
        <f t="shared" ca="1" si="27"/>
        <v>1.184648897474099E-2</v>
      </c>
    </row>
    <row r="719" spans="2:8" x14ac:dyDescent="0.25">
      <c r="B719" s="67">
        <v>44528</v>
      </c>
      <c r="C719" s="66">
        <v>7332.45</v>
      </c>
      <c r="D719" s="186">
        <f t="shared" si="26"/>
        <v>3.2039043687650497</v>
      </c>
      <c r="E719" s="186">
        <v>-1.451525109368385E-2</v>
      </c>
      <c r="G719">
        <v>708</v>
      </c>
      <c r="H719" s="186">
        <f t="shared" ca="1" si="27"/>
        <v>9.0137241051072278E-2</v>
      </c>
    </row>
    <row r="720" spans="2:8" x14ac:dyDescent="0.25">
      <c r="B720" s="67">
        <v>41623</v>
      </c>
      <c r="C720" s="66">
        <v>1744.2</v>
      </c>
      <c r="D720" s="186">
        <f t="shared" si="26"/>
        <v>4.8014302344919351</v>
      </c>
      <c r="E720" s="186">
        <v>-1.460410722860931E-2</v>
      </c>
      <c r="G720">
        <v>709</v>
      </c>
      <c r="H720" s="186">
        <f t="shared" ca="1" si="27"/>
        <v>-9.0362707080863344E-2</v>
      </c>
    </row>
    <row r="721" spans="2:8" x14ac:dyDescent="0.25">
      <c r="B721" s="67">
        <v>38326</v>
      </c>
      <c r="C721">
        <v>300.64999999999998</v>
      </c>
      <c r="D721" s="186">
        <f t="shared" si="26"/>
        <v>-0.94485762758494207</v>
      </c>
      <c r="E721" s="186">
        <v>-1.4746845813534328E-2</v>
      </c>
      <c r="G721">
        <v>710</v>
      </c>
      <c r="H721" s="186">
        <f t="shared" ca="1" si="27"/>
        <v>-4.262139256672072E-2</v>
      </c>
    </row>
    <row r="722" spans="2:8" x14ac:dyDescent="0.25">
      <c r="B722" s="67">
        <v>44206</v>
      </c>
      <c r="C722" s="66">
        <v>5452.25</v>
      </c>
      <c r="D722" s="186">
        <f t="shared" si="26"/>
        <v>0.38394273602985035</v>
      </c>
      <c r="E722" s="186">
        <v>-1.4914721399147247E-2</v>
      </c>
      <c r="G722">
        <v>711</v>
      </c>
      <c r="H722" s="186">
        <f t="shared" ca="1" si="27"/>
        <v>-7.1819575413259104E-2</v>
      </c>
    </row>
    <row r="723" spans="2:8" x14ac:dyDescent="0.25">
      <c r="B723" s="67">
        <v>42967</v>
      </c>
      <c r="C723" s="66">
        <v>3939.65</v>
      </c>
      <c r="D723" s="186">
        <f t="shared" si="26"/>
        <v>3.1982630008525148</v>
      </c>
      <c r="E723" s="186">
        <v>-1.4988998899889944E-2</v>
      </c>
      <c r="G723">
        <v>712</v>
      </c>
      <c r="H723" s="186">
        <f t="shared" ca="1" si="27"/>
        <v>8.8076731130900365E-2</v>
      </c>
    </row>
    <row r="724" spans="2:8" x14ac:dyDescent="0.25">
      <c r="B724" s="67">
        <v>40321</v>
      </c>
      <c r="C724">
        <v>938.4</v>
      </c>
      <c r="D724" s="186">
        <f t="shared" si="26"/>
        <v>-0.14683153013910363</v>
      </c>
      <c r="E724" s="186">
        <v>-1.500997165949414E-2</v>
      </c>
      <c r="G724">
        <v>713</v>
      </c>
      <c r="H724" s="186">
        <f t="shared" ca="1" si="27"/>
        <v>-9.3199124246267917E-3</v>
      </c>
    </row>
    <row r="725" spans="2:8" x14ac:dyDescent="0.25">
      <c r="B725" s="67">
        <v>40475</v>
      </c>
      <c r="C725" s="66">
        <v>1099.9000000000001</v>
      </c>
      <c r="D725" s="186">
        <f t="shared" si="26"/>
        <v>-0.75582466617087163</v>
      </c>
      <c r="E725" s="186">
        <v>-1.5176612794914106E-2</v>
      </c>
      <c r="G725">
        <v>714</v>
      </c>
      <c r="H725" s="186">
        <f t="shared" ca="1" si="27"/>
        <v>-1.6221604378877229E-2</v>
      </c>
    </row>
    <row r="726" spans="2:8" x14ac:dyDescent="0.25">
      <c r="B726" s="67">
        <v>44122</v>
      </c>
      <c r="C726" s="66">
        <v>4504.55</v>
      </c>
      <c r="D726" s="186">
        <f t="shared" si="26"/>
        <v>7.060391876174287</v>
      </c>
      <c r="E726" s="186">
        <v>-1.5194411954394901E-2</v>
      </c>
      <c r="G726">
        <v>715</v>
      </c>
      <c r="H726" s="186">
        <f t="shared" ca="1" si="27"/>
        <v>3.418007713898194E-2</v>
      </c>
    </row>
    <row r="727" spans="2:8" x14ac:dyDescent="0.25">
      <c r="B727" s="67">
        <v>39936</v>
      </c>
      <c r="C727">
        <v>558.85</v>
      </c>
      <c r="D727" s="186">
        <f t="shared" si="26"/>
        <v>-0.71519213128121495</v>
      </c>
      <c r="E727" s="186">
        <v>-1.5329045899039613E-2</v>
      </c>
      <c r="G727">
        <v>716</v>
      </c>
      <c r="H727" s="186">
        <f t="shared" ca="1" si="27"/>
        <v>-1.5467223319482467E-2</v>
      </c>
    </row>
    <row r="728" spans="2:8" x14ac:dyDescent="0.25">
      <c r="B728" s="67">
        <v>41245</v>
      </c>
      <c r="C728" s="66">
        <v>1962.2</v>
      </c>
      <c r="D728" s="186">
        <f t="shared" si="26"/>
        <v>-0.45238128462386445</v>
      </c>
      <c r="E728" s="186">
        <v>-1.533057332831512E-2</v>
      </c>
      <c r="G728">
        <v>717</v>
      </c>
      <c r="H728" s="186">
        <f t="shared" ca="1" si="27"/>
        <v>-4.4043502612434407E-2</v>
      </c>
    </row>
    <row r="729" spans="2:8" x14ac:dyDescent="0.25">
      <c r="B729" s="67">
        <v>43961</v>
      </c>
      <c r="C729" s="66">
        <v>3583.15</v>
      </c>
      <c r="D729" s="186">
        <f t="shared" si="26"/>
        <v>1.5550128351397603</v>
      </c>
      <c r="E729" s="186">
        <v>-1.5334093625908499E-2</v>
      </c>
      <c r="G729">
        <v>718</v>
      </c>
      <c r="H729" s="186">
        <f t="shared" ca="1" si="27"/>
        <v>-3.7155211081844067E-2</v>
      </c>
    </row>
    <row r="730" spans="2:8" x14ac:dyDescent="0.25">
      <c r="B730" s="67">
        <v>40958</v>
      </c>
      <c r="C730" s="66">
        <v>1402.4</v>
      </c>
      <c r="D730" s="186">
        <f t="shared" si="26"/>
        <v>2.35622831159507</v>
      </c>
      <c r="E730" s="186">
        <v>-1.554876978695017E-2</v>
      </c>
      <c r="G730">
        <v>719</v>
      </c>
      <c r="H730" s="186">
        <f t="shared" ca="1" si="27"/>
        <v>-4.4571488794005673E-2</v>
      </c>
    </row>
    <row r="731" spans="2:8" x14ac:dyDescent="0.25">
      <c r="B731" s="67">
        <v>38578</v>
      </c>
      <c r="C731">
        <v>417.85</v>
      </c>
      <c r="D731" s="186">
        <f t="shared" si="26"/>
        <v>-0.94268136269796088</v>
      </c>
      <c r="E731" s="186">
        <v>-1.5549534691954215E-2</v>
      </c>
      <c r="G731">
        <v>720</v>
      </c>
      <c r="H731" s="186">
        <f t="shared" ca="1" si="27"/>
        <v>-2.2936669138823602E-2</v>
      </c>
    </row>
    <row r="732" spans="2:8" x14ac:dyDescent="0.25">
      <c r="B732" s="67">
        <v>44997</v>
      </c>
      <c r="C732" s="66">
        <v>7289.95</v>
      </c>
      <c r="D732" s="186">
        <f t="shared" si="26"/>
        <v>0.75896681103644636</v>
      </c>
      <c r="E732" s="186">
        <v>-1.5623206605767194E-2</v>
      </c>
      <c r="G732">
        <v>721</v>
      </c>
      <c r="H732" s="186">
        <f t="shared" ca="1" si="27"/>
        <v>2.6108334619630889E-2</v>
      </c>
    </row>
    <row r="733" spans="2:8" x14ac:dyDescent="0.25">
      <c r="B733" s="67">
        <v>42981</v>
      </c>
      <c r="C733" s="66">
        <v>4144.45</v>
      </c>
      <c r="D733" s="186">
        <f t="shared" si="26"/>
        <v>11.629742495809843</v>
      </c>
      <c r="E733" s="186">
        <v>-1.579216091380805E-2</v>
      </c>
      <c r="G733">
        <v>722</v>
      </c>
      <c r="H733" s="186">
        <f t="shared" ca="1" si="27"/>
        <v>-3.7439405790310354E-2</v>
      </c>
    </row>
    <row r="734" spans="2:8" x14ac:dyDescent="0.25">
      <c r="B734" s="67">
        <v>38361</v>
      </c>
      <c r="C734">
        <v>328.15</v>
      </c>
      <c r="D734" s="186">
        <f t="shared" si="26"/>
        <v>-0.88168166002632098</v>
      </c>
      <c r="E734" s="186">
        <v>-1.589443694706856E-2</v>
      </c>
      <c r="G734">
        <v>723</v>
      </c>
      <c r="H734" s="186">
        <f t="shared" ca="1" si="27"/>
        <v>9.3225332555088053E-2</v>
      </c>
    </row>
    <row r="735" spans="2:8" x14ac:dyDescent="0.25">
      <c r="B735" s="67">
        <v>42274</v>
      </c>
      <c r="C735" s="66">
        <v>2773.45</v>
      </c>
      <c r="D735" s="186">
        <f t="shared" si="26"/>
        <v>8.3776838546069303</v>
      </c>
      <c r="E735" s="186">
        <v>-1.6070953436807159E-2</v>
      </c>
      <c r="G735">
        <v>724</v>
      </c>
      <c r="H735" s="186">
        <f t="shared" ca="1" si="27"/>
        <v>7.4009619097905086E-2</v>
      </c>
    </row>
    <row r="736" spans="2:8" x14ac:dyDescent="0.25">
      <c r="B736" s="67">
        <v>38319</v>
      </c>
      <c r="C736">
        <v>295.75</v>
      </c>
      <c r="D736" s="186">
        <f t="shared" si="26"/>
        <v>-0.96169959271418115</v>
      </c>
      <c r="E736" s="186">
        <v>-1.6298020954598296E-2</v>
      </c>
      <c r="G736">
        <v>725</v>
      </c>
      <c r="H736" s="186">
        <f t="shared" ca="1" si="27"/>
        <v>-6.5186723729470777E-2</v>
      </c>
    </row>
    <row r="737" spans="2:8" x14ac:dyDescent="0.25">
      <c r="B737" s="67">
        <v>45067</v>
      </c>
      <c r="C737" s="66">
        <v>7721.85</v>
      </c>
      <c r="D737" s="186">
        <f t="shared" si="26"/>
        <v>2.8405699791107133</v>
      </c>
      <c r="E737" s="186">
        <v>-1.640628482991845E-2</v>
      </c>
      <c r="G737">
        <v>726</v>
      </c>
      <c r="H737" s="186">
        <f t="shared" ca="1" si="27"/>
        <v>4.4906329974906511E-2</v>
      </c>
    </row>
    <row r="738" spans="2:8" x14ac:dyDescent="0.25">
      <c r="B738" s="67">
        <v>41196</v>
      </c>
      <c r="C738" s="66">
        <v>2010.6</v>
      </c>
      <c r="D738" s="186">
        <f t="shared" si="26"/>
        <v>-0.35139843220749062</v>
      </c>
      <c r="E738" s="186">
        <v>-1.6412689871095655E-2</v>
      </c>
      <c r="G738">
        <v>727</v>
      </c>
      <c r="H738" s="186">
        <f t="shared" ca="1" si="27"/>
        <v>4.5244001577250073E-2</v>
      </c>
    </row>
    <row r="739" spans="2:8" x14ac:dyDescent="0.25">
      <c r="B739" s="67">
        <v>42491</v>
      </c>
      <c r="C739" s="66">
        <v>3099.9</v>
      </c>
      <c r="D739" s="186">
        <f t="shared" si="26"/>
        <v>-1.5639140720511882E-2</v>
      </c>
      <c r="E739" s="186">
        <v>-1.6419970491647232E-2</v>
      </c>
      <c r="G739">
        <v>728</v>
      </c>
      <c r="H739" s="186">
        <f t="shared" ca="1" si="27"/>
        <v>-1.3259625641967973E-3</v>
      </c>
    </row>
    <row r="740" spans="2:8" x14ac:dyDescent="0.25">
      <c r="B740" s="67">
        <v>42211</v>
      </c>
      <c r="C740" s="66">
        <v>3149.15</v>
      </c>
      <c r="D740" s="186">
        <f t="shared" si="26"/>
        <v>-0.17094905883901537</v>
      </c>
      <c r="E740" s="186">
        <v>-1.6643507314712088E-2</v>
      </c>
      <c r="G740">
        <v>729</v>
      </c>
      <c r="H740" s="186">
        <f t="shared" ca="1" si="27"/>
        <v>4.2605497463221093E-2</v>
      </c>
    </row>
    <row r="741" spans="2:8" x14ac:dyDescent="0.25">
      <c r="B741" s="67">
        <v>44017</v>
      </c>
      <c r="C741" s="66">
        <v>3798.5</v>
      </c>
      <c r="D741" s="186">
        <f t="shared" si="26"/>
        <v>2.8695054245403147</v>
      </c>
      <c r="E741" s="186">
        <v>-1.665868464993461E-2</v>
      </c>
      <c r="G741">
        <v>730</v>
      </c>
      <c r="H741" s="186">
        <f t="shared" ca="1" si="27"/>
        <v>-1.6546931676438149E-2</v>
      </c>
    </row>
    <row r="742" spans="2:8" x14ac:dyDescent="0.25">
      <c r="B742" s="67">
        <v>40727</v>
      </c>
      <c r="C742">
        <v>981.65</v>
      </c>
      <c r="D742" s="186">
        <f t="shared" si="26"/>
        <v>9.2178460169114407E-2</v>
      </c>
      <c r="E742" s="186">
        <v>-1.6826080424658288E-2</v>
      </c>
      <c r="G742">
        <v>731</v>
      </c>
      <c r="H742" s="186">
        <f t="shared" ca="1" si="27"/>
        <v>-3.3837265071813727E-2</v>
      </c>
    </row>
    <row r="743" spans="2:8" x14ac:dyDescent="0.25">
      <c r="B743" s="67">
        <v>40167</v>
      </c>
      <c r="C743">
        <v>898.8</v>
      </c>
      <c r="D743" s="186">
        <f t="shared" si="26"/>
        <v>-0.79242254529498024</v>
      </c>
      <c r="E743" s="186">
        <v>-1.684532924961725E-2</v>
      </c>
      <c r="G743">
        <v>732</v>
      </c>
      <c r="H743" s="186">
        <f t="shared" ca="1" si="27"/>
        <v>-3.0751120182972796E-2</v>
      </c>
    </row>
    <row r="744" spans="2:8" x14ac:dyDescent="0.25">
      <c r="B744" s="67">
        <v>42855</v>
      </c>
      <c r="C744" s="66">
        <v>4329.95</v>
      </c>
      <c r="D744" s="186">
        <f t="shared" si="26"/>
        <v>-0.42192569055979068</v>
      </c>
      <c r="E744" s="186">
        <v>-1.6892390477596136E-2</v>
      </c>
      <c r="G744">
        <v>733</v>
      </c>
      <c r="H744" s="186">
        <f t="shared" ca="1" si="27"/>
        <v>-6.9392281485441673E-2</v>
      </c>
    </row>
    <row r="745" spans="2:8" x14ac:dyDescent="0.25">
      <c r="B745" s="67">
        <v>44395</v>
      </c>
      <c r="C745" s="66">
        <v>7490.3</v>
      </c>
      <c r="D745" s="186">
        <f t="shared" si="26"/>
        <v>0.71202943932710094</v>
      </c>
      <c r="E745" s="186">
        <v>-1.6917786644267067E-2</v>
      </c>
      <c r="G745">
        <v>734</v>
      </c>
      <c r="H745" s="186">
        <f t="shared" ca="1" si="27"/>
        <v>-0.10113419152840454</v>
      </c>
    </row>
    <row r="746" spans="2:8" x14ac:dyDescent="0.25">
      <c r="B746" s="67">
        <v>43037</v>
      </c>
      <c r="C746" s="66">
        <v>4375.1000000000004</v>
      </c>
      <c r="D746" s="186">
        <f t="shared" si="26"/>
        <v>1.2613988797852149E-2</v>
      </c>
      <c r="E746" s="186">
        <v>-1.701922104766505E-2</v>
      </c>
      <c r="G746">
        <v>735</v>
      </c>
      <c r="H746" s="186">
        <f t="shared" ca="1" si="27"/>
        <v>-5.8052724581403228E-3</v>
      </c>
    </row>
    <row r="747" spans="2:8" x14ac:dyDescent="0.25">
      <c r="B747" s="67">
        <v>43093</v>
      </c>
      <c r="C747" s="66">
        <v>4320.6000000000004</v>
      </c>
      <c r="D747" s="186">
        <f t="shared" si="26"/>
        <v>7.0428145941921079</v>
      </c>
      <c r="E747" s="186">
        <v>-1.7107238727876568E-2</v>
      </c>
      <c r="G747">
        <v>736</v>
      </c>
      <c r="H747" s="186">
        <f t="shared" ca="1" si="27"/>
        <v>4.1709135312351597E-2</v>
      </c>
    </row>
    <row r="748" spans="2:8" x14ac:dyDescent="0.25">
      <c r="B748" s="67">
        <v>38746</v>
      </c>
      <c r="C748">
        <v>537.20000000000005</v>
      </c>
      <c r="D748" s="186">
        <f t="shared" si="26"/>
        <v>-0.86329919206056371</v>
      </c>
      <c r="E748" s="186">
        <v>-1.7107309486780551E-2</v>
      </c>
      <c r="G748">
        <v>737</v>
      </c>
      <c r="H748" s="186">
        <f t="shared" ca="1" si="27"/>
        <v>-1.2622223393570805E-2</v>
      </c>
    </row>
    <row r="749" spans="2:8" x14ac:dyDescent="0.25">
      <c r="B749" s="67">
        <v>43541</v>
      </c>
      <c r="C749" s="66">
        <v>3929.75</v>
      </c>
      <c r="D749" s="186">
        <f t="shared" si="26"/>
        <v>9.2980870020964357</v>
      </c>
      <c r="E749" s="186">
        <v>-1.7157077294383909E-2</v>
      </c>
      <c r="G749">
        <v>738</v>
      </c>
      <c r="H749" s="186">
        <f t="shared" ca="1" si="27"/>
        <v>-1.6255505022040165E-2</v>
      </c>
    </row>
    <row r="750" spans="2:8" x14ac:dyDescent="0.25">
      <c r="B750" s="67">
        <v>38557</v>
      </c>
      <c r="C750">
        <v>381.6</v>
      </c>
      <c r="D750" s="186">
        <f t="shared" si="26"/>
        <v>-0.75299372127645814</v>
      </c>
      <c r="E750" s="186">
        <v>-1.7254699974246685E-2</v>
      </c>
      <c r="G750">
        <v>739</v>
      </c>
      <c r="H750" s="186">
        <f t="shared" ca="1" si="27"/>
        <v>7.3145211597759226E-3</v>
      </c>
    </row>
    <row r="751" spans="2:8" x14ac:dyDescent="0.25">
      <c r="B751" s="67">
        <v>41091</v>
      </c>
      <c r="C751" s="66">
        <v>1544.9</v>
      </c>
      <c r="D751" s="186">
        <f t="shared" si="26"/>
        <v>0.4049015595871413</v>
      </c>
      <c r="E751" s="186">
        <v>-1.7301698365243826E-2</v>
      </c>
      <c r="G751">
        <v>740</v>
      </c>
      <c r="H751" s="186">
        <f t="shared" ca="1" si="27"/>
        <v>-2.6841187681508234E-2</v>
      </c>
    </row>
    <row r="752" spans="2:8" x14ac:dyDescent="0.25">
      <c r="B752" s="67">
        <v>39075</v>
      </c>
      <c r="C752" s="66">
        <v>1099.6500000000001</v>
      </c>
      <c r="D752" s="186">
        <f t="shared" si="26"/>
        <v>-0.90256382992862749</v>
      </c>
      <c r="E752" s="186">
        <v>-1.7336133327375779E-2</v>
      </c>
      <c r="G752">
        <v>741</v>
      </c>
      <c r="H752" s="186">
        <f t="shared" ca="1" si="27"/>
        <v>-3.0072020949206718E-2</v>
      </c>
    </row>
    <row r="753" spans="2:8" x14ac:dyDescent="0.25">
      <c r="B753" s="67">
        <v>45676</v>
      </c>
      <c r="C753" s="66">
        <v>11285.85</v>
      </c>
      <c r="D753" s="186">
        <f t="shared" si="26"/>
        <v>2.0350544574425173</v>
      </c>
      <c r="E753" s="186">
        <v>-1.754958672290198E-2</v>
      </c>
      <c r="G753">
        <v>742</v>
      </c>
      <c r="H753" s="186">
        <f t="shared" ca="1" si="27"/>
        <v>-1.9280469427727948E-2</v>
      </c>
    </row>
    <row r="754" spans="2:8" x14ac:dyDescent="0.25">
      <c r="B754" s="67">
        <v>42778</v>
      </c>
      <c r="C754" s="66">
        <v>3718.5</v>
      </c>
      <c r="D754" s="186">
        <f t="shared" si="26"/>
        <v>-5.4418308963763512E-2</v>
      </c>
      <c r="E754" s="186">
        <v>-1.7854784606851352E-2</v>
      </c>
      <c r="G754">
        <v>743</v>
      </c>
      <c r="H754" s="186">
        <f t="shared" ca="1" si="27"/>
        <v>3.3866896575105191E-3</v>
      </c>
    </row>
    <row r="755" spans="2:8" x14ac:dyDescent="0.25">
      <c r="B755" s="67">
        <v>43436</v>
      </c>
      <c r="C755" s="66">
        <v>3932.5</v>
      </c>
      <c r="D755" s="186">
        <f t="shared" si="26"/>
        <v>5.3463245380456712</v>
      </c>
      <c r="E755" s="186">
        <v>-1.8114630279272462E-2</v>
      </c>
      <c r="G755">
        <v>744</v>
      </c>
      <c r="H755" s="186">
        <f t="shared" ca="1" si="27"/>
        <v>9.0717373051296415E-2</v>
      </c>
    </row>
    <row r="756" spans="2:8" x14ac:dyDescent="0.25">
      <c r="B756" s="67">
        <v>38781</v>
      </c>
      <c r="C756">
        <v>619.65</v>
      </c>
      <c r="D756" s="186">
        <f t="shared" si="26"/>
        <v>-0.59139465875370922</v>
      </c>
      <c r="E756" s="186">
        <v>-1.8142925051497456E-2</v>
      </c>
      <c r="G756">
        <v>745</v>
      </c>
      <c r="H756" s="186">
        <f t="shared" ca="1" si="27"/>
        <v>-5.6275457145380473E-2</v>
      </c>
    </row>
    <row r="757" spans="2:8" x14ac:dyDescent="0.25">
      <c r="B757" s="67">
        <v>41084</v>
      </c>
      <c r="C757" s="66">
        <v>1516.5</v>
      </c>
      <c r="D757" s="186">
        <f t="shared" si="26"/>
        <v>-0.75301101800503256</v>
      </c>
      <c r="E757" s="186">
        <v>-1.8383066865169325E-2</v>
      </c>
      <c r="G757">
        <v>746</v>
      </c>
      <c r="H757" s="186">
        <f t="shared" ca="1" si="27"/>
        <v>5.17272520411413E-2</v>
      </c>
    </row>
    <row r="758" spans="2:8" x14ac:dyDescent="0.25">
      <c r="B758" s="67">
        <v>44822</v>
      </c>
      <c r="C758" s="66">
        <v>6139.95</v>
      </c>
      <c r="D758" s="186">
        <f t="shared" si="26"/>
        <v>0.47320496670865569</v>
      </c>
      <c r="E758" s="186">
        <v>-1.8408978273728723E-2</v>
      </c>
      <c r="G758">
        <v>747</v>
      </c>
      <c r="H758" s="186">
        <f t="shared" ca="1" si="27"/>
        <v>3.1612177594784255E-2</v>
      </c>
    </row>
    <row r="759" spans="2:8" x14ac:dyDescent="0.25">
      <c r="B759" s="67">
        <v>43310</v>
      </c>
      <c r="C759" s="66">
        <v>4167.75</v>
      </c>
      <c r="D759" s="186">
        <f t="shared" si="26"/>
        <v>6.0253377089216187E-2</v>
      </c>
      <c r="E759" s="186">
        <v>-1.847534265931888E-2</v>
      </c>
      <c r="G759">
        <v>748</v>
      </c>
      <c r="H759" s="186">
        <f t="shared" ca="1" si="27"/>
        <v>1.3317171456193409E-2</v>
      </c>
    </row>
    <row r="760" spans="2:8" x14ac:dyDescent="0.25">
      <c r="B760" s="67">
        <v>43009</v>
      </c>
      <c r="C760" s="66">
        <v>3930.9</v>
      </c>
      <c r="D760" s="186">
        <f t="shared" si="26"/>
        <v>3.3071275954637596</v>
      </c>
      <c r="E760" s="186">
        <v>-1.8501872659176008E-2</v>
      </c>
      <c r="G760">
        <v>749</v>
      </c>
      <c r="H760" s="186">
        <f t="shared" ca="1" si="27"/>
        <v>8.7298756674267994E-2</v>
      </c>
    </row>
    <row r="761" spans="2:8" x14ac:dyDescent="0.25">
      <c r="B761" s="67">
        <v>40195</v>
      </c>
      <c r="C761">
        <v>912.65</v>
      </c>
      <c r="D761" s="186">
        <f t="shared" si="26"/>
        <v>0.13154795114995974</v>
      </c>
      <c r="E761" s="186">
        <v>-1.865591397849465E-2</v>
      </c>
      <c r="G761">
        <v>750</v>
      </c>
      <c r="H761" s="186">
        <f t="shared" ca="1" si="27"/>
        <v>-9.3478575404330605E-3</v>
      </c>
    </row>
    <row r="762" spans="2:8" x14ac:dyDescent="0.25">
      <c r="B762" s="67">
        <v>39243</v>
      </c>
      <c r="C762">
        <v>806.55</v>
      </c>
      <c r="D762" s="186">
        <f t="shared" si="26"/>
        <v>0.6082751744765702</v>
      </c>
      <c r="E762" s="186">
        <v>-1.8676237985156375E-2</v>
      </c>
      <c r="G762">
        <v>751</v>
      </c>
      <c r="H762" s="186">
        <f t="shared" ca="1" si="27"/>
        <v>6.2139750434446594E-3</v>
      </c>
    </row>
    <row r="763" spans="2:8" x14ac:dyDescent="0.25">
      <c r="B763" s="67">
        <v>38725</v>
      </c>
      <c r="C763">
        <v>501.5</v>
      </c>
      <c r="D763" s="186">
        <f t="shared" si="26"/>
        <v>-0.88197083985455227</v>
      </c>
      <c r="E763" s="186">
        <v>-1.8687016925936818E-2</v>
      </c>
      <c r="G763">
        <v>752</v>
      </c>
      <c r="H763" s="186">
        <f t="shared" ca="1" si="27"/>
        <v>4.5347423235738385E-2</v>
      </c>
    </row>
    <row r="764" spans="2:8" x14ac:dyDescent="0.25">
      <c r="B764" s="67">
        <v>42848</v>
      </c>
      <c r="C764" s="66">
        <v>4248.95</v>
      </c>
      <c r="D764" s="186">
        <f t="shared" si="26"/>
        <v>3.2470388325253636</v>
      </c>
      <c r="E764" s="186">
        <v>-1.8706913474751442E-2</v>
      </c>
      <c r="G764">
        <v>753</v>
      </c>
      <c r="H764" s="186">
        <f t="shared" ca="1" si="27"/>
        <v>8.2100070731958661E-3</v>
      </c>
    </row>
    <row r="765" spans="2:8" x14ac:dyDescent="0.25">
      <c r="B765" s="67">
        <v>40755</v>
      </c>
      <c r="C765" s="66">
        <v>1000.45</v>
      </c>
      <c r="D765" s="186">
        <f t="shared" si="26"/>
        <v>-0.6396657602333915</v>
      </c>
      <c r="E765" s="186">
        <v>-1.9118584244325703E-2</v>
      </c>
      <c r="G765">
        <v>754</v>
      </c>
      <c r="H765" s="186">
        <f t="shared" ca="1" si="27"/>
        <v>-1.961746428176445E-2</v>
      </c>
    </row>
    <row r="766" spans="2:8" x14ac:dyDescent="0.25">
      <c r="B766" s="67">
        <v>42323</v>
      </c>
      <c r="C766" s="66">
        <v>2776.45</v>
      </c>
      <c r="D766" s="186">
        <f t="shared" si="26"/>
        <v>-0.28326556953856086</v>
      </c>
      <c r="E766" s="186">
        <v>-1.9251488016390258E-2</v>
      </c>
      <c r="G766">
        <v>755</v>
      </c>
      <c r="H766" s="186">
        <f t="shared" ca="1" si="27"/>
        <v>3.4650428536286332E-2</v>
      </c>
    </row>
    <row r="767" spans="2:8" x14ac:dyDescent="0.25">
      <c r="B767" s="67">
        <v>43177</v>
      </c>
      <c r="C767" s="66">
        <v>3873.75</v>
      </c>
      <c r="D767" s="186">
        <f t="shared" si="26"/>
        <v>0.40940513007094781</v>
      </c>
      <c r="E767" s="186">
        <v>-1.9303797468354429E-2</v>
      </c>
      <c r="G767">
        <v>756</v>
      </c>
      <c r="H767" s="186">
        <f t="shared" ca="1" si="27"/>
        <v>-5.3539822542247914E-2</v>
      </c>
    </row>
    <row r="768" spans="2:8" x14ac:dyDescent="0.25">
      <c r="B768" s="67">
        <v>42162</v>
      </c>
      <c r="C768" s="66">
        <v>2748.5</v>
      </c>
      <c r="D768" s="186">
        <f t="shared" si="26"/>
        <v>0.38978080044497249</v>
      </c>
      <c r="E768" s="186">
        <v>-1.9355989653019354E-2</v>
      </c>
      <c r="G768">
        <v>757</v>
      </c>
      <c r="H768" s="186">
        <f t="shared" ca="1" si="27"/>
        <v>3.7519772176901334E-2</v>
      </c>
    </row>
    <row r="769" spans="2:8" x14ac:dyDescent="0.25">
      <c r="B769" s="67">
        <v>41399</v>
      </c>
      <c r="C769" s="66">
        <v>1977.65</v>
      </c>
      <c r="D769" s="186">
        <f t="shared" si="26"/>
        <v>-0.83308857661307345</v>
      </c>
      <c r="E769" s="186">
        <v>-1.9387628610387956E-2</v>
      </c>
      <c r="G769">
        <v>758</v>
      </c>
      <c r="H769" s="186">
        <f t="shared" ca="1" si="27"/>
        <v>-1.1863006643381559E-2</v>
      </c>
    </row>
    <row r="770" spans="2:8" x14ac:dyDescent="0.25">
      <c r="B770" s="67">
        <v>45627</v>
      </c>
      <c r="C770" s="66">
        <v>11848.5</v>
      </c>
      <c r="D770" s="186">
        <f t="shared" si="26"/>
        <v>2.0741788179129261</v>
      </c>
      <c r="E770" s="186">
        <v>-1.948046574367544E-2</v>
      </c>
      <c r="G770">
        <v>759</v>
      </c>
      <c r="H770" s="186">
        <f t="shared" ca="1" si="27"/>
        <v>2.6299576887713467E-2</v>
      </c>
    </row>
    <row r="771" spans="2:8" x14ac:dyDescent="0.25">
      <c r="B771" s="67">
        <v>43002</v>
      </c>
      <c r="C771" s="66">
        <v>3854.2</v>
      </c>
      <c r="D771" s="186">
        <f t="shared" si="26"/>
        <v>-0.5335253679318358</v>
      </c>
      <c r="E771" s="186">
        <v>-1.9512071026991342E-2</v>
      </c>
      <c r="G771">
        <v>760</v>
      </c>
      <c r="H771" s="186">
        <f t="shared" ca="1" si="27"/>
        <v>1.2605884161967489E-2</v>
      </c>
    </row>
    <row r="772" spans="2:8" x14ac:dyDescent="0.25">
      <c r="B772" s="67">
        <v>45165</v>
      </c>
      <c r="C772" s="66">
        <v>8262.4</v>
      </c>
      <c r="D772" s="186">
        <f t="shared" si="26"/>
        <v>1.6432913174227395</v>
      </c>
      <c r="E772" s="186">
        <v>-1.9945317921132032E-2</v>
      </c>
      <c r="G772">
        <v>761</v>
      </c>
      <c r="H772" s="186">
        <f t="shared" ca="1" si="27"/>
        <v>-7.3882021336456868E-2</v>
      </c>
    </row>
    <row r="773" spans="2:8" x14ac:dyDescent="0.25">
      <c r="B773" s="67">
        <v>42057</v>
      </c>
      <c r="C773" s="66">
        <v>3125.8</v>
      </c>
      <c r="D773" s="186">
        <f t="shared" si="26"/>
        <v>-0.3056478036319209</v>
      </c>
      <c r="E773" s="186">
        <v>-1.9987145522095594E-2</v>
      </c>
      <c r="G773">
        <v>762</v>
      </c>
      <c r="H773" s="186">
        <f t="shared" ca="1" si="27"/>
        <v>-3.2548560480114869E-2</v>
      </c>
    </row>
    <row r="774" spans="2:8" x14ac:dyDescent="0.25">
      <c r="B774" s="67">
        <v>43625</v>
      </c>
      <c r="C774" s="66">
        <v>4501.75</v>
      </c>
      <c r="D774" s="186">
        <f t="shared" si="26"/>
        <v>8.3610148276526186E-2</v>
      </c>
      <c r="E774" s="186">
        <v>-2.0325778266215389E-2</v>
      </c>
      <c r="G774">
        <v>763</v>
      </c>
      <c r="H774" s="186">
        <f t="shared" ca="1" si="27"/>
        <v>2.3896614610201466E-2</v>
      </c>
    </row>
    <row r="775" spans="2:8" x14ac:dyDescent="0.25">
      <c r="B775" s="67">
        <v>42876</v>
      </c>
      <c r="C775" s="66">
        <v>4154.3999999999996</v>
      </c>
      <c r="D775" s="186">
        <f t="shared" si="26"/>
        <v>3.8878169304076704</v>
      </c>
      <c r="E775" s="186">
        <v>-2.0327312172805905E-2</v>
      </c>
      <c r="G775">
        <v>764</v>
      </c>
      <c r="H775" s="186">
        <f t="shared" ca="1" si="27"/>
        <v>-2.0785184748988373E-2</v>
      </c>
    </row>
    <row r="776" spans="2:8" x14ac:dyDescent="0.25">
      <c r="B776" s="67">
        <v>38970</v>
      </c>
      <c r="C776">
        <v>849.95</v>
      </c>
      <c r="D776" s="186">
        <f t="shared" si="26"/>
        <v>-0.92427387740555944</v>
      </c>
      <c r="E776" s="186">
        <v>-2.03434762563393E-2</v>
      </c>
      <c r="G776">
        <v>765</v>
      </c>
      <c r="H776" s="186">
        <f t="shared" ca="1" si="27"/>
        <v>1.3886797405714402E-2</v>
      </c>
    </row>
    <row r="777" spans="2:8" x14ac:dyDescent="0.25">
      <c r="B777" s="67">
        <v>45816</v>
      </c>
      <c r="C777" s="66">
        <v>11224</v>
      </c>
      <c r="D777" s="186">
        <f t="shared" si="26"/>
        <v>3.3811233849877045</v>
      </c>
      <c r="E777" s="186">
        <v>-2.0422412288357481E-2</v>
      </c>
      <c r="G777">
        <v>766</v>
      </c>
      <c r="H777" s="186">
        <f t="shared" ca="1" si="27"/>
        <v>7.5755749164446815E-2</v>
      </c>
    </row>
    <row r="778" spans="2:8" x14ac:dyDescent="0.25">
      <c r="B778" s="67">
        <v>41945</v>
      </c>
      <c r="C778" s="66">
        <v>2561.9</v>
      </c>
      <c r="D778" s="186">
        <f t="shared" si="26"/>
        <v>3.7486561631139947</v>
      </c>
      <c r="E778" s="186">
        <v>-2.068042813455654E-2</v>
      </c>
      <c r="G778">
        <v>767</v>
      </c>
      <c r="H778" s="186">
        <f t="shared" ca="1" si="27"/>
        <v>-0.10256735372452805</v>
      </c>
    </row>
    <row r="779" spans="2:8" x14ac:dyDescent="0.25">
      <c r="B779" s="67">
        <v>39642</v>
      </c>
      <c r="C779">
        <v>539.5</v>
      </c>
      <c r="D779" s="186">
        <f t="shared" si="26"/>
        <v>-0.26121191372817526</v>
      </c>
      <c r="E779" s="186">
        <v>-2.0693410782356102E-2</v>
      </c>
      <c r="G779">
        <v>768</v>
      </c>
      <c r="H779" s="186">
        <f t="shared" ca="1" si="27"/>
        <v>3.935788349267175E-3</v>
      </c>
    </row>
    <row r="780" spans="2:8" x14ac:dyDescent="0.25">
      <c r="B780" s="67">
        <v>39999</v>
      </c>
      <c r="C780">
        <v>730.25</v>
      </c>
      <c r="D780" s="186">
        <f t="shared" ref="D780:D843" si="28">(C780-C781)/C781</f>
        <v>-0.91089567991995557</v>
      </c>
      <c r="E780" s="186">
        <v>-2.0718787716239834E-2</v>
      </c>
      <c r="G780">
        <v>769</v>
      </c>
      <c r="H780" s="186">
        <f t="shared" ca="1" si="27"/>
        <v>3.3951544323905181E-2</v>
      </c>
    </row>
    <row r="781" spans="2:8" x14ac:dyDescent="0.25">
      <c r="B781" s="67">
        <v>45200</v>
      </c>
      <c r="C781" s="66">
        <v>8195.4500000000007</v>
      </c>
      <c r="D781" s="186">
        <f t="shared" si="28"/>
        <v>0.117375980803185</v>
      </c>
      <c r="E781" s="186">
        <v>-2.0737244593141267E-2</v>
      </c>
      <c r="G781">
        <v>770</v>
      </c>
      <c r="H781" s="186">
        <f t="shared" ref="H781:H844" ca="1" si="29">_xlfn.NORM.INV(RAND(),N$14,N$15)</f>
        <v>4.4020791107423447E-3</v>
      </c>
    </row>
    <row r="782" spans="2:8" x14ac:dyDescent="0.25">
      <c r="B782" s="67">
        <v>44388</v>
      </c>
      <c r="C782" s="66">
        <v>7334.55</v>
      </c>
      <c r="D782" s="186">
        <f t="shared" si="28"/>
        <v>1.3932749253585237</v>
      </c>
      <c r="E782" s="186">
        <v>-2.0793559670507188E-2</v>
      </c>
      <c r="G782">
        <v>771</v>
      </c>
      <c r="H782" s="186">
        <f t="shared" ca="1" si="29"/>
        <v>-1.336105520126455E-2</v>
      </c>
    </row>
    <row r="783" spans="2:8" x14ac:dyDescent="0.25">
      <c r="B783" s="67">
        <v>42183</v>
      </c>
      <c r="C783" s="66">
        <v>3064.65</v>
      </c>
      <c r="D783" s="186">
        <f t="shared" si="28"/>
        <v>-0.12027614714451795</v>
      </c>
      <c r="E783" s="186">
        <v>-2.0816026583168282E-2</v>
      </c>
      <c r="G783">
        <v>772</v>
      </c>
      <c r="H783" s="186">
        <f t="shared" ca="1" si="29"/>
        <v>-3.4037630230222493E-2</v>
      </c>
    </row>
    <row r="784" spans="2:8" x14ac:dyDescent="0.25">
      <c r="B784" s="67">
        <v>43492</v>
      </c>
      <c r="C784" s="66">
        <v>3483.65</v>
      </c>
      <c r="D784" s="186">
        <f t="shared" si="28"/>
        <v>-9.5519985460399082E-2</v>
      </c>
      <c r="E784" s="186">
        <v>-2.0841531283377391E-2</v>
      </c>
      <c r="G784">
        <v>773</v>
      </c>
      <c r="H784" s="186">
        <f t="shared" ca="1" si="29"/>
        <v>6.6037881997640657E-2</v>
      </c>
    </row>
    <row r="785" spans="2:8" x14ac:dyDescent="0.25">
      <c r="B785" s="67">
        <v>42638</v>
      </c>
      <c r="C785" s="66">
        <v>3851.55</v>
      </c>
      <c r="D785" s="186">
        <f t="shared" si="28"/>
        <v>6.5365424126797764</v>
      </c>
      <c r="E785" s="186">
        <v>-2.0933424845573072E-2</v>
      </c>
      <c r="G785">
        <v>774</v>
      </c>
      <c r="H785" s="186">
        <f t="shared" ca="1" si="29"/>
        <v>-1.129179318491709E-3</v>
      </c>
    </row>
    <row r="786" spans="2:8" x14ac:dyDescent="0.25">
      <c r="B786" s="67">
        <v>38732</v>
      </c>
      <c r="C786">
        <v>511.05</v>
      </c>
      <c r="D786" s="186">
        <f t="shared" si="28"/>
        <v>-0.7489869594047005</v>
      </c>
      <c r="E786" s="186">
        <v>-2.0977011494252851E-2</v>
      </c>
      <c r="G786">
        <v>775</v>
      </c>
      <c r="H786" s="186">
        <f t="shared" ca="1" si="29"/>
        <v>-2.6235965505452315E-3</v>
      </c>
    </row>
    <row r="787" spans="2:8" x14ac:dyDescent="0.25">
      <c r="B787" s="67">
        <v>41756</v>
      </c>
      <c r="C787" s="66">
        <v>2035.95</v>
      </c>
      <c r="D787" s="186">
        <f t="shared" si="28"/>
        <v>-0.48920556468507342</v>
      </c>
      <c r="E787" s="186">
        <v>-2.0989613387189781E-2</v>
      </c>
      <c r="G787">
        <v>776</v>
      </c>
      <c r="H787" s="186">
        <f t="shared" ca="1" si="29"/>
        <v>-4.4533718424389135E-2</v>
      </c>
    </row>
    <row r="788" spans="2:8" x14ac:dyDescent="0.25">
      <c r="B788" s="67">
        <v>43219</v>
      </c>
      <c r="C788" s="66">
        <v>3985.85</v>
      </c>
      <c r="D788" s="186">
        <f t="shared" si="28"/>
        <v>9.5103992087259975E-2</v>
      </c>
      <c r="E788" s="186">
        <v>-2.1060516750171922E-2</v>
      </c>
      <c r="G788">
        <v>777</v>
      </c>
      <c r="H788" s="186">
        <f t="shared" ca="1" si="29"/>
        <v>4.0255888182394894E-2</v>
      </c>
    </row>
    <row r="789" spans="2:8" x14ac:dyDescent="0.25">
      <c r="B789" s="67">
        <v>42568</v>
      </c>
      <c r="C789" s="66">
        <v>3639.7</v>
      </c>
      <c r="D789" s="186">
        <f t="shared" si="28"/>
        <v>2.5867947770386794</v>
      </c>
      <c r="E789" s="186">
        <v>-2.1112366198698294E-2</v>
      </c>
      <c r="G789">
        <v>778</v>
      </c>
      <c r="H789" s="186">
        <f t="shared" ca="1" si="29"/>
        <v>4.4870445634743433E-2</v>
      </c>
    </row>
    <row r="790" spans="2:8" x14ac:dyDescent="0.25">
      <c r="B790" s="67">
        <v>40608</v>
      </c>
      <c r="C790" s="66">
        <v>1014.75</v>
      </c>
      <c r="D790" s="186">
        <f t="shared" si="28"/>
        <v>-0.9155711789666362</v>
      </c>
      <c r="E790" s="186">
        <v>-2.1220159151193633E-2</v>
      </c>
      <c r="G790">
        <v>779</v>
      </c>
      <c r="H790" s="186">
        <f t="shared" ca="1" si="29"/>
        <v>-1.6223419495947921E-2</v>
      </c>
    </row>
    <row r="791" spans="2:8" x14ac:dyDescent="0.25">
      <c r="B791" s="67">
        <v>45928</v>
      </c>
      <c r="C791" s="66">
        <v>12019</v>
      </c>
      <c r="D791" s="186">
        <f t="shared" si="28"/>
        <v>5.6774077057696042</v>
      </c>
      <c r="E791" s="186">
        <v>-2.1333767608500937E-2</v>
      </c>
      <c r="G791">
        <v>780</v>
      </c>
      <c r="H791" s="186">
        <f t="shared" ca="1" si="29"/>
        <v>8.3911443756118823E-2</v>
      </c>
    </row>
    <row r="792" spans="2:8" x14ac:dyDescent="0.25">
      <c r="B792" s="67">
        <v>41686</v>
      </c>
      <c r="C792" s="66">
        <v>1799.95</v>
      </c>
      <c r="D792" s="186">
        <f t="shared" si="28"/>
        <v>0.75382441781155618</v>
      </c>
      <c r="E792" s="186">
        <v>-2.134080034797738E-2</v>
      </c>
      <c r="G792">
        <v>781</v>
      </c>
      <c r="H792" s="186">
        <f t="shared" ca="1" si="29"/>
        <v>1.980831264969812E-2</v>
      </c>
    </row>
    <row r="793" spans="2:8" x14ac:dyDescent="0.25">
      <c r="B793" s="67">
        <v>40426</v>
      </c>
      <c r="C793" s="66">
        <v>1026.3</v>
      </c>
      <c r="D793" s="186">
        <f t="shared" si="28"/>
        <v>-0.87412381565633335</v>
      </c>
      <c r="E793" s="186">
        <v>-2.1359778773719928E-2</v>
      </c>
      <c r="G793">
        <v>782</v>
      </c>
      <c r="H793" s="186">
        <f t="shared" ca="1" si="29"/>
        <v>-5.9223474381874114E-2</v>
      </c>
    </row>
    <row r="794" spans="2:8" x14ac:dyDescent="0.25">
      <c r="B794" s="67">
        <v>45081</v>
      </c>
      <c r="C794" s="66">
        <v>8153.25</v>
      </c>
      <c r="D794" s="186">
        <f t="shared" si="28"/>
        <v>-0.33804903791507673</v>
      </c>
      <c r="E794" s="186">
        <v>-2.1600216002160021E-2</v>
      </c>
      <c r="G794">
        <v>783</v>
      </c>
      <c r="H794" s="186">
        <f t="shared" ca="1" si="29"/>
        <v>-5.7727722682147278E-2</v>
      </c>
    </row>
    <row r="795" spans="2:8" x14ac:dyDescent="0.25">
      <c r="B795" s="67">
        <v>45879</v>
      </c>
      <c r="C795" s="66">
        <v>12317</v>
      </c>
      <c r="D795" s="186">
        <f t="shared" si="28"/>
        <v>0.44521624856264513</v>
      </c>
      <c r="E795" s="186">
        <v>-2.1606164111525935E-2</v>
      </c>
      <c r="G795">
        <v>784</v>
      </c>
      <c r="H795" s="186">
        <f t="shared" ca="1" si="29"/>
        <v>1.3874393470198896E-2</v>
      </c>
    </row>
    <row r="796" spans="2:8" x14ac:dyDescent="0.25">
      <c r="B796" s="67">
        <v>45228</v>
      </c>
      <c r="C796" s="66">
        <v>8522.6</v>
      </c>
      <c r="D796" s="186">
        <f t="shared" si="28"/>
        <v>9.4175528663977506</v>
      </c>
      <c r="E796" s="186">
        <v>-2.1610979410734886E-2</v>
      </c>
      <c r="G796">
        <v>785</v>
      </c>
      <c r="H796" s="186">
        <f t="shared" ca="1" si="29"/>
        <v>6.7349187064089697E-2</v>
      </c>
    </row>
    <row r="797" spans="2:8" x14ac:dyDescent="0.25">
      <c r="B797" s="67">
        <v>40139</v>
      </c>
      <c r="C797">
        <v>818.1</v>
      </c>
      <c r="D797" s="186">
        <f t="shared" si="28"/>
        <v>-0.74829241277459846</v>
      </c>
      <c r="E797" s="186">
        <v>-2.176252540954195E-2</v>
      </c>
      <c r="G797">
        <v>786</v>
      </c>
      <c r="H797" s="186">
        <f t="shared" ca="1" si="29"/>
        <v>-2.4974056532766218E-2</v>
      </c>
    </row>
    <row r="798" spans="2:8" x14ac:dyDescent="0.25">
      <c r="B798" s="67">
        <v>42729</v>
      </c>
      <c r="C798" s="66">
        <v>3250.2</v>
      </c>
      <c r="D798" s="186">
        <f t="shared" si="28"/>
        <v>-0.21992079683187332</v>
      </c>
      <c r="E798" s="186">
        <v>-2.1834323978632213E-2</v>
      </c>
      <c r="G798">
        <v>787</v>
      </c>
      <c r="H798" s="186">
        <f t="shared" ca="1" si="29"/>
        <v>-3.8836740845207732E-2</v>
      </c>
    </row>
    <row r="799" spans="2:8" x14ac:dyDescent="0.25">
      <c r="B799" s="67">
        <v>43562</v>
      </c>
      <c r="C799" s="66">
        <v>4166.5</v>
      </c>
      <c r="D799" s="186">
        <f t="shared" si="28"/>
        <v>2.6228859614799358</v>
      </c>
      <c r="E799" s="186">
        <v>-2.1936877193394246E-2</v>
      </c>
      <c r="G799">
        <v>788</v>
      </c>
      <c r="H799" s="186">
        <f t="shared" ca="1" si="29"/>
        <v>-4.2396897409974044E-2</v>
      </c>
    </row>
    <row r="800" spans="2:8" x14ac:dyDescent="0.25">
      <c r="B800" s="67">
        <v>40846</v>
      </c>
      <c r="C800" s="66">
        <v>1150.05</v>
      </c>
      <c r="D800" s="186">
        <f t="shared" si="28"/>
        <v>0.20714810538469602</v>
      </c>
      <c r="E800" s="186">
        <v>-2.2398843930635952E-2</v>
      </c>
      <c r="G800">
        <v>789</v>
      </c>
      <c r="H800" s="186">
        <f t="shared" ca="1" si="29"/>
        <v>-1.1038576285072141E-2</v>
      </c>
    </row>
    <row r="801" spans="2:8" x14ac:dyDescent="0.25">
      <c r="B801" s="67">
        <v>40328</v>
      </c>
      <c r="C801">
        <v>952.7</v>
      </c>
      <c r="D801" s="186">
        <f t="shared" si="28"/>
        <v>-0.88266085328603805</v>
      </c>
      <c r="E801" s="186">
        <v>-2.2470757233736895E-2</v>
      </c>
      <c r="G801">
        <v>790</v>
      </c>
      <c r="H801" s="186">
        <f t="shared" ca="1" si="29"/>
        <v>3.0737185158167892E-2</v>
      </c>
    </row>
    <row r="802" spans="2:8" x14ac:dyDescent="0.25">
      <c r="B802" s="67">
        <v>45123</v>
      </c>
      <c r="C802" s="66">
        <v>8119.2</v>
      </c>
      <c r="D802" s="186">
        <f t="shared" si="28"/>
        <v>3.957835923426861</v>
      </c>
      <c r="E802" s="186">
        <v>-2.2578023896228993E-2</v>
      </c>
      <c r="G802">
        <v>791</v>
      </c>
      <c r="H802" s="186">
        <f t="shared" ca="1" si="29"/>
        <v>1.2431723658928827E-3</v>
      </c>
    </row>
    <row r="803" spans="2:8" x14ac:dyDescent="0.25">
      <c r="B803" s="67">
        <v>41119</v>
      </c>
      <c r="C803" s="66">
        <v>1637.65</v>
      </c>
      <c r="D803" s="186">
        <f t="shared" si="28"/>
        <v>-0.56104588828133373</v>
      </c>
      <c r="E803" s="186">
        <v>-2.2677766836749918E-2</v>
      </c>
      <c r="G803">
        <v>792</v>
      </c>
      <c r="H803" s="186">
        <f t="shared" ca="1" si="29"/>
        <v>-6.1733267005007111E-3</v>
      </c>
    </row>
    <row r="804" spans="2:8" x14ac:dyDescent="0.25">
      <c r="B804" s="67">
        <v>43401</v>
      </c>
      <c r="C804" s="66">
        <v>3730.8</v>
      </c>
      <c r="D804" s="186">
        <f t="shared" si="28"/>
        <v>-4.8884016774802107E-2</v>
      </c>
      <c r="E804" s="186">
        <v>-2.2800791021124384E-2</v>
      </c>
      <c r="G804">
        <v>793</v>
      </c>
      <c r="H804" s="186">
        <f t="shared" ca="1" si="29"/>
        <v>-1.2579828399705922E-2</v>
      </c>
    </row>
    <row r="805" spans="2:8" x14ac:dyDescent="0.25">
      <c r="B805" s="67">
        <v>42953</v>
      </c>
      <c r="C805" s="66">
        <v>3922.55</v>
      </c>
      <c r="D805" s="186">
        <f t="shared" si="28"/>
        <v>1.6498344930081741</v>
      </c>
      <c r="E805" s="186">
        <v>-2.2867961189233559E-2</v>
      </c>
      <c r="G805">
        <v>794</v>
      </c>
      <c r="H805" s="186">
        <f t="shared" ca="1" si="29"/>
        <v>-2.9789505957526076E-3</v>
      </c>
    </row>
    <row r="806" spans="2:8" x14ac:dyDescent="0.25">
      <c r="B806" s="67">
        <v>40979</v>
      </c>
      <c r="C806" s="66">
        <v>1480.3</v>
      </c>
      <c r="D806" s="186">
        <f t="shared" si="28"/>
        <v>0.34866982507288635</v>
      </c>
      <c r="E806" s="186">
        <v>-2.2904290429042934E-2</v>
      </c>
      <c r="G806">
        <v>795</v>
      </c>
      <c r="H806" s="186">
        <f t="shared" ca="1" si="29"/>
        <v>1.714517770771536E-2</v>
      </c>
    </row>
    <row r="807" spans="2:8" x14ac:dyDescent="0.25">
      <c r="B807" s="67">
        <v>40496</v>
      </c>
      <c r="C807" s="66">
        <v>1097.5999999999999</v>
      </c>
      <c r="D807" s="186">
        <f t="shared" si="28"/>
        <v>-0.86401452031543291</v>
      </c>
      <c r="E807" s="186">
        <v>-2.3096435405633969E-2</v>
      </c>
      <c r="G807">
        <v>796</v>
      </c>
      <c r="H807" s="186">
        <f t="shared" ca="1" si="29"/>
        <v>-4.0671968172181598E-4</v>
      </c>
    </row>
    <row r="808" spans="2:8" x14ac:dyDescent="0.25">
      <c r="B808" s="67">
        <v>45158</v>
      </c>
      <c r="C808" s="66">
        <v>8071.45</v>
      </c>
      <c r="D808" s="186">
        <f t="shared" si="28"/>
        <v>1.1707950083373675</v>
      </c>
      <c r="E808" s="186">
        <v>-2.3110718435321434E-2</v>
      </c>
      <c r="G808">
        <v>797</v>
      </c>
      <c r="H808" s="186">
        <f t="shared" ca="1" si="29"/>
        <v>8.2359291664499221E-2</v>
      </c>
    </row>
    <row r="809" spans="2:8" x14ac:dyDescent="0.25">
      <c r="B809" s="67">
        <v>42575</v>
      </c>
      <c r="C809" s="66">
        <v>3718.2</v>
      </c>
      <c r="D809" s="186">
        <f t="shared" si="28"/>
        <v>0.9610242345929696</v>
      </c>
      <c r="E809" s="186">
        <v>-2.3299797735690526E-2</v>
      </c>
      <c r="G809">
        <v>798</v>
      </c>
      <c r="H809" s="186">
        <f t="shared" ca="1" si="29"/>
        <v>2.2277070987652737E-2</v>
      </c>
    </row>
    <row r="810" spans="2:8" x14ac:dyDescent="0.25">
      <c r="B810" s="67">
        <v>41231</v>
      </c>
      <c r="C810" s="66">
        <v>1896.05</v>
      </c>
      <c r="D810" s="186">
        <f t="shared" si="28"/>
        <v>1.1754919396477541</v>
      </c>
      <c r="E810" s="186">
        <v>-2.335943133820961E-2</v>
      </c>
      <c r="G810">
        <v>799</v>
      </c>
      <c r="H810" s="186">
        <f t="shared" ca="1" si="29"/>
        <v>4.1822445201005814E-3</v>
      </c>
    </row>
    <row r="811" spans="2:8" x14ac:dyDescent="0.25">
      <c r="B811" s="67">
        <v>40391</v>
      </c>
      <c r="C811">
        <v>871.55</v>
      </c>
      <c r="D811" s="186">
        <f t="shared" si="28"/>
        <v>-0.92863751739949241</v>
      </c>
      <c r="E811" s="186">
        <v>-2.3363962348722574E-2</v>
      </c>
      <c r="G811">
        <v>800</v>
      </c>
      <c r="H811" s="186">
        <f t="shared" ca="1" si="29"/>
        <v>-6.0346252995466393E-3</v>
      </c>
    </row>
    <row r="812" spans="2:8" x14ac:dyDescent="0.25">
      <c r="B812" s="67">
        <v>45830</v>
      </c>
      <c r="C812" s="66">
        <v>12213</v>
      </c>
      <c r="D812" s="186">
        <f t="shared" si="28"/>
        <v>2.1490195572859592</v>
      </c>
      <c r="E812" s="186">
        <v>-2.3428754197984968E-2</v>
      </c>
      <c r="G812">
        <v>801</v>
      </c>
      <c r="H812" s="186">
        <f t="shared" ca="1" si="29"/>
        <v>-1.3147809013322357E-2</v>
      </c>
    </row>
    <row r="813" spans="2:8" x14ac:dyDescent="0.25">
      <c r="B813" s="67">
        <v>43520</v>
      </c>
      <c r="C813" s="66">
        <v>3878.35</v>
      </c>
      <c r="D813" s="186">
        <f t="shared" si="28"/>
        <v>-2.6701800614844114E-2</v>
      </c>
      <c r="E813" s="186">
        <v>-2.3577542799597204E-2</v>
      </c>
      <c r="G813">
        <v>802</v>
      </c>
      <c r="H813" s="186">
        <f t="shared" ca="1" si="29"/>
        <v>-4.8762342224648536E-2</v>
      </c>
    </row>
    <row r="814" spans="2:8" x14ac:dyDescent="0.25">
      <c r="B814" s="67">
        <v>42820</v>
      </c>
      <c r="C814" s="66">
        <v>3984.75</v>
      </c>
      <c r="D814" s="186">
        <f t="shared" si="28"/>
        <v>1.1145427047679695</v>
      </c>
      <c r="E814" s="186">
        <v>-2.358490566037736E-2</v>
      </c>
      <c r="G814">
        <v>803</v>
      </c>
      <c r="H814" s="186">
        <f t="shared" ca="1" si="29"/>
        <v>-1.9916881526577043E-2</v>
      </c>
    </row>
    <row r="815" spans="2:8" x14ac:dyDescent="0.25">
      <c r="B815" s="67">
        <v>41308</v>
      </c>
      <c r="C815" s="66">
        <v>1884.45</v>
      </c>
      <c r="D815" s="186">
        <f t="shared" si="28"/>
        <v>-0.7202108310753127</v>
      </c>
      <c r="E815" s="186">
        <v>-2.3601036269430029E-2</v>
      </c>
      <c r="G815">
        <v>804</v>
      </c>
      <c r="H815" s="186">
        <f t="shared" ca="1" si="29"/>
        <v>6.92342854562399E-2</v>
      </c>
    </row>
    <row r="816" spans="2:8" x14ac:dyDescent="0.25">
      <c r="B816" s="67">
        <v>44276</v>
      </c>
      <c r="C816" s="66">
        <v>6735.25</v>
      </c>
      <c r="D816" s="186">
        <f t="shared" si="28"/>
        <v>0.69246522848060699</v>
      </c>
      <c r="E816" s="186">
        <v>-2.3714097277082465E-2</v>
      </c>
      <c r="G816">
        <v>805</v>
      </c>
      <c r="H816" s="186">
        <f t="shared" ca="1" si="29"/>
        <v>1.8237282371857236E-2</v>
      </c>
    </row>
    <row r="817" spans="2:8" x14ac:dyDescent="0.25">
      <c r="B817" s="67">
        <v>43737</v>
      </c>
      <c r="C817" s="66">
        <v>3979.55</v>
      </c>
      <c r="D817" s="186">
        <f t="shared" si="28"/>
        <v>3.3953501214932627</v>
      </c>
      <c r="E817" s="186">
        <v>-2.3950259982340735E-2</v>
      </c>
      <c r="G817">
        <v>806</v>
      </c>
      <c r="H817" s="186">
        <f t="shared" ca="1" si="29"/>
        <v>8.5766236155680547E-2</v>
      </c>
    </row>
    <row r="818" spans="2:8" x14ac:dyDescent="0.25">
      <c r="B818" s="67">
        <v>39264</v>
      </c>
      <c r="C818">
        <v>905.4</v>
      </c>
      <c r="D818" s="186">
        <f t="shared" si="28"/>
        <v>-0.48892213033783977</v>
      </c>
      <c r="E818" s="186">
        <v>-2.3985339298226702E-2</v>
      </c>
      <c r="G818">
        <v>807</v>
      </c>
      <c r="H818" s="186">
        <f t="shared" ca="1" si="29"/>
        <v>-3.5299784454983857E-2</v>
      </c>
    </row>
    <row r="819" spans="2:8" x14ac:dyDescent="0.25">
      <c r="B819" s="67">
        <v>41364</v>
      </c>
      <c r="C819" s="66">
        <v>1771.55</v>
      </c>
      <c r="D819" s="186">
        <f t="shared" si="28"/>
        <v>-0.84504738538509649</v>
      </c>
      <c r="E819" s="186">
        <v>-2.4181332452009194E-2</v>
      </c>
      <c r="G819">
        <v>808</v>
      </c>
      <c r="H819" s="186">
        <f t="shared" ca="1" si="29"/>
        <v>-2.3358945767562748E-2</v>
      </c>
    </row>
    <row r="820" spans="2:8" x14ac:dyDescent="0.25">
      <c r="B820" s="67">
        <v>45536</v>
      </c>
      <c r="C820" s="66">
        <v>11432.85</v>
      </c>
      <c r="D820" s="186">
        <f t="shared" si="28"/>
        <v>0.71392913627811805</v>
      </c>
      <c r="E820" s="186">
        <v>-2.4330194274595842E-2</v>
      </c>
      <c r="G820">
        <v>809</v>
      </c>
      <c r="H820" s="186">
        <f t="shared" ca="1" si="29"/>
        <v>7.4734581375995382E-2</v>
      </c>
    </row>
    <row r="821" spans="2:8" x14ac:dyDescent="0.25">
      <c r="B821" s="67">
        <v>44647</v>
      </c>
      <c r="C821" s="66">
        <v>6670.55</v>
      </c>
      <c r="D821" s="186">
        <f t="shared" si="28"/>
        <v>6.8574120972966606</v>
      </c>
      <c r="E821" s="186">
        <v>-2.4345473160742988E-2</v>
      </c>
      <c r="G821">
        <v>810</v>
      </c>
      <c r="H821" s="186">
        <f t="shared" ca="1" si="29"/>
        <v>-3.3083134359679918E-2</v>
      </c>
    </row>
    <row r="822" spans="2:8" x14ac:dyDescent="0.25">
      <c r="B822" s="67">
        <v>40083</v>
      </c>
      <c r="C822">
        <v>848.95</v>
      </c>
      <c r="D822" s="186">
        <f t="shared" si="28"/>
        <v>-0.49881929275636105</v>
      </c>
      <c r="E822" s="186">
        <v>-2.4363615468597291E-2</v>
      </c>
      <c r="G822">
        <v>811</v>
      </c>
      <c r="H822" s="186">
        <f t="shared" ca="1" si="29"/>
        <v>3.4919359115661144E-2</v>
      </c>
    </row>
    <row r="823" spans="2:8" x14ac:dyDescent="0.25">
      <c r="B823" s="67">
        <v>41147</v>
      </c>
      <c r="C823" s="66">
        <v>1693.9</v>
      </c>
      <c r="D823" s="186">
        <f t="shared" si="28"/>
        <v>-0.51567570658622708</v>
      </c>
      <c r="E823" s="186">
        <v>-2.4391648668106499E-2</v>
      </c>
      <c r="G823">
        <v>812</v>
      </c>
      <c r="H823" s="186">
        <f t="shared" ca="1" si="29"/>
        <v>1.8162355800885245E-2</v>
      </c>
    </row>
    <row r="824" spans="2:8" x14ac:dyDescent="0.25">
      <c r="B824" s="67">
        <v>42694</v>
      </c>
      <c r="C824" s="66">
        <v>3497.45</v>
      </c>
      <c r="D824" s="186">
        <f t="shared" si="28"/>
        <v>-0.10415972951512516</v>
      </c>
      <c r="E824" s="186">
        <v>-2.4598050562659565E-2</v>
      </c>
      <c r="G824">
        <v>813</v>
      </c>
      <c r="H824" s="186">
        <f t="shared" ca="1" si="29"/>
        <v>-2.2594771150587997E-2</v>
      </c>
    </row>
    <row r="825" spans="2:8" x14ac:dyDescent="0.25">
      <c r="B825" s="67">
        <v>44080</v>
      </c>
      <c r="C825" s="66">
        <v>3904.1</v>
      </c>
      <c r="D825" s="186">
        <f t="shared" si="28"/>
        <v>0.27165238917299112</v>
      </c>
      <c r="E825" s="186">
        <v>-2.4609004147304252E-2</v>
      </c>
      <c r="G825">
        <v>814</v>
      </c>
      <c r="H825" s="186">
        <f t="shared" ca="1" si="29"/>
        <v>2.7355463833672496E-2</v>
      </c>
    </row>
    <row r="826" spans="2:8" x14ac:dyDescent="0.25">
      <c r="B826" s="67">
        <v>42015</v>
      </c>
      <c r="C826" s="66">
        <v>3070.1</v>
      </c>
      <c r="D826" s="186">
        <f t="shared" si="28"/>
        <v>1.7511089206505666</v>
      </c>
      <c r="E826" s="186">
        <v>-2.4714889291273606E-2</v>
      </c>
      <c r="G826">
        <v>815</v>
      </c>
      <c r="H826" s="186">
        <f t="shared" ca="1" si="29"/>
        <v>-3.4105029279378959E-2</v>
      </c>
    </row>
    <row r="827" spans="2:8" x14ac:dyDescent="0.25">
      <c r="B827" s="67">
        <v>40258</v>
      </c>
      <c r="C827" s="66">
        <v>1115.95</v>
      </c>
      <c r="D827" s="186">
        <f t="shared" si="28"/>
        <v>-0.858396355699929</v>
      </c>
      <c r="E827" s="186">
        <v>-2.4732357439370727E-2</v>
      </c>
      <c r="G827">
        <v>816</v>
      </c>
      <c r="H827" s="186">
        <f t="shared" ca="1" si="29"/>
        <v>-5.228906397860425E-2</v>
      </c>
    </row>
    <row r="828" spans="2:8" x14ac:dyDescent="0.25">
      <c r="B828" s="67">
        <v>44500</v>
      </c>
      <c r="C828" s="66">
        <v>7880.8</v>
      </c>
      <c r="D828" s="186">
        <f t="shared" si="28"/>
        <v>3.2882873078492723</v>
      </c>
      <c r="E828" s="186">
        <v>-2.4743990347430599E-2</v>
      </c>
      <c r="G828">
        <v>817</v>
      </c>
      <c r="H828" s="186">
        <f t="shared" ca="1" si="29"/>
        <v>5.9169914160086493E-3</v>
      </c>
    </row>
    <row r="829" spans="2:8" x14ac:dyDescent="0.25">
      <c r="B829" s="67">
        <v>41301</v>
      </c>
      <c r="C829" s="66">
        <v>1837.75</v>
      </c>
      <c r="D829" s="186">
        <f t="shared" si="28"/>
        <v>-0.26147323581417781</v>
      </c>
      <c r="E829" s="186">
        <v>-2.4781766563188222E-2</v>
      </c>
      <c r="G829">
        <v>818</v>
      </c>
      <c r="H829" s="186">
        <f t="shared" ca="1" si="29"/>
        <v>-1.6777538677771996E-2</v>
      </c>
    </row>
    <row r="830" spans="2:8" x14ac:dyDescent="0.25">
      <c r="B830" s="67">
        <v>41826</v>
      </c>
      <c r="C830" s="66">
        <v>2488.4</v>
      </c>
      <c r="D830" s="186">
        <f t="shared" si="28"/>
        <v>2.1099168905830159</v>
      </c>
      <c r="E830" s="186">
        <v>-2.4902525519700517E-2</v>
      </c>
      <c r="G830">
        <v>819</v>
      </c>
      <c r="H830" s="186">
        <f t="shared" ca="1" si="29"/>
        <v>-5.9715477254616817E-2</v>
      </c>
    </row>
    <row r="831" spans="2:8" x14ac:dyDescent="0.25">
      <c r="B831" s="67">
        <v>39208</v>
      </c>
      <c r="C831">
        <v>800.15</v>
      </c>
      <c r="D831" s="186">
        <f t="shared" si="28"/>
        <v>-0.85941810004040975</v>
      </c>
      <c r="E831" s="186">
        <v>-2.5098994821809349E-2</v>
      </c>
      <c r="G831">
        <v>820</v>
      </c>
      <c r="H831" s="186">
        <f t="shared" ca="1" si="29"/>
        <v>5.4269685268601542E-2</v>
      </c>
    </row>
    <row r="832" spans="2:8" x14ac:dyDescent="0.25">
      <c r="B832" s="67">
        <v>44738</v>
      </c>
      <c r="C832" s="66">
        <v>5691.7</v>
      </c>
      <c r="D832" s="186">
        <f t="shared" si="28"/>
        <v>14.987921348314606</v>
      </c>
      <c r="E832" s="186">
        <v>-2.5243616310732912E-2</v>
      </c>
      <c r="G832">
        <v>821</v>
      </c>
      <c r="H832" s="186">
        <f t="shared" ca="1" si="29"/>
        <v>3.1420665074842424E-2</v>
      </c>
    </row>
    <row r="833" spans="2:8" x14ac:dyDescent="0.25">
      <c r="B833" s="67">
        <v>38529</v>
      </c>
      <c r="C833">
        <v>356</v>
      </c>
      <c r="D833" s="186">
        <f t="shared" si="28"/>
        <v>-0.6451709359114921</v>
      </c>
      <c r="E833" s="186">
        <v>-2.5325119780971937E-2</v>
      </c>
      <c r="G833">
        <v>822</v>
      </c>
      <c r="H833" s="186">
        <f t="shared" ca="1" si="29"/>
        <v>-3.3002136484343324E-2</v>
      </c>
    </row>
    <row r="834" spans="2:8" x14ac:dyDescent="0.25">
      <c r="B834" s="67">
        <v>40741</v>
      </c>
      <c r="C834" s="66">
        <v>1003.3</v>
      </c>
      <c r="D834" s="186">
        <f t="shared" si="28"/>
        <v>-0.74496047179643621</v>
      </c>
      <c r="E834" s="186">
        <v>-2.5401913643207624E-2</v>
      </c>
      <c r="G834">
        <v>823</v>
      </c>
      <c r="H834" s="186">
        <f t="shared" ca="1" si="29"/>
        <v>7.2902186779967182E-2</v>
      </c>
    </row>
    <row r="835" spans="2:8" x14ac:dyDescent="0.25">
      <c r="B835" s="67">
        <v>42645</v>
      </c>
      <c r="C835" s="66">
        <v>3933.9</v>
      </c>
      <c r="D835" s="186">
        <f t="shared" si="28"/>
        <v>1.0958444326052212</v>
      </c>
      <c r="E835" s="186">
        <v>-2.5418060200668873E-2</v>
      </c>
      <c r="G835">
        <v>824</v>
      </c>
      <c r="H835" s="186">
        <f t="shared" ca="1" si="29"/>
        <v>2.0104847908699954E-2</v>
      </c>
    </row>
    <row r="836" spans="2:8" x14ac:dyDescent="0.25">
      <c r="B836" s="67">
        <v>41448</v>
      </c>
      <c r="C836" s="66">
        <v>1877</v>
      </c>
      <c r="D836" s="186">
        <f t="shared" si="28"/>
        <v>0.87531221900289746</v>
      </c>
      <c r="E836" s="186">
        <v>-2.5567813108371189E-2</v>
      </c>
      <c r="G836">
        <v>825</v>
      </c>
      <c r="H836" s="186">
        <f t="shared" ca="1" si="29"/>
        <v>-9.862245306202392E-3</v>
      </c>
    </row>
    <row r="837" spans="2:8" x14ac:dyDescent="0.25">
      <c r="B837" s="67">
        <v>40216</v>
      </c>
      <c r="C837" s="66">
        <v>1000.9</v>
      </c>
      <c r="D837" s="186">
        <f t="shared" si="28"/>
        <v>-0.87612930373010578</v>
      </c>
      <c r="E837" s="186">
        <v>-2.5745850975811491E-2</v>
      </c>
      <c r="G837">
        <v>826</v>
      </c>
      <c r="H837" s="186">
        <f t="shared" ca="1" si="29"/>
        <v>-4.0019890887951229E-2</v>
      </c>
    </row>
    <row r="838" spans="2:8" x14ac:dyDescent="0.25">
      <c r="B838" s="67">
        <v>45095</v>
      </c>
      <c r="C838" s="66">
        <v>8080.2</v>
      </c>
      <c r="D838" s="186">
        <f t="shared" si="28"/>
        <v>5.8668309679612474</v>
      </c>
      <c r="E838" s="186">
        <v>-2.5865758461677588E-2</v>
      </c>
      <c r="G838">
        <v>827</v>
      </c>
      <c r="H838" s="186">
        <f t="shared" ca="1" si="29"/>
        <v>-2.4757525479585374E-2</v>
      </c>
    </row>
    <row r="839" spans="2:8" x14ac:dyDescent="0.25">
      <c r="B839" s="67">
        <v>40874</v>
      </c>
      <c r="C839" s="66">
        <v>1176.7</v>
      </c>
      <c r="D839" s="186">
        <f t="shared" si="28"/>
        <v>-0.82489322757779138</v>
      </c>
      <c r="E839" s="186">
        <v>-2.6031535819227781E-2</v>
      </c>
      <c r="G839">
        <v>828</v>
      </c>
      <c r="H839" s="186">
        <f t="shared" ca="1" si="29"/>
        <v>-3.3222608391929392E-2</v>
      </c>
    </row>
    <row r="840" spans="2:8" x14ac:dyDescent="0.25">
      <c r="B840" s="67">
        <v>44374</v>
      </c>
      <c r="C840" s="66">
        <v>6719.9</v>
      </c>
      <c r="D840" s="186">
        <f t="shared" si="28"/>
        <v>7.5625637104994903</v>
      </c>
      <c r="E840" s="186">
        <v>-2.603793000992826E-2</v>
      </c>
      <c r="G840">
        <v>829</v>
      </c>
      <c r="H840" s="186">
        <f t="shared" ca="1" si="29"/>
        <v>1.6517622671041173E-2</v>
      </c>
    </row>
    <row r="841" spans="2:8" x14ac:dyDescent="0.25">
      <c r="B841" s="67">
        <v>39530</v>
      </c>
      <c r="C841">
        <v>784.8</v>
      </c>
      <c r="D841" s="186">
        <f t="shared" si="28"/>
        <v>-0.89334782904124477</v>
      </c>
      <c r="E841" s="186">
        <v>-2.6121486629025338E-2</v>
      </c>
      <c r="G841">
        <v>830</v>
      </c>
      <c r="H841" s="186">
        <f t="shared" ca="1" si="29"/>
        <v>-2.0391222636001377E-2</v>
      </c>
    </row>
    <row r="842" spans="2:8" x14ac:dyDescent="0.25">
      <c r="B842" s="67">
        <v>45032</v>
      </c>
      <c r="C842" s="66">
        <v>7358.5</v>
      </c>
      <c r="D842" s="186">
        <f t="shared" si="28"/>
        <v>12.687686011904761</v>
      </c>
      <c r="E842" s="186">
        <v>-2.6163944839998919E-2</v>
      </c>
      <c r="G842">
        <v>831</v>
      </c>
      <c r="H842" s="186">
        <f t="shared" ca="1" si="29"/>
        <v>-1.0593635241128009E-2</v>
      </c>
    </row>
    <row r="843" spans="2:8" x14ac:dyDescent="0.25">
      <c r="B843" s="67">
        <v>39628</v>
      </c>
      <c r="C843">
        <v>537.6</v>
      </c>
      <c r="D843" s="186">
        <f t="shared" si="28"/>
        <v>0.39166450944861508</v>
      </c>
      <c r="E843" s="186">
        <v>-2.6263358087303023E-2</v>
      </c>
      <c r="G843">
        <v>832</v>
      </c>
      <c r="H843" s="186">
        <f t="shared" ca="1" si="29"/>
        <v>-1.3226174055651864E-2</v>
      </c>
    </row>
    <row r="844" spans="2:8" x14ac:dyDescent="0.25">
      <c r="B844" s="67">
        <v>39810</v>
      </c>
      <c r="C844">
        <v>386.3</v>
      </c>
      <c r="D844" s="186">
        <f t="shared" ref="D844:D907" si="30">(C844-C845)/C845</f>
        <v>-0.48959503204069499</v>
      </c>
      <c r="E844" s="186">
        <v>-2.6339004410838029E-2</v>
      </c>
      <c r="G844">
        <v>833</v>
      </c>
      <c r="H844" s="186">
        <f t="shared" ca="1" si="29"/>
        <v>2.7100424203367664E-2</v>
      </c>
    </row>
    <row r="845" spans="2:8" x14ac:dyDescent="0.25">
      <c r="B845" s="67">
        <v>38949</v>
      </c>
      <c r="C845">
        <v>756.85</v>
      </c>
      <c r="D845" s="186">
        <f t="shared" si="30"/>
        <v>-0.30915978275751899</v>
      </c>
      <c r="E845" s="186">
        <v>-2.6434268073064003E-2</v>
      </c>
      <c r="G845">
        <v>834</v>
      </c>
      <c r="H845" s="186">
        <f t="shared" ref="H845:H908" ca="1" si="31">_xlfn.NORM.INV(RAND(),N$14,N$15)</f>
        <v>4.2208279888348285E-2</v>
      </c>
    </row>
    <row r="846" spans="2:8" x14ac:dyDescent="0.25">
      <c r="B846" s="67">
        <v>40818</v>
      </c>
      <c r="C846" s="66">
        <v>1095.55</v>
      </c>
      <c r="D846" s="186">
        <f t="shared" si="30"/>
        <v>-0.78154536390827511</v>
      </c>
      <c r="E846" s="186">
        <v>-2.6567150917410891E-2</v>
      </c>
      <c r="G846">
        <v>835</v>
      </c>
      <c r="H846" s="186">
        <f t="shared" ca="1" si="31"/>
        <v>-5.5708438214627079E-2</v>
      </c>
    </row>
    <row r="847" spans="2:8" x14ac:dyDescent="0.25">
      <c r="B847" s="67">
        <v>44171</v>
      </c>
      <c r="C847" s="66">
        <v>5015</v>
      </c>
      <c r="D847" s="186">
        <f t="shared" si="30"/>
        <v>4.6888435142646472</v>
      </c>
      <c r="E847" s="186">
        <v>-2.6686074721009218E-2</v>
      </c>
      <c r="G847">
        <v>836</v>
      </c>
      <c r="H847" s="186">
        <f t="shared" ca="1" si="31"/>
        <v>6.5904016157533177E-2</v>
      </c>
    </row>
    <row r="848" spans="2:8" x14ac:dyDescent="0.25">
      <c r="B848" s="67">
        <v>38991</v>
      </c>
      <c r="C848">
        <v>881.55</v>
      </c>
      <c r="D848" s="186">
        <f t="shared" si="30"/>
        <v>-0.85763081395348839</v>
      </c>
      <c r="E848" s="186">
        <v>-2.6718189345846036E-2</v>
      </c>
      <c r="G848">
        <v>837</v>
      </c>
      <c r="H848" s="186">
        <f t="shared" ca="1" si="31"/>
        <v>5.9114953800002389E-3</v>
      </c>
    </row>
    <row r="849" spans="2:8" x14ac:dyDescent="0.25">
      <c r="B849" s="67">
        <v>44843</v>
      </c>
      <c r="C849" s="66">
        <v>6192</v>
      </c>
      <c r="D849" s="186">
        <f t="shared" si="30"/>
        <v>3.5240008767443558</v>
      </c>
      <c r="E849" s="186">
        <v>-2.6858822235144297E-2</v>
      </c>
      <c r="G849">
        <v>838</v>
      </c>
      <c r="H849" s="186">
        <f t="shared" ca="1" si="31"/>
        <v>-4.658314733822401E-2</v>
      </c>
    </row>
    <row r="850" spans="2:8" x14ac:dyDescent="0.25">
      <c r="B850" s="67">
        <v>41035</v>
      </c>
      <c r="C850" s="66">
        <v>1368.7</v>
      </c>
      <c r="D850" s="186">
        <f t="shared" si="30"/>
        <v>-0.50548279288230513</v>
      </c>
      <c r="E850" s="186">
        <v>-2.7048160653989659E-2</v>
      </c>
      <c r="G850">
        <v>839</v>
      </c>
      <c r="H850" s="186">
        <f t="shared" ca="1" si="31"/>
        <v>-1.7042525104799262E-2</v>
      </c>
    </row>
    <row r="851" spans="2:8" x14ac:dyDescent="0.25">
      <c r="B851" s="67">
        <v>42407</v>
      </c>
      <c r="C851" s="66">
        <v>2767.75</v>
      </c>
      <c r="D851" s="186">
        <f t="shared" si="30"/>
        <v>-0.11023419542539344</v>
      </c>
      <c r="E851" s="186">
        <v>-2.7050304074243268E-2</v>
      </c>
      <c r="G851">
        <v>840</v>
      </c>
      <c r="H851" s="186">
        <f t="shared" ca="1" si="31"/>
        <v>-3.1556962648468627E-2</v>
      </c>
    </row>
    <row r="852" spans="2:8" x14ac:dyDescent="0.25">
      <c r="B852" s="67">
        <v>42442</v>
      </c>
      <c r="C852" s="66">
        <v>3110.65</v>
      </c>
      <c r="D852" s="186">
        <f t="shared" si="30"/>
        <v>-0.73862280480631881</v>
      </c>
      <c r="E852" s="186">
        <v>-2.7450796479544695E-2</v>
      </c>
      <c r="G852">
        <v>841</v>
      </c>
      <c r="H852" s="186">
        <f t="shared" ca="1" si="31"/>
        <v>-9.7998853733608796E-2</v>
      </c>
    </row>
    <row r="853" spans="2:8" x14ac:dyDescent="0.25">
      <c r="B853" s="67">
        <v>45760</v>
      </c>
      <c r="C853" s="66">
        <v>11901</v>
      </c>
      <c r="D853" s="186">
        <f t="shared" si="30"/>
        <v>6.1186744825936126</v>
      </c>
      <c r="E853" s="186">
        <v>-2.7457710223093897E-2</v>
      </c>
      <c r="G853">
        <v>842</v>
      </c>
      <c r="H853" s="186">
        <f t="shared" ca="1" si="31"/>
        <v>-8.7760115262993432E-2</v>
      </c>
    </row>
    <row r="854" spans="2:8" x14ac:dyDescent="0.25">
      <c r="B854" s="67">
        <v>41644</v>
      </c>
      <c r="C854" s="66">
        <v>1671.8</v>
      </c>
      <c r="D854" s="186">
        <f t="shared" si="30"/>
        <v>2.0346705391178075</v>
      </c>
      <c r="E854" s="186">
        <v>-2.7599243856332729E-2</v>
      </c>
      <c r="G854">
        <v>843</v>
      </c>
      <c r="H854" s="186">
        <f t="shared" ca="1" si="31"/>
        <v>-5.1838750111528652E-3</v>
      </c>
    </row>
    <row r="855" spans="2:8" x14ac:dyDescent="0.25">
      <c r="B855" s="67">
        <v>39649</v>
      </c>
      <c r="C855">
        <v>550.9</v>
      </c>
      <c r="D855" s="186">
        <f t="shared" si="30"/>
        <v>-0.34126509625732393</v>
      </c>
      <c r="E855" s="186">
        <v>-2.7623334215867934E-2</v>
      </c>
      <c r="G855">
        <v>844</v>
      </c>
      <c r="H855" s="186">
        <f t="shared" ca="1" si="31"/>
        <v>-6.4086516395970558E-2</v>
      </c>
    </row>
    <row r="856" spans="2:8" x14ac:dyDescent="0.25">
      <c r="B856" s="67">
        <v>40146</v>
      </c>
      <c r="C856">
        <v>836.3</v>
      </c>
      <c r="D856" s="186">
        <f t="shared" si="30"/>
        <v>0.87091722595078291</v>
      </c>
      <c r="E856" s="186">
        <v>-2.7671201023136922E-2</v>
      </c>
      <c r="G856">
        <v>845</v>
      </c>
      <c r="H856" s="186">
        <f t="shared" ca="1" si="31"/>
        <v>7.0591173980862398E-2</v>
      </c>
    </row>
    <row r="857" spans="2:8" x14ac:dyDescent="0.25">
      <c r="B857" s="67">
        <v>38662</v>
      </c>
      <c r="C857">
        <v>447</v>
      </c>
      <c r="D857" s="186">
        <f t="shared" si="30"/>
        <v>-0.48478561549100968</v>
      </c>
      <c r="E857" s="186">
        <v>-2.7838190517616379E-2</v>
      </c>
      <c r="G857">
        <v>846</v>
      </c>
      <c r="H857" s="186">
        <f t="shared" ca="1" si="31"/>
        <v>1.0935653402293365E-2</v>
      </c>
    </row>
    <row r="858" spans="2:8" x14ac:dyDescent="0.25">
      <c r="B858" s="67">
        <v>38977</v>
      </c>
      <c r="C858">
        <v>867.6</v>
      </c>
      <c r="D858" s="186">
        <f t="shared" si="30"/>
        <v>1.3753593429158111</v>
      </c>
      <c r="E858" s="186">
        <v>-2.8171380565667856E-2</v>
      </c>
      <c r="G858">
        <v>847</v>
      </c>
      <c r="H858" s="186">
        <f t="shared" ca="1" si="31"/>
        <v>-9.8921382392906793E-2</v>
      </c>
    </row>
    <row r="859" spans="2:8" x14ac:dyDescent="0.25">
      <c r="B859" s="67">
        <v>38536</v>
      </c>
      <c r="C859">
        <v>365.25</v>
      </c>
      <c r="D859" s="186">
        <f t="shared" si="30"/>
        <v>-0.96276170037059883</v>
      </c>
      <c r="E859" s="186">
        <v>-2.8202740454968796E-2</v>
      </c>
      <c r="G859">
        <v>848</v>
      </c>
      <c r="H859" s="186">
        <f t="shared" ca="1" si="31"/>
        <v>-4.854345695442127E-3</v>
      </c>
    </row>
    <row r="860" spans="2:8" x14ac:dyDescent="0.25">
      <c r="B860" s="67">
        <v>45298</v>
      </c>
      <c r="C860" s="66">
        <v>9808.4500000000007</v>
      </c>
      <c r="D860" s="186">
        <f t="shared" si="30"/>
        <v>17.790134099616861</v>
      </c>
      <c r="E860" s="186">
        <v>-2.8260201908120904E-2</v>
      </c>
      <c r="G860">
        <v>849</v>
      </c>
      <c r="H860" s="186">
        <f t="shared" ca="1" si="31"/>
        <v>2.9415446805976016E-2</v>
      </c>
    </row>
    <row r="861" spans="2:8" x14ac:dyDescent="0.25">
      <c r="B861" s="67">
        <v>38739</v>
      </c>
      <c r="C861">
        <v>522</v>
      </c>
      <c r="D861" s="186">
        <f t="shared" si="30"/>
        <v>-0.81369452326141656</v>
      </c>
      <c r="E861" s="186">
        <v>-2.8294862248697029E-2</v>
      </c>
      <c r="G861">
        <v>850</v>
      </c>
      <c r="H861" s="186">
        <f t="shared" ca="1" si="31"/>
        <v>1.3632162473832334E-2</v>
      </c>
    </row>
    <row r="862" spans="2:8" x14ac:dyDescent="0.25">
      <c r="B862" s="67">
        <v>42085</v>
      </c>
      <c r="C862" s="66">
        <v>2801.85</v>
      </c>
      <c r="D862" s="186">
        <f t="shared" si="30"/>
        <v>-0.62166048895100356</v>
      </c>
      <c r="E862" s="186">
        <v>-2.8383673752470754E-2</v>
      </c>
      <c r="G862">
        <v>851</v>
      </c>
      <c r="H862" s="186">
        <f t="shared" ca="1" si="31"/>
        <v>-7.0860959831514858E-2</v>
      </c>
    </row>
    <row r="863" spans="2:8" x14ac:dyDescent="0.25">
      <c r="B863" s="67">
        <v>45004</v>
      </c>
      <c r="C863" s="66">
        <v>7405.65</v>
      </c>
      <c r="D863" s="186">
        <f t="shared" si="30"/>
        <v>0.73448643331420616</v>
      </c>
      <c r="E863" s="186">
        <v>-2.8404059222135489E-2</v>
      </c>
      <c r="G863">
        <v>852</v>
      </c>
      <c r="H863" s="186">
        <f t="shared" ca="1" si="31"/>
        <v>3.8333899367521934E-2</v>
      </c>
    </row>
    <row r="864" spans="2:8" x14ac:dyDescent="0.25">
      <c r="B864" s="67">
        <v>43723</v>
      </c>
      <c r="C864" s="66">
        <v>4269.6499999999996</v>
      </c>
      <c r="D864" s="186">
        <f t="shared" si="30"/>
        <v>0.48061518188438462</v>
      </c>
      <c r="E864" s="186">
        <v>-2.8554201790610106E-2</v>
      </c>
      <c r="G864">
        <v>853</v>
      </c>
      <c r="H864" s="186">
        <f t="shared" ca="1" si="31"/>
        <v>7.1651040481510789E-2</v>
      </c>
    </row>
    <row r="865" spans="2:8" x14ac:dyDescent="0.25">
      <c r="B865" s="67">
        <v>42092</v>
      </c>
      <c r="C865" s="66">
        <v>2883.7</v>
      </c>
      <c r="D865" s="186">
        <f t="shared" si="30"/>
        <v>2.7094160020581421</v>
      </c>
      <c r="E865" s="186">
        <v>-2.8746568767787795E-2</v>
      </c>
      <c r="G865">
        <v>854</v>
      </c>
      <c r="H865" s="186">
        <f t="shared" ca="1" si="31"/>
        <v>-4.037634423301717E-2</v>
      </c>
    </row>
    <row r="866" spans="2:8" x14ac:dyDescent="0.25">
      <c r="B866" s="67">
        <v>38956</v>
      </c>
      <c r="C866">
        <v>777.4</v>
      </c>
      <c r="D866" s="186">
        <f t="shared" si="30"/>
        <v>-0.93237647877522623</v>
      </c>
      <c r="E866" s="186">
        <v>-2.9038905888965218E-2</v>
      </c>
      <c r="G866">
        <v>855</v>
      </c>
      <c r="H866" s="186">
        <f t="shared" ca="1" si="31"/>
        <v>2.3108191496052668E-2</v>
      </c>
    </row>
    <row r="867" spans="2:8" x14ac:dyDescent="0.25">
      <c r="B867" s="67">
        <v>46005</v>
      </c>
      <c r="C867" s="66">
        <v>11496</v>
      </c>
      <c r="D867" s="186">
        <f t="shared" si="30"/>
        <v>2.6730781519585918</v>
      </c>
      <c r="E867" s="186">
        <v>-2.9054054054054056E-2</v>
      </c>
      <c r="G867">
        <v>856</v>
      </c>
      <c r="H867" s="186">
        <f t="shared" ca="1" si="31"/>
        <v>5.464207767723793E-2</v>
      </c>
    </row>
    <row r="868" spans="2:8" x14ac:dyDescent="0.25">
      <c r="B868" s="67">
        <v>42190</v>
      </c>
      <c r="C868" s="66">
        <v>3129.8</v>
      </c>
      <c r="D868" s="186">
        <f t="shared" si="30"/>
        <v>7.6679624342082656E-2</v>
      </c>
      <c r="E868" s="186">
        <v>-2.9097902965628406E-2</v>
      </c>
      <c r="G868">
        <v>857</v>
      </c>
      <c r="H868" s="186">
        <f t="shared" ca="1" si="31"/>
        <v>2.4973843556251353E-2</v>
      </c>
    </row>
    <row r="869" spans="2:8" x14ac:dyDescent="0.25">
      <c r="B869" s="67">
        <v>42428</v>
      </c>
      <c r="C869" s="66">
        <v>2906.9</v>
      </c>
      <c r="D869" s="186">
        <f t="shared" si="30"/>
        <v>1.6773198250057564</v>
      </c>
      <c r="E869" s="186">
        <v>-2.9237422565078639E-2</v>
      </c>
      <c r="G869">
        <v>858</v>
      </c>
      <c r="H869" s="186">
        <f t="shared" ca="1" si="31"/>
        <v>2.611815081386543E-2</v>
      </c>
    </row>
    <row r="870" spans="2:8" x14ac:dyDescent="0.25">
      <c r="B870" s="67">
        <v>39355</v>
      </c>
      <c r="C870" s="66">
        <v>1085.75</v>
      </c>
      <c r="D870" s="186">
        <f t="shared" si="30"/>
        <v>-0.69253968029223956</v>
      </c>
      <c r="E870" s="186">
        <v>-2.9627312539100982E-2</v>
      </c>
      <c r="G870">
        <v>859</v>
      </c>
      <c r="H870" s="186">
        <f t="shared" ca="1" si="31"/>
        <v>1.3880033355198461E-2</v>
      </c>
    </row>
    <row r="871" spans="2:8" x14ac:dyDescent="0.25">
      <c r="B871" s="67">
        <v>42561</v>
      </c>
      <c r="C871" s="66">
        <v>3531.35</v>
      </c>
      <c r="D871" s="186">
        <f t="shared" si="30"/>
        <v>-0.13804339866728496</v>
      </c>
      <c r="E871" s="186">
        <v>-2.9768937000302198E-2</v>
      </c>
      <c r="G871">
        <v>860</v>
      </c>
      <c r="H871" s="186">
        <f t="shared" ca="1" si="31"/>
        <v>-3.709122766078618E-2</v>
      </c>
    </row>
    <row r="872" spans="2:8" x14ac:dyDescent="0.25">
      <c r="B872" s="67">
        <v>42918</v>
      </c>
      <c r="C872" s="66">
        <v>4096.8999999999996</v>
      </c>
      <c r="D872" s="186">
        <f t="shared" si="30"/>
        <v>4.2856405625080631</v>
      </c>
      <c r="E872" s="186">
        <v>-2.9837315588813376E-2</v>
      </c>
      <c r="G872">
        <v>861</v>
      </c>
      <c r="H872" s="186">
        <f t="shared" ca="1" si="31"/>
        <v>-6.6808539750861623E-2</v>
      </c>
    </row>
    <row r="873" spans="2:8" x14ac:dyDescent="0.25">
      <c r="B873" s="67">
        <v>40013</v>
      </c>
      <c r="C873">
        <v>775.1</v>
      </c>
      <c r="D873" s="186">
        <f t="shared" si="30"/>
        <v>-0.77154562603159638</v>
      </c>
      <c r="E873" s="186">
        <v>-2.9912390488110108E-2</v>
      </c>
      <c r="G873">
        <v>862</v>
      </c>
      <c r="H873" s="186">
        <f t="shared" ca="1" si="31"/>
        <v>-2.0820218071687952E-3</v>
      </c>
    </row>
    <row r="874" spans="2:8" x14ac:dyDescent="0.25">
      <c r="B874" s="67">
        <v>42687</v>
      </c>
      <c r="C874" s="66">
        <v>3392.8</v>
      </c>
      <c r="D874" s="186">
        <f t="shared" si="30"/>
        <v>6.9934032277064446</v>
      </c>
      <c r="E874" s="186">
        <v>-2.9921800168694231E-2</v>
      </c>
      <c r="G874">
        <v>863</v>
      </c>
      <c r="H874" s="186">
        <f t="shared" ca="1" si="31"/>
        <v>2.6039268794330665E-2</v>
      </c>
    </row>
    <row r="875" spans="2:8" x14ac:dyDescent="0.25">
      <c r="B875" s="67">
        <v>38585</v>
      </c>
      <c r="C875">
        <v>424.45</v>
      </c>
      <c r="D875" s="186">
        <f t="shared" si="30"/>
        <v>-0.93546940326871919</v>
      </c>
      <c r="E875" s="186">
        <v>-3.0050274223034811E-2</v>
      </c>
      <c r="G875">
        <v>864</v>
      </c>
      <c r="H875" s="186">
        <f t="shared" ca="1" si="31"/>
        <v>1.5734691427676958E-2</v>
      </c>
    </row>
    <row r="876" spans="2:8" x14ac:dyDescent="0.25">
      <c r="B876" s="67">
        <v>44801</v>
      </c>
      <c r="C876" s="66">
        <v>6577.5</v>
      </c>
      <c r="D876" s="186">
        <f t="shared" si="30"/>
        <v>2.4429962311557789</v>
      </c>
      <c r="E876" s="186">
        <v>-3.0389244728133032E-2</v>
      </c>
      <c r="G876">
        <v>865</v>
      </c>
      <c r="H876" s="186">
        <f t="shared" ca="1" si="31"/>
        <v>-5.9737311467430651E-2</v>
      </c>
    </row>
    <row r="877" spans="2:8" x14ac:dyDescent="0.25">
      <c r="B877" s="67">
        <v>41546</v>
      </c>
      <c r="C877" s="66">
        <v>1910.4</v>
      </c>
      <c r="D877" s="186">
        <f t="shared" si="30"/>
        <v>1.6196777511141585</v>
      </c>
      <c r="E877" s="186">
        <v>-3.0426066434897262E-2</v>
      </c>
      <c r="G877">
        <v>866</v>
      </c>
      <c r="H877" s="186">
        <f t="shared" ca="1" si="31"/>
        <v>-3.8052463548526066E-2</v>
      </c>
    </row>
    <row r="878" spans="2:8" x14ac:dyDescent="0.25">
      <c r="B878" s="67">
        <v>38928</v>
      </c>
      <c r="C878">
        <v>729.25</v>
      </c>
      <c r="D878" s="186">
        <f t="shared" si="30"/>
        <v>-0.81337410909649266</v>
      </c>
      <c r="E878" s="186">
        <v>-3.0446054643355685E-2</v>
      </c>
      <c r="G878">
        <v>867</v>
      </c>
      <c r="H878" s="186">
        <f t="shared" ca="1" si="31"/>
        <v>-1.6800943128504806E-2</v>
      </c>
    </row>
    <row r="879" spans="2:8" x14ac:dyDescent="0.25">
      <c r="B879" s="67">
        <v>43709</v>
      </c>
      <c r="C879" s="66">
        <v>3907.55</v>
      </c>
      <c r="D879" s="186">
        <f t="shared" si="30"/>
        <v>2.4702930728241563</v>
      </c>
      <c r="E879" s="186">
        <v>-3.0661225704823662E-2</v>
      </c>
      <c r="G879">
        <v>868</v>
      </c>
      <c r="H879" s="186">
        <f t="shared" ca="1" si="31"/>
        <v>-6.9715787347593663E-2</v>
      </c>
    </row>
    <row r="880" spans="2:8" x14ac:dyDescent="0.25">
      <c r="B880" s="67">
        <v>40797</v>
      </c>
      <c r="C880" s="66">
        <v>1126</v>
      </c>
      <c r="D880" s="186">
        <f t="shared" si="30"/>
        <v>-0.85254156271894499</v>
      </c>
      <c r="E880" s="186">
        <v>-3.098106712564544E-2</v>
      </c>
      <c r="G880">
        <v>869</v>
      </c>
      <c r="H880" s="186">
        <f t="shared" ca="1" si="31"/>
        <v>-0.13261678585725811</v>
      </c>
    </row>
    <row r="881" spans="2:8" x14ac:dyDescent="0.25">
      <c r="B881" s="67">
        <v>44493</v>
      </c>
      <c r="C881" s="66">
        <v>7636.05</v>
      </c>
      <c r="D881" s="186">
        <f t="shared" si="30"/>
        <v>6.2689671584959541</v>
      </c>
      <c r="E881" s="186">
        <v>-3.1056491726728249E-2</v>
      </c>
      <c r="G881">
        <v>870</v>
      </c>
      <c r="H881" s="186">
        <f t="shared" ca="1" si="31"/>
        <v>4.4231898899013647E-2</v>
      </c>
    </row>
    <row r="882" spans="2:8" x14ac:dyDescent="0.25">
      <c r="B882" s="67">
        <v>40531</v>
      </c>
      <c r="C882" s="66">
        <v>1050.5</v>
      </c>
      <c r="D882" s="186">
        <f t="shared" si="30"/>
        <v>-0.83269495695936424</v>
      </c>
      <c r="E882" s="186">
        <v>-3.1127507493659213E-2</v>
      </c>
      <c r="G882">
        <v>871</v>
      </c>
      <c r="H882" s="186">
        <f t="shared" ca="1" si="31"/>
        <v>-7.8940055037905785E-2</v>
      </c>
    </row>
    <row r="883" spans="2:8" x14ac:dyDescent="0.25">
      <c r="B883" s="67">
        <v>44311</v>
      </c>
      <c r="C883" s="66">
        <v>6278.95</v>
      </c>
      <c r="D883" s="186">
        <f t="shared" si="30"/>
        <v>7.3480023931396667</v>
      </c>
      <c r="E883" s="186">
        <v>-3.131026396581247E-2</v>
      </c>
      <c r="G883">
        <v>872</v>
      </c>
      <c r="H883" s="186">
        <f t="shared" ca="1" si="31"/>
        <v>3.6899511776566918E-2</v>
      </c>
    </row>
    <row r="884" spans="2:8" x14ac:dyDescent="0.25">
      <c r="B884" s="67">
        <v>38935</v>
      </c>
      <c r="C884">
        <v>752.15</v>
      </c>
      <c r="D884" s="186">
        <f t="shared" si="30"/>
        <v>6.3560520361990849E-2</v>
      </c>
      <c r="E884" s="186">
        <v>-3.1545741324921134E-2</v>
      </c>
      <c r="G884">
        <v>873</v>
      </c>
      <c r="H884" s="186">
        <f t="shared" ca="1" si="31"/>
        <v>6.8573926225547251E-3</v>
      </c>
    </row>
    <row r="885" spans="2:8" x14ac:dyDescent="0.25">
      <c r="B885" s="67">
        <v>39992</v>
      </c>
      <c r="C885">
        <v>707.2</v>
      </c>
      <c r="D885" s="186">
        <f t="shared" si="30"/>
        <v>-1.4767344664251754E-2</v>
      </c>
      <c r="E885" s="186">
        <v>-3.1564532694282721E-2</v>
      </c>
      <c r="G885">
        <v>874</v>
      </c>
      <c r="H885" s="186">
        <f t="shared" ca="1" si="31"/>
        <v>1.4417753973214157E-2</v>
      </c>
    </row>
    <row r="886" spans="2:8" x14ac:dyDescent="0.25">
      <c r="B886" s="67">
        <v>39957</v>
      </c>
      <c r="C886">
        <v>717.8</v>
      </c>
      <c r="D886" s="186">
        <f t="shared" si="30"/>
        <v>-0.93707124415357845</v>
      </c>
      <c r="E886" s="186">
        <v>-3.2092772384034608E-2</v>
      </c>
      <c r="G886">
        <v>875</v>
      </c>
      <c r="H886" s="186">
        <f t="shared" ca="1" si="31"/>
        <v>0.10580079983700703</v>
      </c>
    </row>
    <row r="887" spans="2:8" x14ac:dyDescent="0.25">
      <c r="B887" s="67">
        <v>45648</v>
      </c>
      <c r="C887" s="66">
        <v>11406.55</v>
      </c>
      <c r="D887" s="186">
        <f t="shared" si="30"/>
        <v>10.548013161225006</v>
      </c>
      <c r="E887" s="186">
        <v>-3.2194977091464509E-2</v>
      </c>
      <c r="G887">
        <v>876</v>
      </c>
      <c r="H887" s="186">
        <f t="shared" ca="1" si="31"/>
        <v>-6.0704819065799439E-3</v>
      </c>
    </row>
    <row r="888" spans="2:8" x14ac:dyDescent="0.25">
      <c r="B888" s="67">
        <v>40545</v>
      </c>
      <c r="C888">
        <v>987.75</v>
      </c>
      <c r="D888" s="186">
        <f t="shared" si="30"/>
        <v>0.2480257754753932</v>
      </c>
      <c r="E888" s="186">
        <v>-3.2281767414519491E-2</v>
      </c>
      <c r="G888">
        <v>877</v>
      </c>
      <c r="H888" s="186">
        <f t="shared" ca="1" si="31"/>
        <v>-2.3491765460644264E-2</v>
      </c>
    </row>
    <row r="889" spans="2:8" x14ac:dyDescent="0.25">
      <c r="B889" s="67">
        <v>40132</v>
      </c>
      <c r="C889">
        <v>791.45</v>
      </c>
      <c r="D889" s="186">
        <f t="shared" si="30"/>
        <v>-0.4444210452423572</v>
      </c>
      <c r="E889" s="186">
        <v>-3.2575479770199214E-2</v>
      </c>
      <c r="G889">
        <v>878</v>
      </c>
      <c r="H889" s="186">
        <f t="shared" ca="1" si="31"/>
        <v>1.1061387539436718E-2</v>
      </c>
    </row>
    <row r="890" spans="2:8" x14ac:dyDescent="0.25">
      <c r="B890" s="67">
        <v>40965</v>
      </c>
      <c r="C890" s="66">
        <v>1424.55</v>
      </c>
      <c r="D890" s="186">
        <f t="shared" si="30"/>
        <v>-0.14985229612389228</v>
      </c>
      <c r="E890" s="186">
        <v>-3.2695049908331698E-2</v>
      </c>
      <c r="G890">
        <v>879</v>
      </c>
      <c r="H890" s="186">
        <f t="shared" ca="1" si="31"/>
        <v>-3.9039422095931864E-2</v>
      </c>
    </row>
    <row r="891" spans="2:8" x14ac:dyDescent="0.25">
      <c r="B891" s="67">
        <v>41126</v>
      </c>
      <c r="C891" s="66">
        <v>1675.65</v>
      </c>
      <c r="D891" s="186">
        <f t="shared" si="30"/>
        <v>0.5387758850268608</v>
      </c>
      <c r="E891" s="186">
        <v>-3.2730106502727403E-2</v>
      </c>
      <c r="G891">
        <v>880</v>
      </c>
      <c r="H891" s="186">
        <f t="shared" ca="1" si="31"/>
        <v>1.2940434264809672E-3</v>
      </c>
    </row>
    <row r="892" spans="2:8" x14ac:dyDescent="0.25">
      <c r="B892" s="67">
        <v>40790</v>
      </c>
      <c r="C892" s="66">
        <v>1088.95</v>
      </c>
      <c r="D892" s="186">
        <f t="shared" si="30"/>
        <v>2.5685728330329352</v>
      </c>
      <c r="E892" s="186">
        <v>-3.2904085257548808E-2</v>
      </c>
      <c r="G892">
        <v>881</v>
      </c>
      <c r="H892" s="186">
        <f t="shared" ca="1" si="31"/>
        <v>2.0670343916593763E-2</v>
      </c>
    </row>
    <row r="893" spans="2:8" x14ac:dyDescent="0.25">
      <c r="B893" s="67">
        <v>38333</v>
      </c>
      <c r="C893">
        <v>305.14999999999998</v>
      </c>
      <c r="D893" s="186">
        <f t="shared" si="30"/>
        <v>-0.64884925201380905</v>
      </c>
      <c r="E893" s="186">
        <v>-3.2958326731104527E-2</v>
      </c>
      <c r="G893">
        <v>882</v>
      </c>
      <c r="H893" s="186">
        <f t="shared" ca="1" si="31"/>
        <v>-3.1346985684774509E-2</v>
      </c>
    </row>
    <row r="894" spans="2:8" x14ac:dyDescent="0.25">
      <c r="B894" s="67">
        <v>39012</v>
      </c>
      <c r="C894">
        <v>869</v>
      </c>
      <c r="D894" s="186">
        <f t="shared" si="30"/>
        <v>-5.0065588106689943E-2</v>
      </c>
      <c r="E894" s="186">
        <v>-3.3047735618115102E-2</v>
      </c>
      <c r="G894">
        <v>883</v>
      </c>
      <c r="H894" s="186">
        <f t="shared" ca="1" si="31"/>
        <v>6.7064398769661349E-3</v>
      </c>
    </row>
    <row r="895" spans="2:8" x14ac:dyDescent="0.25">
      <c r="B895" s="67">
        <v>40580</v>
      </c>
      <c r="C895">
        <v>914.8</v>
      </c>
      <c r="D895" s="186">
        <f t="shared" si="30"/>
        <v>-0.86333826319484896</v>
      </c>
      <c r="E895" s="186">
        <v>-3.3083183595814469E-2</v>
      </c>
      <c r="G895">
        <v>884</v>
      </c>
      <c r="H895" s="186">
        <f t="shared" ca="1" si="31"/>
        <v>-2.4776893184264716E-2</v>
      </c>
    </row>
    <row r="896" spans="2:8" x14ac:dyDescent="0.25">
      <c r="B896" s="67">
        <v>44360</v>
      </c>
      <c r="C896" s="66">
        <v>6693.9</v>
      </c>
      <c r="D896" s="186">
        <f t="shared" si="30"/>
        <v>5.8931109051590971</v>
      </c>
      <c r="E896" s="186">
        <v>-3.3092589917665803E-2</v>
      </c>
      <c r="G896">
        <v>885</v>
      </c>
      <c r="H896" s="186">
        <f t="shared" ca="1" si="31"/>
        <v>-3.7106924857517321E-2</v>
      </c>
    </row>
    <row r="897" spans="2:8" x14ac:dyDescent="0.25">
      <c r="B897" s="67">
        <v>39390</v>
      </c>
      <c r="C897">
        <v>971.1</v>
      </c>
      <c r="D897" s="186">
        <f t="shared" si="30"/>
        <v>-0.90181338375284992</v>
      </c>
      <c r="E897" s="186">
        <v>-3.3202249987555402E-2</v>
      </c>
      <c r="G897">
        <v>886</v>
      </c>
      <c r="H897" s="186">
        <f t="shared" ca="1" si="31"/>
        <v>1.054711951521508E-2</v>
      </c>
    </row>
    <row r="898" spans="2:8" x14ac:dyDescent="0.25">
      <c r="B898" s="67">
        <v>45424</v>
      </c>
      <c r="C898" s="66">
        <v>9890.35</v>
      </c>
      <c r="D898" s="186">
        <f t="shared" si="30"/>
        <v>2.2876327554971994</v>
      </c>
      <c r="E898" s="186">
        <v>-3.3305314189090128E-2</v>
      </c>
      <c r="G898">
        <v>887</v>
      </c>
      <c r="H898" s="186">
        <f t="shared" ca="1" si="31"/>
        <v>7.4303381343051103E-2</v>
      </c>
    </row>
    <row r="899" spans="2:8" x14ac:dyDescent="0.25">
      <c r="B899" s="67">
        <v>42036</v>
      </c>
      <c r="C899" s="66">
        <v>3008.35</v>
      </c>
      <c r="D899" s="186">
        <f t="shared" si="30"/>
        <v>-0.73846461467574864</v>
      </c>
      <c r="E899" s="186">
        <v>-3.3461847389558264E-2</v>
      </c>
      <c r="G899">
        <v>888</v>
      </c>
      <c r="H899" s="186">
        <f t="shared" ca="1" si="31"/>
        <v>-5.6677949694473401E-2</v>
      </c>
    </row>
    <row r="900" spans="2:8" x14ac:dyDescent="0.25">
      <c r="B900" s="67">
        <v>45753</v>
      </c>
      <c r="C900" s="66">
        <v>11502.65</v>
      </c>
      <c r="D900" s="186">
        <f t="shared" si="30"/>
        <v>1.563693096339221</v>
      </c>
      <c r="E900" s="186">
        <v>-3.347197714477778E-2</v>
      </c>
      <c r="G900">
        <v>889</v>
      </c>
      <c r="H900" s="186">
        <f t="shared" ca="1" si="31"/>
        <v>8.9842949943458681E-3</v>
      </c>
    </row>
    <row r="901" spans="2:8" x14ac:dyDescent="0.25">
      <c r="B901" s="67">
        <v>43842</v>
      </c>
      <c r="C901" s="66">
        <v>4486.75</v>
      </c>
      <c r="D901" s="186">
        <f t="shared" si="30"/>
        <v>-0.26057614660755773</v>
      </c>
      <c r="E901" s="186">
        <v>-3.3600775402509289E-2</v>
      </c>
      <c r="G901">
        <v>890</v>
      </c>
      <c r="H901" s="186">
        <f t="shared" ca="1" si="31"/>
        <v>5.839073199481859E-2</v>
      </c>
    </row>
    <row r="902" spans="2:8" x14ac:dyDescent="0.25">
      <c r="B902" s="67">
        <v>44304</v>
      </c>
      <c r="C902" s="66">
        <v>6067.9</v>
      </c>
      <c r="D902" s="186">
        <f t="shared" si="30"/>
        <v>0.53264630850445804</v>
      </c>
      <c r="E902" s="186">
        <v>-3.3612307790315286E-2</v>
      </c>
      <c r="G902">
        <v>891</v>
      </c>
      <c r="H902" s="186">
        <f t="shared" ca="1" si="31"/>
        <v>-3.1312379713742206E-2</v>
      </c>
    </row>
    <row r="903" spans="2:8" x14ac:dyDescent="0.25">
      <c r="B903" s="67">
        <v>42911</v>
      </c>
      <c r="C903" s="66">
        <v>3959.1</v>
      </c>
      <c r="D903" s="186">
        <f t="shared" si="30"/>
        <v>3.9467108140188665</v>
      </c>
      <c r="E903" s="186">
        <v>-3.3635187580853751E-2</v>
      </c>
      <c r="G903">
        <v>892</v>
      </c>
      <c r="H903" s="186">
        <f t="shared" ca="1" si="31"/>
        <v>-3.9064605766775853E-2</v>
      </c>
    </row>
    <row r="904" spans="2:8" x14ac:dyDescent="0.25">
      <c r="B904" s="67">
        <v>39194</v>
      </c>
      <c r="C904">
        <v>800.35</v>
      </c>
      <c r="D904" s="186">
        <f t="shared" si="30"/>
        <v>-0.70077017983325229</v>
      </c>
      <c r="E904" s="186">
        <v>-3.3685481436764232E-2</v>
      </c>
      <c r="G904">
        <v>893</v>
      </c>
      <c r="H904" s="186">
        <f t="shared" ca="1" si="31"/>
        <v>3.0911458932210315E-2</v>
      </c>
    </row>
    <row r="905" spans="2:8" x14ac:dyDescent="0.25">
      <c r="B905" s="67">
        <v>41791</v>
      </c>
      <c r="C905" s="66">
        <v>2674.7</v>
      </c>
      <c r="D905" s="186">
        <f t="shared" si="30"/>
        <v>-0.35789991717780373</v>
      </c>
      <c r="E905" s="186">
        <v>-3.3706647398843999E-2</v>
      </c>
      <c r="G905">
        <v>894</v>
      </c>
      <c r="H905" s="186">
        <f t="shared" ca="1" si="31"/>
        <v>3.1520737993188289E-2</v>
      </c>
    </row>
    <row r="906" spans="2:8" x14ac:dyDescent="0.25">
      <c r="B906" s="67">
        <v>43072</v>
      </c>
      <c r="C906" s="66">
        <v>4165.55</v>
      </c>
      <c r="D906" s="186">
        <f t="shared" si="30"/>
        <v>-0.36353288106588438</v>
      </c>
      <c r="E906" s="186">
        <v>-3.3918549097824574E-2</v>
      </c>
      <c r="G906">
        <v>895</v>
      </c>
      <c r="H906" s="186">
        <f t="shared" ca="1" si="31"/>
        <v>3.8230565087809656E-2</v>
      </c>
    </row>
    <row r="907" spans="2:8" x14ac:dyDescent="0.25">
      <c r="B907" s="67">
        <v>44766</v>
      </c>
      <c r="C907" s="66">
        <v>6544.8</v>
      </c>
      <c r="D907" s="186">
        <f t="shared" si="30"/>
        <v>2.6096296500565312</v>
      </c>
      <c r="E907" s="186">
        <v>-3.4006376195536613E-2</v>
      </c>
      <c r="G907">
        <v>896</v>
      </c>
      <c r="H907" s="186">
        <f t="shared" ca="1" si="31"/>
        <v>5.2475212445285326E-3</v>
      </c>
    </row>
    <row r="908" spans="2:8" x14ac:dyDescent="0.25">
      <c r="B908" s="67">
        <v>41441</v>
      </c>
      <c r="C908" s="66">
        <v>1813.15</v>
      </c>
      <c r="D908" s="186">
        <f t="shared" ref="D908:D971" si="32">(C908-C909)/C909</f>
        <v>-0.78493099501218788</v>
      </c>
      <c r="E908" s="186">
        <v>-3.4017048481619558E-2</v>
      </c>
      <c r="G908">
        <v>897</v>
      </c>
      <c r="H908" s="186">
        <f t="shared" ca="1" si="31"/>
        <v>-3.0199711982334575E-2</v>
      </c>
    </row>
    <row r="909" spans="2:8" x14ac:dyDescent="0.25">
      <c r="B909" s="67">
        <v>45172</v>
      </c>
      <c r="C909" s="66">
        <v>8430.5499999999993</v>
      </c>
      <c r="D909" s="186">
        <f t="shared" si="32"/>
        <v>1.2077593882574762</v>
      </c>
      <c r="E909" s="186">
        <v>-3.4118705139001192E-2</v>
      </c>
      <c r="G909">
        <v>898</v>
      </c>
      <c r="H909" s="186">
        <f t="shared" ref="H909:H972" ca="1" si="33">_xlfn.NORM.INV(RAND(),N$14,N$15)</f>
        <v>1.3593420993966231E-2</v>
      </c>
    </row>
    <row r="910" spans="2:8" x14ac:dyDescent="0.25">
      <c r="B910" s="67">
        <v>43275</v>
      </c>
      <c r="C910" s="66">
        <v>3818.6</v>
      </c>
      <c r="D910" s="186">
        <f t="shared" si="32"/>
        <v>0.93665525548370732</v>
      </c>
      <c r="E910" s="186">
        <v>-3.4329282941570678E-2</v>
      </c>
      <c r="G910">
        <v>899</v>
      </c>
      <c r="H910" s="186">
        <f t="shared" ca="1" si="33"/>
        <v>-5.6509167099323659E-2</v>
      </c>
    </row>
    <row r="911" spans="2:8" x14ac:dyDescent="0.25">
      <c r="B911" s="67">
        <v>41266</v>
      </c>
      <c r="C911" s="66">
        <v>1971.75</v>
      </c>
      <c r="D911" s="186">
        <f t="shared" si="32"/>
        <v>-0.26446450553959783</v>
      </c>
      <c r="E911" s="186">
        <v>-3.4355257358342765E-2</v>
      </c>
      <c r="G911">
        <v>900</v>
      </c>
      <c r="H911" s="186">
        <f t="shared" ca="1" si="33"/>
        <v>-1.0763727964161651E-2</v>
      </c>
    </row>
    <row r="912" spans="2:8" x14ac:dyDescent="0.25">
      <c r="B912" s="67">
        <v>42316</v>
      </c>
      <c r="C912" s="66">
        <v>2680.7</v>
      </c>
      <c r="D912" s="186">
        <f t="shared" si="32"/>
        <v>-0.71372123943421317</v>
      </c>
      <c r="E912" s="186">
        <v>-3.4486484539609938E-2</v>
      </c>
      <c r="G912">
        <v>901</v>
      </c>
      <c r="H912" s="186">
        <f t="shared" ca="1" si="33"/>
        <v>-1.5614358081736284E-2</v>
      </c>
    </row>
    <row r="913" spans="2:8" x14ac:dyDescent="0.25">
      <c r="B913" s="67">
        <v>45396</v>
      </c>
      <c r="C913" s="66">
        <v>9363.9500000000007</v>
      </c>
      <c r="D913" s="186">
        <f t="shared" si="32"/>
        <v>5.6923599199542601</v>
      </c>
      <c r="E913" s="186">
        <v>-3.4733890669937727E-2</v>
      </c>
      <c r="G913">
        <v>902</v>
      </c>
      <c r="H913" s="186">
        <f t="shared" ca="1" si="33"/>
        <v>5.097525263705803E-2</v>
      </c>
    </row>
    <row r="914" spans="2:8" x14ac:dyDescent="0.25">
      <c r="B914" s="67">
        <v>41063</v>
      </c>
      <c r="C914" s="66">
        <v>1399.2</v>
      </c>
      <c r="D914" s="186">
        <f t="shared" si="32"/>
        <v>-0.65016501650165004</v>
      </c>
      <c r="E914" s="186">
        <v>-3.4868080703569553E-2</v>
      </c>
      <c r="G914">
        <v>903</v>
      </c>
      <c r="H914" s="186">
        <f t="shared" ca="1" si="33"/>
        <v>7.3035985943575979E-2</v>
      </c>
    </row>
    <row r="915" spans="2:8" x14ac:dyDescent="0.25">
      <c r="B915" s="67">
        <v>42974</v>
      </c>
      <c r="C915" s="66">
        <v>3999.6</v>
      </c>
      <c r="D915" s="186">
        <f t="shared" si="32"/>
        <v>0.26615698751127786</v>
      </c>
      <c r="E915" s="186">
        <v>-3.4950355294429879E-2</v>
      </c>
      <c r="G915">
        <v>904</v>
      </c>
      <c r="H915" s="186">
        <f t="shared" ca="1" si="33"/>
        <v>-3.7849149369783341E-2</v>
      </c>
    </row>
    <row r="916" spans="2:8" x14ac:dyDescent="0.25">
      <c r="B916" s="67">
        <v>42463</v>
      </c>
      <c r="C916" s="66">
        <v>3158.85</v>
      </c>
      <c r="D916" s="186">
        <f t="shared" si="32"/>
        <v>0.20649682988312587</v>
      </c>
      <c r="E916" s="186">
        <v>-3.5082628218834934E-2</v>
      </c>
      <c r="G916">
        <v>905</v>
      </c>
      <c r="H916" s="186">
        <f t="shared" ca="1" si="33"/>
        <v>-3.0241653592021227E-2</v>
      </c>
    </row>
    <row r="917" spans="2:8" x14ac:dyDescent="0.25">
      <c r="B917" s="67">
        <v>42379</v>
      </c>
      <c r="C917" s="66">
        <v>2618.1999999999998</v>
      </c>
      <c r="D917" s="186">
        <f t="shared" si="32"/>
        <v>-0.16458200382897262</v>
      </c>
      <c r="E917" s="186">
        <v>-3.5085133043414263E-2</v>
      </c>
      <c r="G917">
        <v>906</v>
      </c>
      <c r="H917" s="186">
        <f t="shared" ca="1" si="33"/>
        <v>-5.6864677613841674E-2</v>
      </c>
    </row>
    <row r="918" spans="2:8" x14ac:dyDescent="0.25">
      <c r="B918" s="67">
        <v>42505</v>
      </c>
      <c r="C918" s="66">
        <v>3134</v>
      </c>
      <c r="D918" s="186">
        <f t="shared" si="32"/>
        <v>1.9924567936598871</v>
      </c>
      <c r="E918" s="186">
        <v>-3.5187636609919089E-2</v>
      </c>
      <c r="G918">
        <v>907</v>
      </c>
      <c r="H918" s="186">
        <f t="shared" ca="1" si="33"/>
        <v>3.3434322281818404E-2</v>
      </c>
    </row>
    <row r="919" spans="2:8" x14ac:dyDescent="0.25">
      <c r="B919" s="67">
        <v>39348</v>
      </c>
      <c r="C919" s="66">
        <v>1047.3</v>
      </c>
      <c r="D919" s="186">
        <f t="shared" si="32"/>
        <v>-0.90697529822442113</v>
      </c>
      <c r="E919" s="186">
        <v>-3.5413308772737781E-2</v>
      </c>
      <c r="G919">
        <v>908</v>
      </c>
      <c r="H919" s="186">
        <f t="shared" ca="1" si="33"/>
        <v>-1.1607359598051788E-2</v>
      </c>
    </row>
    <row r="920" spans="2:8" x14ac:dyDescent="0.25">
      <c r="B920" s="67">
        <v>45487</v>
      </c>
      <c r="C920" s="66">
        <v>11258.3</v>
      </c>
      <c r="D920" s="186">
        <f t="shared" si="32"/>
        <v>1.6085032437442075</v>
      </c>
      <c r="E920" s="186">
        <v>-3.5530559708045459E-2</v>
      </c>
      <c r="G920">
        <v>909</v>
      </c>
      <c r="H920" s="186">
        <f t="shared" ca="1" si="33"/>
        <v>-2.4832117341491794E-2</v>
      </c>
    </row>
    <row r="921" spans="2:8" x14ac:dyDescent="0.25">
      <c r="B921" s="67">
        <v>43331</v>
      </c>
      <c r="C921" s="66">
        <v>4316</v>
      </c>
      <c r="D921" s="186">
        <f t="shared" si="32"/>
        <v>0.43193656481205006</v>
      </c>
      <c r="E921" s="186">
        <v>-3.5638476147916431E-2</v>
      </c>
      <c r="G921">
        <v>910</v>
      </c>
      <c r="H921" s="186">
        <f t="shared" ca="1" si="33"/>
        <v>3.4642772777587039E-2</v>
      </c>
    </row>
    <row r="922" spans="2:8" x14ac:dyDescent="0.25">
      <c r="B922" s="67">
        <v>42050</v>
      </c>
      <c r="C922" s="66">
        <v>3014.1</v>
      </c>
      <c r="D922" s="186">
        <f t="shared" si="32"/>
        <v>0.52914616204149967</v>
      </c>
      <c r="E922" s="186">
        <v>-3.5734851877919339E-2</v>
      </c>
      <c r="G922">
        <v>911</v>
      </c>
      <c r="H922" s="186">
        <f t="shared" ca="1" si="33"/>
        <v>3.5710399527688924E-2</v>
      </c>
    </row>
    <row r="923" spans="2:8" x14ac:dyDescent="0.25">
      <c r="B923" s="67">
        <v>41182</v>
      </c>
      <c r="C923" s="66">
        <v>1971.1</v>
      </c>
      <c r="D923" s="186">
        <f t="shared" si="32"/>
        <v>0.60278093999024229</v>
      </c>
      <c r="E923" s="186">
        <v>-3.5995500562429762E-2</v>
      </c>
      <c r="G923">
        <v>912</v>
      </c>
      <c r="H923" s="186">
        <f t="shared" ca="1" si="33"/>
        <v>-3.1441134953848891E-2</v>
      </c>
    </row>
    <row r="924" spans="2:8" x14ac:dyDescent="0.25">
      <c r="B924" s="67">
        <v>40930</v>
      </c>
      <c r="C924" s="66">
        <v>1229.8</v>
      </c>
      <c r="D924" s="186">
        <f t="shared" si="32"/>
        <v>8.052541404911466E-2</v>
      </c>
      <c r="E924" s="186">
        <v>-3.605580812039505E-2</v>
      </c>
      <c r="G924">
        <v>913</v>
      </c>
      <c r="H924" s="186">
        <f t="shared" ca="1" si="33"/>
        <v>-8.3432444325517493E-3</v>
      </c>
    </row>
    <row r="925" spans="2:8" x14ac:dyDescent="0.25">
      <c r="B925" s="67">
        <v>40888</v>
      </c>
      <c r="C925" s="66">
        <v>1138.1500000000001</v>
      </c>
      <c r="D925" s="186">
        <f t="shared" si="32"/>
        <v>2.8944396920444828</v>
      </c>
      <c r="E925" s="186">
        <v>-3.6242008552436561E-2</v>
      </c>
      <c r="G925">
        <v>914</v>
      </c>
      <c r="H925" s="186">
        <f t="shared" ca="1" si="33"/>
        <v>9.0106618861283422E-3</v>
      </c>
    </row>
    <row r="926" spans="2:8" x14ac:dyDescent="0.25">
      <c r="B926" s="67">
        <v>38277</v>
      </c>
      <c r="C926">
        <v>292.25</v>
      </c>
      <c r="D926" s="186">
        <f t="shared" si="32"/>
        <v>-0.44775132275132279</v>
      </c>
      <c r="E926" s="186">
        <v>-3.6273701566364384E-2</v>
      </c>
      <c r="G926">
        <v>915</v>
      </c>
      <c r="H926" s="186">
        <f t="shared" ca="1" si="33"/>
        <v>-2.5550748833606137E-2</v>
      </c>
    </row>
    <row r="927" spans="2:8" x14ac:dyDescent="0.25">
      <c r="B927" s="67">
        <v>39894</v>
      </c>
      <c r="C927">
        <v>529.20000000000005</v>
      </c>
      <c r="D927" s="186">
        <f t="shared" si="32"/>
        <v>-0.86138795395314105</v>
      </c>
      <c r="E927" s="186">
        <v>-3.6328871892925309E-2</v>
      </c>
      <c r="G927">
        <v>916</v>
      </c>
      <c r="H927" s="186">
        <f t="shared" ca="1" si="33"/>
        <v>-6.6724906420400788E-3</v>
      </c>
    </row>
    <row r="928" spans="2:8" x14ac:dyDescent="0.25">
      <c r="B928" s="67">
        <v>43408</v>
      </c>
      <c r="C928" s="66">
        <v>3817.85</v>
      </c>
      <c r="D928" s="186">
        <f t="shared" si="32"/>
        <v>-0.53498413549082535</v>
      </c>
      <c r="E928" s="186">
        <v>-3.6480415909549813E-2</v>
      </c>
      <c r="G928">
        <v>917</v>
      </c>
      <c r="H928" s="186">
        <f t="shared" ca="1" si="33"/>
        <v>9.4037647445354505E-2</v>
      </c>
    </row>
    <row r="929" spans="2:8" x14ac:dyDescent="0.25">
      <c r="B929" s="67">
        <v>45221</v>
      </c>
      <c r="C929" s="66">
        <v>8210.15</v>
      </c>
      <c r="D929" s="186">
        <f t="shared" si="32"/>
        <v>0.17586863739222591</v>
      </c>
      <c r="E929" s="186">
        <v>-3.6661347476122395E-2</v>
      </c>
      <c r="G929">
        <v>918</v>
      </c>
      <c r="H929" s="186">
        <f t="shared" ca="1" si="33"/>
        <v>2.6900593911756338E-2</v>
      </c>
    </row>
    <row r="930" spans="2:8" x14ac:dyDescent="0.25">
      <c r="B930" s="67">
        <v>44927</v>
      </c>
      <c r="C930" s="66">
        <v>6982.2</v>
      </c>
      <c r="D930" s="186">
        <f t="shared" si="32"/>
        <v>5.5897786796281439</v>
      </c>
      <c r="E930" s="186">
        <v>-3.6791789099035695E-2</v>
      </c>
      <c r="G930">
        <v>919</v>
      </c>
      <c r="H930" s="186">
        <f t="shared" ca="1" si="33"/>
        <v>1.7826871736921698E-2</v>
      </c>
    </row>
    <row r="931" spans="2:8" x14ac:dyDescent="0.25">
      <c r="B931" s="67">
        <v>40776</v>
      </c>
      <c r="C931" s="66">
        <v>1059.55</v>
      </c>
      <c r="D931" s="186">
        <f t="shared" si="32"/>
        <v>-0.86503665301599231</v>
      </c>
      <c r="E931" s="186">
        <v>-3.6816508340529977E-2</v>
      </c>
      <c r="G931">
        <v>920</v>
      </c>
      <c r="H931" s="186">
        <f t="shared" ca="1" si="33"/>
        <v>-2.447707548631577E-2</v>
      </c>
    </row>
    <row r="932" spans="2:8" x14ac:dyDescent="0.25">
      <c r="B932" s="67">
        <v>45074</v>
      </c>
      <c r="C932" s="66">
        <v>7850.65</v>
      </c>
      <c r="D932" s="186">
        <f t="shared" si="32"/>
        <v>1.3089807502830839</v>
      </c>
      <c r="E932" s="186">
        <v>-3.7114034280808311E-2</v>
      </c>
      <c r="G932">
        <v>921</v>
      </c>
      <c r="H932" s="186">
        <f t="shared" ca="1" si="33"/>
        <v>-5.608151747934241E-2</v>
      </c>
    </row>
    <row r="933" spans="2:8" x14ac:dyDescent="0.25">
      <c r="B933" s="67">
        <v>42554</v>
      </c>
      <c r="C933" s="66">
        <v>3400.05</v>
      </c>
      <c r="D933" s="186">
        <f t="shared" si="32"/>
        <v>0.13545058357962242</v>
      </c>
      <c r="E933" s="186">
        <v>-3.7181247964659332E-2</v>
      </c>
      <c r="G933">
        <v>922</v>
      </c>
      <c r="H933" s="186">
        <f t="shared" ca="1" si="33"/>
        <v>3.22767265921311E-2</v>
      </c>
    </row>
    <row r="934" spans="2:8" x14ac:dyDescent="0.25">
      <c r="B934" s="67">
        <v>42435</v>
      </c>
      <c r="C934" s="66">
        <v>2994.45</v>
      </c>
      <c r="D934" s="186">
        <f t="shared" si="32"/>
        <v>1.6718269016283738</v>
      </c>
      <c r="E934" s="186">
        <v>-3.7355536624178315E-2</v>
      </c>
      <c r="G934">
        <v>923</v>
      </c>
      <c r="H934" s="186">
        <f t="shared" ca="1" si="33"/>
        <v>-5.6763018465135449E-3</v>
      </c>
    </row>
    <row r="935" spans="2:8" x14ac:dyDescent="0.25">
      <c r="B935" s="67">
        <v>40832</v>
      </c>
      <c r="C935" s="66">
        <v>1120.75</v>
      </c>
      <c r="D935" s="186">
        <f t="shared" si="32"/>
        <v>0.50295024808904376</v>
      </c>
      <c r="E935" s="186">
        <v>-3.7487117828924846E-2</v>
      </c>
      <c r="G935">
        <v>924</v>
      </c>
      <c r="H935" s="186">
        <f t="shared" ca="1" si="33"/>
        <v>2.7073240130267504E-2</v>
      </c>
    </row>
    <row r="936" spans="2:8" x14ac:dyDescent="0.25">
      <c r="B936" s="67">
        <v>40006</v>
      </c>
      <c r="C936">
        <v>745.7</v>
      </c>
      <c r="D936" s="186">
        <f t="shared" si="32"/>
        <v>-0.72361008154188289</v>
      </c>
      <c r="E936" s="186">
        <v>-3.7930589601341734E-2</v>
      </c>
      <c r="G936">
        <v>925</v>
      </c>
      <c r="H936" s="186">
        <f t="shared" ca="1" si="33"/>
        <v>-7.0317548558765071E-3</v>
      </c>
    </row>
    <row r="937" spans="2:8" x14ac:dyDescent="0.25">
      <c r="B937" s="67">
        <v>42127</v>
      </c>
      <c r="C937" s="66">
        <v>2698</v>
      </c>
      <c r="D937" s="186">
        <f t="shared" si="32"/>
        <v>-3.7374007671037372E-2</v>
      </c>
      <c r="E937" s="186">
        <v>-3.8283310757824228E-2</v>
      </c>
      <c r="G937">
        <v>926</v>
      </c>
      <c r="H937" s="186">
        <f t="shared" ca="1" si="33"/>
        <v>-2.4633569382193986E-2</v>
      </c>
    </row>
    <row r="938" spans="2:8" x14ac:dyDescent="0.25">
      <c r="B938" s="67">
        <v>42169</v>
      </c>
      <c r="C938" s="66">
        <v>2802.75</v>
      </c>
      <c r="D938" s="186">
        <f t="shared" si="32"/>
        <v>2.2014963732937343</v>
      </c>
      <c r="E938" s="186">
        <v>-3.8408755618073838E-2</v>
      </c>
      <c r="G938">
        <v>927</v>
      </c>
      <c r="H938" s="186">
        <f t="shared" ca="1" si="33"/>
        <v>8.8774667302678356E-2</v>
      </c>
    </row>
    <row r="939" spans="2:8" x14ac:dyDescent="0.25">
      <c r="B939" s="67">
        <v>39285</v>
      </c>
      <c r="C939">
        <v>875.45</v>
      </c>
      <c r="D939" s="186">
        <f t="shared" si="32"/>
        <v>-0.19672431986053115</v>
      </c>
      <c r="E939" s="186">
        <v>-3.8495332235035644E-2</v>
      </c>
      <c r="G939">
        <v>928</v>
      </c>
      <c r="H939" s="186">
        <f t="shared" ca="1" si="33"/>
        <v>1.9220598027050461E-2</v>
      </c>
    </row>
    <row r="940" spans="2:8" x14ac:dyDescent="0.25">
      <c r="B940" s="67">
        <v>40454</v>
      </c>
      <c r="C940" s="66">
        <v>1089.8499999999999</v>
      </c>
      <c r="D940" s="186">
        <f t="shared" si="32"/>
        <v>-0.73127280796922778</v>
      </c>
      <c r="E940" s="186">
        <v>-3.8678662785569494E-2</v>
      </c>
      <c r="G940">
        <v>929</v>
      </c>
      <c r="H940" s="186">
        <f t="shared" ca="1" si="33"/>
        <v>2.2520382546603761E-2</v>
      </c>
    </row>
    <row r="941" spans="2:8" x14ac:dyDescent="0.25">
      <c r="B941" s="67">
        <v>43821</v>
      </c>
      <c r="C941" s="66">
        <v>4055.6</v>
      </c>
      <c r="D941" s="186">
        <f t="shared" si="32"/>
        <v>0.2327239015790514</v>
      </c>
      <c r="E941" s="186">
        <v>-3.8775123246112986E-2</v>
      </c>
      <c r="G941">
        <v>930</v>
      </c>
      <c r="H941" s="186">
        <f t="shared" ca="1" si="33"/>
        <v>-5.5184652764794905E-3</v>
      </c>
    </row>
    <row r="942" spans="2:8" x14ac:dyDescent="0.25">
      <c r="B942" s="67">
        <v>42540</v>
      </c>
      <c r="C942" s="66">
        <v>3289.95</v>
      </c>
      <c r="D942" s="186">
        <f t="shared" si="32"/>
        <v>-0.3983596364500851</v>
      </c>
      <c r="E942" s="186">
        <v>-3.9178178207412193E-2</v>
      </c>
      <c r="G942">
        <v>931</v>
      </c>
      <c r="H942" s="186">
        <f t="shared" ca="1" si="33"/>
        <v>-2.6155299544869861E-2</v>
      </c>
    </row>
    <row r="943" spans="2:8" x14ac:dyDescent="0.25">
      <c r="B943" s="67">
        <v>44731</v>
      </c>
      <c r="C943" s="66">
        <v>5468.3</v>
      </c>
      <c r="D943" s="186">
        <f t="shared" si="32"/>
        <v>5.2143303596795274</v>
      </c>
      <c r="E943" s="186">
        <v>-3.9250136163184929E-2</v>
      </c>
      <c r="G943">
        <v>932</v>
      </c>
      <c r="H943" s="186">
        <f t="shared" ca="1" si="33"/>
        <v>3.2025248941431508E-2</v>
      </c>
    </row>
    <row r="944" spans="2:8" x14ac:dyDescent="0.25">
      <c r="B944" s="67">
        <v>39040</v>
      </c>
      <c r="C944">
        <v>879.95</v>
      </c>
      <c r="D944" s="186">
        <f t="shared" si="32"/>
        <v>-0.43830588535682363</v>
      </c>
      <c r="E944" s="186">
        <v>-3.9303455428789782E-2</v>
      </c>
      <c r="G944">
        <v>933</v>
      </c>
      <c r="H944" s="186">
        <f t="shared" ca="1" si="33"/>
        <v>4.4128375929341282E-2</v>
      </c>
    </row>
    <row r="945" spans="2:8" x14ac:dyDescent="0.25">
      <c r="B945" s="67">
        <v>41105</v>
      </c>
      <c r="C945" s="66">
        <v>1566.6</v>
      </c>
      <c r="D945" s="186">
        <f t="shared" si="32"/>
        <v>7.5850702194141958E-2</v>
      </c>
      <c r="E945" s="186">
        <v>-3.9543866102630131E-2</v>
      </c>
      <c r="G945">
        <v>934</v>
      </c>
      <c r="H945" s="186">
        <f t="shared" ca="1" si="33"/>
        <v>-4.5538260467815492E-2</v>
      </c>
    </row>
    <row r="946" spans="2:8" x14ac:dyDescent="0.25">
      <c r="B946" s="67">
        <v>41077</v>
      </c>
      <c r="C946" s="66">
        <v>1456.15</v>
      </c>
      <c r="D946" s="186">
        <f t="shared" si="32"/>
        <v>0.75577259299451383</v>
      </c>
      <c r="E946" s="186">
        <v>-3.9795581932080389E-2</v>
      </c>
      <c r="G946">
        <v>935</v>
      </c>
      <c r="H946" s="186">
        <f t="shared" ca="1" si="33"/>
        <v>9.6621376963583333E-3</v>
      </c>
    </row>
    <row r="947" spans="2:8" x14ac:dyDescent="0.25">
      <c r="B947" s="67">
        <v>40377</v>
      </c>
      <c r="C947">
        <v>829.35</v>
      </c>
      <c r="D947" s="186">
        <f t="shared" si="32"/>
        <v>-0.66804090699861907</v>
      </c>
      <c r="E947" s="186">
        <v>-3.9993054751707321E-2</v>
      </c>
      <c r="G947">
        <v>936</v>
      </c>
      <c r="H947" s="186">
        <f t="shared" ca="1" si="33"/>
        <v>2.5896352364222306E-3</v>
      </c>
    </row>
    <row r="948" spans="2:8" x14ac:dyDescent="0.25">
      <c r="B948" s="67">
        <v>41987</v>
      </c>
      <c r="C948" s="66">
        <v>2498.35</v>
      </c>
      <c r="D948" s="186">
        <f t="shared" si="32"/>
        <v>-0.73678582340360521</v>
      </c>
      <c r="E948" s="186">
        <v>-4.0185174513532693E-2</v>
      </c>
      <c r="G948">
        <v>937</v>
      </c>
      <c r="H948" s="186">
        <f t="shared" ca="1" si="33"/>
        <v>2.2171694813865293E-2</v>
      </c>
    </row>
    <row r="949" spans="2:8" x14ac:dyDescent="0.25">
      <c r="B949" s="67">
        <v>45417</v>
      </c>
      <c r="C949" s="66">
        <v>9491.7000000000007</v>
      </c>
      <c r="D949" s="186">
        <f t="shared" si="32"/>
        <v>5.0681603081742597E-2</v>
      </c>
      <c r="E949" s="186">
        <v>-4.0306965880883852E-2</v>
      </c>
      <c r="G949">
        <v>938</v>
      </c>
      <c r="H949" s="186">
        <f t="shared" ca="1" si="33"/>
        <v>-4.5879868986204594E-2</v>
      </c>
    </row>
    <row r="950" spans="2:8" x14ac:dyDescent="0.25">
      <c r="B950" s="67">
        <v>45256</v>
      </c>
      <c r="C950" s="66">
        <v>9033.85</v>
      </c>
      <c r="D950" s="186">
        <f t="shared" si="32"/>
        <v>0.4186099464518459</v>
      </c>
      <c r="E950" s="186">
        <v>-4.0335473864801158E-2</v>
      </c>
      <c r="G950">
        <v>939</v>
      </c>
      <c r="H950" s="186">
        <f t="shared" ca="1" si="33"/>
        <v>1.3329207633271223E-2</v>
      </c>
    </row>
    <row r="951" spans="2:8" x14ac:dyDescent="0.25">
      <c r="B951" s="67">
        <v>44325</v>
      </c>
      <c r="C951" s="66">
        <v>6368.1</v>
      </c>
      <c r="D951" s="186">
        <f t="shared" si="32"/>
        <v>4.4687620765168106</v>
      </c>
      <c r="E951" s="186">
        <v>-4.0602024828251169E-2</v>
      </c>
      <c r="G951">
        <v>940</v>
      </c>
      <c r="H951" s="186">
        <f t="shared" ca="1" si="33"/>
        <v>5.0238261822544246E-3</v>
      </c>
    </row>
    <row r="952" spans="2:8" x14ac:dyDescent="0.25">
      <c r="B952" s="67">
        <v>40916</v>
      </c>
      <c r="C952" s="66">
        <v>1164.45</v>
      </c>
      <c r="D952" s="186">
        <f t="shared" si="32"/>
        <v>-0.72909372200960842</v>
      </c>
      <c r="E952" s="186">
        <v>-4.0617919670442808E-2</v>
      </c>
      <c r="G952">
        <v>941</v>
      </c>
      <c r="H952" s="186">
        <f t="shared" ca="1" si="33"/>
        <v>-4.2589811068825451E-2</v>
      </c>
    </row>
    <row r="953" spans="2:8" x14ac:dyDescent="0.25">
      <c r="B953" s="67">
        <v>44108</v>
      </c>
      <c r="C953" s="66">
        <v>4298.3500000000004</v>
      </c>
      <c r="D953" s="186">
        <f t="shared" si="32"/>
        <v>5.3220293299682753E-2</v>
      </c>
      <c r="E953" s="186">
        <v>-4.0996407933781037E-2</v>
      </c>
      <c r="G953">
        <v>942</v>
      </c>
      <c r="H953" s="186">
        <f t="shared" ca="1" si="33"/>
        <v>-6.5518464361527112E-2</v>
      </c>
    </row>
    <row r="954" spans="2:8" x14ac:dyDescent="0.25">
      <c r="B954" s="67">
        <v>43786</v>
      </c>
      <c r="C954" s="66">
        <v>4081.15</v>
      </c>
      <c r="D954" s="186">
        <f t="shared" si="32"/>
        <v>1.7717762649310537E-2</v>
      </c>
      <c r="E954" s="186">
        <v>-4.1781127468244528E-2</v>
      </c>
      <c r="G954">
        <v>943</v>
      </c>
      <c r="H954" s="186">
        <f t="shared" ca="1" si="33"/>
        <v>-1.5966315082648917E-2</v>
      </c>
    </row>
    <row r="955" spans="2:8" x14ac:dyDescent="0.25">
      <c r="B955" s="67">
        <v>44052</v>
      </c>
      <c r="C955" s="66">
        <v>4010.1</v>
      </c>
      <c r="D955" s="186">
        <f t="shared" si="32"/>
        <v>1.1925095680699835</v>
      </c>
      <c r="E955" s="186">
        <v>-4.2432780935097253E-2</v>
      </c>
      <c r="G955">
        <v>944</v>
      </c>
      <c r="H955" s="186">
        <f t="shared" ca="1" si="33"/>
        <v>-7.8383727822970484E-2</v>
      </c>
    </row>
    <row r="956" spans="2:8" x14ac:dyDescent="0.25">
      <c r="B956" s="67">
        <v>41539</v>
      </c>
      <c r="C956" s="66">
        <v>1829</v>
      </c>
      <c r="D956" s="186">
        <f t="shared" si="32"/>
        <v>-0.81941955580567616</v>
      </c>
      <c r="E956" s="186">
        <v>-4.2608877721943092E-2</v>
      </c>
      <c r="G956">
        <v>945</v>
      </c>
      <c r="H956" s="186">
        <f t="shared" ca="1" si="33"/>
        <v>-3.3812259803376543E-2</v>
      </c>
    </row>
    <row r="957" spans="2:8" x14ac:dyDescent="0.25">
      <c r="B957" s="67">
        <v>45711</v>
      </c>
      <c r="C957" s="66">
        <v>10128.450000000001</v>
      </c>
      <c r="D957" s="186">
        <f t="shared" si="32"/>
        <v>34.897395002658165</v>
      </c>
      <c r="E957" s="186">
        <v>-4.2896696401572322E-2</v>
      </c>
      <c r="G957">
        <v>946</v>
      </c>
      <c r="H957" s="186">
        <f t="shared" ca="1" si="33"/>
        <v>-2.875288990743011E-2</v>
      </c>
    </row>
    <row r="958" spans="2:8" x14ac:dyDescent="0.25">
      <c r="B958" s="67">
        <v>38305</v>
      </c>
      <c r="C958">
        <v>282.14999999999998</v>
      </c>
      <c r="D958" s="186">
        <f t="shared" si="32"/>
        <v>-0.17148729995595369</v>
      </c>
      <c r="E958" s="186">
        <v>-4.2910447761194147E-2</v>
      </c>
      <c r="G958">
        <v>947</v>
      </c>
      <c r="H958" s="186">
        <f t="shared" ca="1" si="33"/>
        <v>-1.6623105380673405E-2</v>
      </c>
    </row>
    <row r="959" spans="2:8" x14ac:dyDescent="0.25">
      <c r="B959" s="67">
        <v>38522</v>
      </c>
      <c r="C959">
        <v>340.55</v>
      </c>
      <c r="D959" s="186">
        <f t="shared" si="32"/>
        <v>-0.60405766771305658</v>
      </c>
      <c r="E959" s="186">
        <v>-4.3398876404494351E-2</v>
      </c>
      <c r="G959">
        <v>948</v>
      </c>
      <c r="H959" s="186">
        <f t="shared" ca="1" si="33"/>
        <v>-4.0104197979235982E-3</v>
      </c>
    </row>
    <row r="960" spans="2:8" x14ac:dyDescent="0.25">
      <c r="B960" s="67">
        <v>40153</v>
      </c>
      <c r="C960">
        <v>860.1</v>
      </c>
      <c r="D960" s="186">
        <f t="shared" si="32"/>
        <v>-0.74091032322197792</v>
      </c>
      <c r="E960" s="186">
        <v>-4.3483096085409276E-2</v>
      </c>
      <c r="G960">
        <v>949</v>
      </c>
      <c r="H960" s="186">
        <f t="shared" ca="1" si="33"/>
        <v>6.2661833806196707E-2</v>
      </c>
    </row>
    <row r="961" spans="2:8" x14ac:dyDescent="0.25">
      <c r="B961" s="67">
        <v>42743</v>
      </c>
      <c r="C961" s="66">
        <v>3319.7</v>
      </c>
      <c r="D961" s="186">
        <f t="shared" si="32"/>
        <v>6.8423932284123426E-2</v>
      </c>
      <c r="E961" s="186">
        <v>-4.3768813100399026E-2</v>
      </c>
      <c r="G961">
        <v>950</v>
      </c>
      <c r="H961" s="186">
        <f t="shared" ca="1" si="33"/>
        <v>2.0312342917191278E-2</v>
      </c>
    </row>
    <row r="962" spans="2:8" x14ac:dyDescent="0.25">
      <c r="B962" s="67">
        <v>42722</v>
      </c>
      <c r="C962" s="66">
        <v>3107.1</v>
      </c>
      <c r="D962" s="186">
        <f t="shared" si="32"/>
        <v>2.1739108228203681</v>
      </c>
      <c r="E962" s="186">
        <v>-4.4028059811703872E-2</v>
      </c>
      <c r="G962">
        <v>951</v>
      </c>
      <c r="H962" s="186">
        <f t="shared" ca="1" si="33"/>
        <v>1.5842527137602879E-2</v>
      </c>
    </row>
    <row r="963" spans="2:8" x14ac:dyDescent="0.25">
      <c r="B963" s="67">
        <v>39418</v>
      </c>
      <c r="C963">
        <v>978.95</v>
      </c>
      <c r="D963" s="186">
        <f t="shared" si="32"/>
        <v>-0.86231073791992807</v>
      </c>
      <c r="E963" s="186">
        <v>-4.4087491455912377E-2</v>
      </c>
      <c r="G963">
        <v>952</v>
      </c>
      <c r="H963" s="186">
        <f t="shared" ca="1" si="33"/>
        <v>-9.2234495908985123E-3</v>
      </c>
    </row>
    <row r="964" spans="2:8" x14ac:dyDescent="0.25">
      <c r="B964" s="67">
        <v>44584</v>
      </c>
      <c r="C964" s="66">
        <v>7109.85</v>
      </c>
      <c r="D964" s="186">
        <f t="shared" si="32"/>
        <v>1.6202734576546034</v>
      </c>
      <c r="E964" s="186">
        <v>-4.433004240790888E-2</v>
      </c>
      <c r="G964">
        <v>953</v>
      </c>
      <c r="H964" s="186">
        <f t="shared" ca="1" si="33"/>
        <v>-8.7866203828499634E-2</v>
      </c>
    </row>
    <row r="965" spans="2:8" x14ac:dyDescent="0.25">
      <c r="B965" s="67">
        <v>42386</v>
      </c>
      <c r="C965" s="66">
        <v>2713.4</v>
      </c>
      <c r="D965" s="186">
        <f t="shared" si="32"/>
        <v>1.7399777845097448</v>
      </c>
      <c r="E965" s="186">
        <v>-4.4611105242773078E-2</v>
      </c>
      <c r="G965">
        <v>954</v>
      </c>
      <c r="H965" s="186">
        <f t="shared" ca="1" si="33"/>
        <v>8.9584086691927745E-2</v>
      </c>
    </row>
    <row r="966" spans="2:8" x14ac:dyDescent="0.25">
      <c r="B966" s="67">
        <v>40181</v>
      </c>
      <c r="C966">
        <v>990.3</v>
      </c>
      <c r="D966" s="186">
        <f t="shared" si="32"/>
        <v>-0.6116546734377758</v>
      </c>
      <c r="E966" s="186">
        <v>-4.4987704325184522E-2</v>
      </c>
      <c r="G966">
        <v>955</v>
      </c>
      <c r="H966" s="186">
        <f t="shared" ca="1" si="33"/>
        <v>-3.0179130418412643E-2</v>
      </c>
    </row>
    <row r="967" spans="2:8" x14ac:dyDescent="0.25">
      <c r="B967" s="67">
        <v>41875</v>
      </c>
      <c r="C967" s="66">
        <v>2550.0500000000002</v>
      </c>
      <c r="D967" s="186">
        <f t="shared" si="32"/>
        <v>4.8001643891914178E-2</v>
      </c>
      <c r="E967" s="186">
        <v>-4.5193297762800642E-2</v>
      </c>
      <c r="G967">
        <v>956</v>
      </c>
      <c r="H967" s="186">
        <f t="shared" ca="1" si="33"/>
        <v>-2.6860412330149269E-2</v>
      </c>
    </row>
    <row r="968" spans="2:8" x14ac:dyDescent="0.25">
      <c r="B968" s="67">
        <v>41931</v>
      </c>
      <c r="C968" s="66">
        <v>2433.25</v>
      </c>
      <c r="D968" s="186">
        <f t="shared" si="32"/>
        <v>0.38690187808144999</v>
      </c>
      <c r="E968" s="186">
        <v>-4.5203947497498412E-2</v>
      </c>
      <c r="G968">
        <v>957</v>
      </c>
      <c r="H968" s="186">
        <f t="shared" ca="1" si="33"/>
        <v>-4.1438418385138912E-2</v>
      </c>
    </row>
    <row r="969" spans="2:8" x14ac:dyDescent="0.25">
      <c r="B969" s="67">
        <v>41161</v>
      </c>
      <c r="C969" s="66">
        <v>1754.45</v>
      </c>
      <c r="D969" s="186">
        <f t="shared" si="32"/>
        <v>-0.84561334037310798</v>
      </c>
      <c r="E969" s="186">
        <v>-4.5249238136699975E-2</v>
      </c>
      <c r="G969">
        <v>958</v>
      </c>
      <c r="H969" s="186">
        <f t="shared" ca="1" si="33"/>
        <v>-4.0318393935163425E-3</v>
      </c>
    </row>
    <row r="970" spans="2:8" x14ac:dyDescent="0.25">
      <c r="B970" s="67">
        <v>45781</v>
      </c>
      <c r="C970" s="66">
        <v>11364</v>
      </c>
      <c r="D970" s="186">
        <f t="shared" si="32"/>
        <v>42.944315545243612</v>
      </c>
      <c r="E970" s="186">
        <v>-4.5443091138177238E-2</v>
      </c>
      <c r="G970">
        <v>959</v>
      </c>
      <c r="H970" s="186">
        <f t="shared" ca="1" si="33"/>
        <v>-2.4654399788418451E-3</v>
      </c>
    </row>
    <row r="971" spans="2:8" x14ac:dyDescent="0.25">
      <c r="B971" s="67">
        <v>38235</v>
      </c>
      <c r="C971">
        <v>258.60000000000002</v>
      </c>
      <c r="D971" s="186">
        <f t="shared" si="32"/>
        <v>-0.93532332086985881</v>
      </c>
      <c r="E971" s="186">
        <v>-4.575645756457556E-2</v>
      </c>
      <c r="G971">
        <v>960</v>
      </c>
      <c r="H971" s="186">
        <f t="shared" ca="1" si="33"/>
        <v>5.8458466834023629E-2</v>
      </c>
    </row>
    <row r="972" spans="2:8" x14ac:dyDescent="0.25">
      <c r="B972" s="67">
        <v>43548</v>
      </c>
      <c r="C972" s="66">
        <v>3998.35</v>
      </c>
      <c r="D972" s="186">
        <f t="shared" ref="D972:D1035" si="34">(C972-C973)/C973</f>
        <v>4.6046397532940846</v>
      </c>
      <c r="E972" s="186">
        <v>-4.5830946926307688E-2</v>
      </c>
      <c r="G972">
        <v>961</v>
      </c>
      <c r="H972" s="186">
        <f t="shared" ca="1" si="33"/>
        <v>3.1017998770287918E-2</v>
      </c>
    </row>
    <row r="973" spans="2:8" x14ac:dyDescent="0.25">
      <c r="B973" s="67">
        <v>38886</v>
      </c>
      <c r="C973">
        <v>713.4</v>
      </c>
      <c r="D973" s="186">
        <f t="shared" si="34"/>
        <v>1.0198187995469989</v>
      </c>
      <c r="E973" s="186">
        <v>-4.5874013641835049E-2</v>
      </c>
      <c r="G973">
        <v>962</v>
      </c>
      <c r="H973" s="186">
        <f t="shared" ref="H973:H1036" ca="1" si="35">_xlfn.NORM.INV(RAND(),N$14,N$15)</f>
        <v>-6.2357468703157157E-2</v>
      </c>
    </row>
    <row r="974" spans="2:8" x14ac:dyDescent="0.25">
      <c r="B974" s="67">
        <v>38445</v>
      </c>
      <c r="C974">
        <v>353.2</v>
      </c>
      <c r="D974" s="186">
        <f t="shared" si="34"/>
        <v>-0.95331500475838005</v>
      </c>
      <c r="E974" s="186">
        <v>-4.5921123716909783E-2</v>
      </c>
      <c r="G974">
        <v>963</v>
      </c>
      <c r="H974" s="186">
        <f t="shared" ca="1" si="35"/>
        <v>8.3916545938399392E-3</v>
      </c>
    </row>
    <row r="975" spans="2:8" x14ac:dyDescent="0.25">
      <c r="B975" s="67">
        <v>44430</v>
      </c>
      <c r="C975" s="66">
        <v>7565.6</v>
      </c>
      <c r="D975" s="186">
        <f t="shared" si="34"/>
        <v>1.6840266075388028</v>
      </c>
      <c r="E975" s="186">
        <v>-4.5934034061173919E-2</v>
      </c>
      <c r="G975">
        <v>964</v>
      </c>
      <c r="H975" s="186">
        <f t="shared" ca="1" si="35"/>
        <v>6.7694666897915978E-2</v>
      </c>
    </row>
    <row r="976" spans="2:8" x14ac:dyDescent="0.25">
      <c r="B976" s="67">
        <v>42281</v>
      </c>
      <c r="C976" s="66">
        <v>2818.75</v>
      </c>
      <c r="D976" s="186">
        <f t="shared" si="34"/>
        <v>0.49432751948258496</v>
      </c>
      <c r="E976" s="186">
        <v>-4.5995295551080527E-2</v>
      </c>
      <c r="G976">
        <v>965</v>
      </c>
      <c r="H976" s="186">
        <f t="shared" ca="1" si="35"/>
        <v>1.3524641317779152E-3</v>
      </c>
    </row>
    <row r="977" spans="2:8" x14ac:dyDescent="0.25">
      <c r="B977" s="67">
        <v>41392</v>
      </c>
      <c r="C977" s="66">
        <v>1886.3</v>
      </c>
      <c r="D977" s="186">
        <f t="shared" si="34"/>
        <v>-0.82815496390097254</v>
      </c>
      <c r="E977" s="186">
        <v>-4.6191186509240832E-2</v>
      </c>
      <c r="G977">
        <v>966</v>
      </c>
      <c r="H977" s="186">
        <f t="shared" ca="1" si="35"/>
        <v>8.8265403027887948E-2</v>
      </c>
    </row>
    <row r="978" spans="2:8" x14ac:dyDescent="0.25">
      <c r="B978" s="67">
        <v>45732</v>
      </c>
      <c r="C978" s="66">
        <v>10976.75</v>
      </c>
      <c r="D978" s="186">
        <f t="shared" si="34"/>
        <v>1.8492907111059198</v>
      </c>
      <c r="E978" s="186">
        <v>-4.6291992302044761E-2</v>
      </c>
      <c r="G978">
        <v>967</v>
      </c>
      <c r="H978" s="186">
        <f t="shared" ca="1" si="35"/>
        <v>1.4435621617289757E-2</v>
      </c>
    </row>
    <row r="979" spans="2:8" x14ac:dyDescent="0.25">
      <c r="B979" s="67">
        <v>42799</v>
      </c>
      <c r="C979" s="66">
        <v>3852.45</v>
      </c>
      <c r="D979" s="186">
        <f t="shared" si="34"/>
        <v>3.1156455317557818</v>
      </c>
      <c r="E979" s="186">
        <v>-4.6376058220704085E-2</v>
      </c>
      <c r="G979">
        <v>968</v>
      </c>
      <c r="H979" s="186">
        <f t="shared" ca="1" si="35"/>
        <v>-8.2300666445134577E-3</v>
      </c>
    </row>
    <row r="980" spans="2:8" x14ac:dyDescent="0.25">
      <c r="B980" s="67">
        <v>40720</v>
      </c>
      <c r="C980">
        <v>936.05</v>
      </c>
      <c r="D980" s="186">
        <f t="shared" si="34"/>
        <v>-0.74291756498812156</v>
      </c>
      <c r="E980" s="186">
        <v>-4.6452401568787272E-2</v>
      </c>
      <c r="G980">
        <v>969</v>
      </c>
      <c r="H980" s="186">
        <f t="shared" ca="1" si="35"/>
        <v>-2.4639309844921308E-2</v>
      </c>
    </row>
    <row r="981" spans="2:8" x14ac:dyDescent="0.25">
      <c r="B981" s="67">
        <v>43268</v>
      </c>
      <c r="C981" s="66">
        <v>3641.05</v>
      </c>
      <c r="D981" s="186">
        <f t="shared" si="34"/>
        <v>-0.27824966549383018</v>
      </c>
      <c r="E981" s="186">
        <v>-4.6496098046404373E-2</v>
      </c>
      <c r="G981">
        <v>970</v>
      </c>
      <c r="H981" s="186">
        <f t="shared" ca="1" si="35"/>
        <v>-2.6175603403821877E-2</v>
      </c>
    </row>
    <row r="982" spans="2:8" x14ac:dyDescent="0.25">
      <c r="B982" s="67">
        <v>44185</v>
      </c>
      <c r="C982" s="66">
        <v>5044.75</v>
      </c>
      <c r="D982" s="186">
        <f t="shared" si="34"/>
        <v>0.23110243426270513</v>
      </c>
      <c r="E982" s="186">
        <v>-4.6505254403870905E-2</v>
      </c>
      <c r="G982">
        <v>971</v>
      </c>
      <c r="H982" s="186">
        <f t="shared" ca="1" si="35"/>
        <v>2.571781282863363E-2</v>
      </c>
    </row>
    <row r="983" spans="2:8" x14ac:dyDescent="0.25">
      <c r="B983" s="67">
        <v>44101</v>
      </c>
      <c r="C983" s="66">
        <v>4097.75</v>
      </c>
      <c r="D983" s="186">
        <f t="shared" si="34"/>
        <v>0.47882495173135575</v>
      </c>
      <c r="E983" s="186">
        <v>-4.6669070689915979E-2</v>
      </c>
      <c r="G983">
        <v>972</v>
      </c>
      <c r="H983" s="186">
        <f t="shared" ca="1" si="35"/>
        <v>-3.7891992795155552E-2</v>
      </c>
    </row>
    <row r="984" spans="2:8" x14ac:dyDescent="0.25">
      <c r="B984" s="67">
        <v>42421</v>
      </c>
      <c r="C984" s="66">
        <v>2770.95</v>
      </c>
      <c r="D984" s="186">
        <f t="shared" si="34"/>
        <v>-0.2824719042933348</v>
      </c>
      <c r="E984" s="186">
        <v>-4.6768034676115539E-2</v>
      </c>
      <c r="G984">
        <v>973</v>
      </c>
      <c r="H984" s="186">
        <f t="shared" ca="1" si="35"/>
        <v>9.1178558342499369E-2</v>
      </c>
    </row>
    <row r="985" spans="2:8" x14ac:dyDescent="0.25">
      <c r="B985" s="67">
        <v>43695</v>
      </c>
      <c r="C985" s="66">
        <v>3861.8</v>
      </c>
      <c r="D985" s="186">
        <f t="shared" si="34"/>
        <v>0.70115853927139793</v>
      </c>
      <c r="E985" s="186">
        <v>-4.6998581035227298E-2</v>
      </c>
      <c r="G985">
        <v>974</v>
      </c>
      <c r="H985" s="186">
        <f t="shared" ca="1" si="35"/>
        <v>4.2674175332517467E-2</v>
      </c>
    </row>
    <row r="986" spans="2:8" x14ac:dyDescent="0.25">
      <c r="B986" s="67">
        <v>41777</v>
      </c>
      <c r="C986" s="66">
        <v>2270.1</v>
      </c>
      <c r="D986" s="186">
        <f t="shared" si="34"/>
        <v>2.3234755874386943</v>
      </c>
      <c r="E986" s="186">
        <v>-4.7057341952816689E-2</v>
      </c>
      <c r="G986">
        <v>975</v>
      </c>
      <c r="H986" s="186">
        <f t="shared" ca="1" si="35"/>
        <v>-3.2250786327613842E-2</v>
      </c>
    </row>
    <row r="987" spans="2:8" x14ac:dyDescent="0.25">
      <c r="B987" s="67">
        <v>38802</v>
      </c>
      <c r="C987">
        <v>683.05</v>
      </c>
      <c r="D987" s="186">
        <f t="shared" si="34"/>
        <v>-0.70529608456477189</v>
      </c>
      <c r="E987" s="186">
        <v>-4.7283632052444506E-2</v>
      </c>
      <c r="G987">
        <v>976</v>
      </c>
      <c r="H987" s="186">
        <f t="shared" ca="1" si="35"/>
        <v>5.8085440470179633E-2</v>
      </c>
    </row>
    <row r="988" spans="2:8" x14ac:dyDescent="0.25">
      <c r="B988" s="67">
        <v>41924</v>
      </c>
      <c r="C988" s="66">
        <v>2317.75</v>
      </c>
      <c r="D988" s="186">
        <f t="shared" si="34"/>
        <v>-0.31143328233389289</v>
      </c>
      <c r="E988" s="186">
        <v>-4.7467379019829448E-2</v>
      </c>
      <c r="G988">
        <v>977</v>
      </c>
      <c r="H988" s="186">
        <f t="shared" ca="1" si="35"/>
        <v>-7.2211462749142891E-2</v>
      </c>
    </row>
    <row r="989" spans="2:8" x14ac:dyDescent="0.25">
      <c r="B989" s="67">
        <v>43926</v>
      </c>
      <c r="C989" s="66">
        <v>3366.05</v>
      </c>
      <c r="D989" s="186">
        <f t="shared" si="34"/>
        <v>-0.67795466939658056</v>
      </c>
      <c r="E989" s="186">
        <v>-4.7537527765594709E-2</v>
      </c>
      <c r="G989">
        <v>978</v>
      </c>
      <c r="H989" s="186">
        <f t="shared" ca="1" si="35"/>
        <v>5.9360558679825244E-4</v>
      </c>
    </row>
    <row r="990" spans="2:8" x14ac:dyDescent="0.25">
      <c r="B990" s="67">
        <v>45725</v>
      </c>
      <c r="C990" s="66">
        <v>10452.1</v>
      </c>
      <c r="D990" s="186">
        <f t="shared" si="34"/>
        <v>10.92685570833571</v>
      </c>
      <c r="E990" s="186">
        <v>-4.7796478921356474E-2</v>
      </c>
      <c r="G990">
        <v>979</v>
      </c>
      <c r="H990" s="186">
        <f t="shared" ca="1" si="35"/>
        <v>1.5117028900802753E-2</v>
      </c>
    </row>
    <row r="991" spans="2:8" x14ac:dyDescent="0.25">
      <c r="B991" s="67">
        <v>39313</v>
      </c>
      <c r="C991">
        <v>876.35</v>
      </c>
      <c r="D991" s="186">
        <f t="shared" si="34"/>
        <v>-0.8787025246373602</v>
      </c>
      <c r="E991" s="186">
        <v>-4.7807899168794479E-2</v>
      </c>
      <c r="G991">
        <v>980</v>
      </c>
      <c r="H991" s="186">
        <f t="shared" ca="1" si="35"/>
        <v>-6.2820578684735853E-3</v>
      </c>
    </row>
    <row r="992" spans="2:8" x14ac:dyDescent="0.25">
      <c r="B992" s="67">
        <v>44549</v>
      </c>
      <c r="C992" s="66">
        <v>7224.8</v>
      </c>
      <c r="D992" s="186">
        <f t="shared" si="34"/>
        <v>2.3600595293461075</v>
      </c>
      <c r="E992" s="186">
        <v>-4.8247607379743249E-2</v>
      </c>
      <c r="G992">
        <v>981</v>
      </c>
      <c r="H992" s="186">
        <f t="shared" ca="1" si="35"/>
        <v>-7.4107367127125887E-2</v>
      </c>
    </row>
    <row r="993" spans="2:8" x14ac:dyDescent="0.25">
      <c r="B993" s="67">
        <v>41728</v>
      </c>
      <c r="C993" s="66">
        <v>2150.1999999999998</v>
      </c>
      <c r="D993" s="186">
        <f t="shared" si="34"/>
        <v>4.4304836469251168</v>
      </c>
      <c r="E993" s="186">
        <v>-4.8268230607502571E-2</v>
      </c>
      <c r="G993">
        <v>982</v>
      </c>
      <c r="H993" s="186">
        <f t="shared" ca="1" si="35"/>
        <v>-1.0354863112115418E-2</v>
      </c>
    </row>
    <row r="994" spans="2:8" x14ac:dyDescent="0.25">
      <c r="B994" s="67">
        <v>39838</v>
      </c>
      <c r="C994">
        <v>395.95</v>
      </c>
      <c r="D994" s="186">
        <f t="shared" si="34"/>
        <v>-0.56771657841585232</v>
      </c>
      <c r="E994" s="186">
        <v>-4.8311501021511889E-2</v>
      </c>
      <c r="G994">
        <v>983</v>
      </c>
      <c r="H994" s="186">
        <f t="shared" ca="1" si="35"/>
        <v>9.0431374566459277E-2</v>
      </c>
    </row>
    <row r="995" spans="2:8" x14ac:dyDescent="0.25">
      <c r="B995" s="67">
        <v>39047</v>
      </c>
      <c r="C995">
        <v>915.95</v>
      </c>
      <c r="D995" s="186">
        <f t="shared" si="34"/>
        <v>-0.49541385484093098</v>
      </c>
      <c r="E995" s="186">
        <v>-4.8363636363636317E-2</v>
      </c>
      <c r="G995">
        <v>984</v>
      </c>
      <c r="H995" s="186">
        <f t="shared" ca="1" si="35"/>
        <v>-3.3284980128243782E-2</v>
      </c>
    </row>
    <row r="996" spans="2:8" x14ac:dyDescent="0.25">
      <c r="B996" s="67">
        <v>41595</v>
      </c>
      <c r="C996" s="66">
        <v>1815.25</v>
      </c>
      <c r="D996" s="186">
        <f t="shared" si="34"/>
        <v>-0.37720863210622013</v>
      </c>
      <c r="E996" s="186">
        <v>-4.851137435789913E-2</v>
      </c>
      <c r="G996">
        <v>985</v>
      </c>
      <c r="H996" s="186">
        <f t="shared" ca="1" si="35"/>
        <v>-1.4775059585615244E-2</v>
      </c>
    </row>
    <row r="997" spans="2:8" x14ac:dyDescent="0.25">
      <c r="B997" s="67">
        <v>42176</v>
      </c>
      <c r="C997" s="66">
        <v>2914.7</v>
      </c>
      <c r="D997" s="186">
        <f t="shared" si="34"/>
        <v>-0.24858531303574422</v>
      </c>
      <c r="E997" s="186">
        <v>-4.8928915210546153E-2</v>
      </c>
      <c r="G997">
        <v>986</v>
      </c>
      <c r="H997" s="186">
        <f t="shared" ca="1" si="35"/>
        <v>-4.001382703490497E-2</v>
      </c>
    </row>
    <row r="998" spans="2:8" x14ac:dyDescent="0.25">
      <c r="B998" s="67">
        <v>43198</v>
      </c>
      <c r="C998" s="66">
        <v>3878.95</v>
      </c>
      <c r="D998" s="186">
        <f t="shared" si="34"/>
        <v>2.4681478832312576</v>
      </c>
      <c r="E998" s="186">
        <v>-4.9486632850596748E-2</v>
      </c>
      <c r="G998">
        <v>987</v>
      </c>
      <c r="H998" s="186">
        <f t="shared" ca="1" si="35"/>
        <v>7.2486493121717746E-2</v>
      </c>
    </row>
    <row r="999" spans="2:8" x14ac:dyDescent="0.25">
      <c r="B999" s="67">
        <v>40867</v>
      </c>
      <c r="C999" s="66">
        <v>1118.45</v>
      </c>
      <c r="D999" s="186">
        <f t="shared" si="34"/>
        <v>2.0853793103448277</v>
      </c>
      <c r="E999" s="186">
        <v>-4.9502846944845753E-2</v>
      </c>
      <c r="G999">
        <v>988</v>
      </c>
      <c r="H999" s="186">
        <f t="shared" ca="1" si="35"/>
        <v>-3.2070547728085319E-2</v>
      </c>
    </row>
    <row r="1000" spans="2:8" x14ac:dyDescent="0.25">
      <c r="B1000" s="67">
        <v>38550</v>
      </c>
      <c r="C1000">
        <v>362.5</v>
      </c>
      <c r="D1000" s="186">
        <f t="shared" si="34"/>
        <v>-0.6220809007506255</v>
      </c>
      <c r="E1000" s="186">
        <v>-5.0052410901467559E-2</v>
      </c>
      <c r="G1000">
        <v>989</v>
      </c>
      <c r="H1000" s="186">
        <f t="shared" ca="1" si="35"/>
        <v>5.1510235304900601E-3</v>
      </c>
    </row>
    <row r="1001" spans="2:8" x14ac:dyDescent="0.25">
      <c r="B1001" s="67">
        <v>40594</v>
      </c>
      <c r="C1001">
        <v>959.2</v>
      </c>
      <c r="D1001" s="186">
        <f t="shared" si="34"/>
        <v>-0.86045970322956067</v>
      </c>
      <c r="E1001" s="186">
        <v>-5.0061896509036842E-2</v>
      </c>
      <c r="G1001">
        <v>990</v>
      </c>
      <c r="H1001" s="186">
        <f t="shared" ca="1" si="35"/>
        <v>4.9989500380632601E-2</v>
      </c>
    </row>
    <row r="1002" spans="2:8" x14ac:dyDescent="0.25">
      <c r="B1002" s="67">
        <v>44885</v>
      </c>
      <c r="C1002" s="66">
        <v>6874</v>
      </c>
      <c r="D1002" s="186">
        <f t="shared" si="34"/>
        <v>0.62921880925293905</v>
      </c>
      <c r="E1002" s="186">
        <v>-5.0165467973829141E-2</v>
      </c>
      <c r="G1002">
        <v>991</v>
      </c>
      <c r="H1002" s="186">
        <f t="shared" ca="1" si="35"/>
        <v>-5.5506389464856712E-2</v>
      </c>
    </row>
    <row r="1003" spans="2:8" x14ac:dyDescent="0.25">
      <c r="B1003" s="67">
        <v>43828</v>
      </c>
      <c r="C1003" s="66">
        <v>4219.2</v>
      </c>
      <c r="D1003" s="186">
        <f t="shared" si="34"/>
        <v>0.62093009854203884</v>
      </c>
      <c r="E1003" s="186">
        <v>-5.0713225037123819E-2</v>
      </c>
      <c r="G1003">
        <v>992</v>
      </c>
      <c r="H1003" s="186">
        <f t="shared" ca="1" si="35"/>
        <v>2.5606943921741097E-2</v>
      </c>
    </row>
    <row r="1004" spans="2:8" x14ac:dyDescent="0.25">
      <c r="B1004" s="67">
        <v>41994</v>
      </c>
      <c r="C1004" s="66">
        <v>2602.9499999999998</v>
      </c>
      <c r="D1004" s="186">
        <f t="shared" si="34"/>
        <v>-0.36158393014814089</v>
      </c>
      <c r="E1004" s="186">
        <v>-5.0745778782684839E-2</v>
      </c>
      <c r="G1004">
        <v>993</v>
      </c>
      <c r="H1004" s="186">
        <f t="shared" ca="1" si="35"/>
        <v>-9.9928958547396501E-2</v>
      </c>
    </row>
    <row r="1005" spans="2:8" x14ac:dyDescent="0.25">
      <c r="B1005" s="67">
        <v>43744</v>
      </c>
      <c r="C1005" s="66">
        <v>4077.2</v>
      </c>
      <c r="D1005" s="186">
        <f t="shared" si="34"/>
        <v>-0.59101213762664262</v>
      </c>
      <c r="E1005" s="186">
        <v>-5.0776430051451667E-2</v>
      </c>
      <c r="G1005">
        <v>994</v>
      </c>
      <c r="H1005" s="186">
        <f t="shared" ca="1" si="35"/>
        <v>-1.1603180562380109E-2</v>
      </c>
    </row>
    <row r="1006" spans="2:8" x14ac:dyDescent="0.25">
      <c r="B1006" s="67">
        <v>45277</v>
      </c>
      <c r="C1006" s="66">
        <v>9969</v>
      </c>
      <c r="D1006" s="186">
        <f t="shared" si="34"/>
        <v>28.896536212325685</v>
      </c>
      <c r="E1006" s="186">
        <v>-5.084713487986816E-2</v>
      </c>
      <c r="G1006">
        <v>995</v>
      </c>
      <c r="H1006" s="186">
        <f t="shared" ca="1" si="35"/>
        <v>1.1641313028031397E-2</v>
      </c>
    </row>
    <row r="1007" spans="2:8" x14ac:dyDescent="0.25">
      <c r="B1007" s="67">
        <v>38368</v>
      </c>
      <c r="C1007">
        <v>333.45</v>
      </c>
      <c r="D1007" s="186">
        <f t="shared" si="34"/>
        <v>-0.90305135995580699</v>
      </c>
      <c r="E1007" s="186">
        <v>-5.1351351351351382E-2</v>
      </c>
      <c r="G1007">
        <v>996</v>
      </c>
      <c r="H1007" s="186">
        <f t="shared" ca="1" si="35"/>
        <v>-2.8666443114958383E-2</v>
      </c>
    </row>
    <row r="1008" spans="2:8" x14ac:dyDescent="0.25">
      <c r="B1008" s="67">
        <v>43506</v>
      </c>
      <c r="C1008" s="66">
        <v>3439.45</v>
      </c>
      <c r="D1008" s="186">
        <f t="shared" si="34"/>
        <v>5.2603749544958136</v>
      </c>
      <c r="E1008" s="186">
        <v>-5.1369390738340188E-2</v>
      </c>
      <c r="G1008">
        <v>997</v>
      </c>
      <c r="H1008" s="186">
        <f t="shared" ca="1" si="35"/>
        <v>-2.4125540788915573E-2</v>
      </c>
    </row>
    <row r="1009" spans="2:8" x14ac:dyDescent="0.25">
      <c r="B1009" s="67">
        <v>38767</v>
      </c>
      <c r="C1009">
        <v>549.4</v>
      </c>
      <c r="D1009" s="186">
        <f t="shared" si="34"/>
        <v>-0.85239515327368953</v>
      </c>
      <c r="E1009" s="186">
        <v>-5.2023121387283204E-2</v>
      </c>
      <c r="G1009">
        <v>998</v>
      </c>
      <c r="H1009" s="186">
        <f t="shared" ca="1" si="35"/>
        <v>-2.7041063548597061E-2</v>
      </c>
    </row>
    <row r="1010" spans="2:8" x14ac:dyDescent="0.25">
      <c r="B1010" s="67">
        <v>42589</v>
      </c>
      <c r="C1010" s="66">
        <v>3722.1</v>
      </c>
      <c r="D1010" s="186">
        <f t="shared" si="34"/>
        <v>-0.62461802228833641</v>
      </c>
      <c r="E1010" s="186">
        <v>-5.2128959967403549E-2</v>
      </c>
      <c r="G1010">
        <v>999</v>
      </c>
      <c r="H1010" s="186">
        <f t="shared" ca="1" si="35"/>
        <v>-3.5807109131195905E-2</v>
      </c>
    </row>
    <row r="1011" spans="2:8" x14ac:dyDescent="0.25">
      <c r="B1011" s="67">
        <v>45438</v>
      </c>
      <c r="C1011" s="66">
        <v>9915.5</v>
      </c>
      <c r="D1011" s="186">
        <f t="shared" si="34"/>
        <v>8.5336762655641571</v>
      </c>
      <c r="E1011" s="186">
        <v>-5.234083426119282E-2</v>
      </c>
      <c r="G1011">
        <v>1000</v>
      </c>
      <c r="H1011" s="186">
        <f t="shared" ca="1" si="35"/>
        <v>1.0563509074791083E-2</v>
      </c>
    </row>
    <row r="1012" spans="2:8" x14ac:dyDescent="0.25">
      <c r="B1012" s="67">
        <v>40230</v>
      </c>
      <c r="C1012" s="66">
        <v>1040.05</v>
      </c>
      <c r="D1012" s="186">
        <f t="shared" si="34"/>
        <v>-0.87844487038638652</v>
      </c>
      <c r="E1012" s="186">
        <v>-5.2562058756547528E-2</v>
      </c>
      <c r="G1012">
        <v>1001</v>
      </c>
      <c r="H1012" s="186">
        <f t="shared" ca="1" si="35"/>
        <v>4.0959142879938099E-2</v>
      </c>
    </row>
    <row r="1013" spans="2:8" x14ac:dyDescent="0.25">
      <c r="B1013" s="67">
        <v>45249</v>
      </c>
      <c r="C1013" s="66">
        <v>8556.2000000000007</v>
      </c>
      <c r="D1013" s="186">
        <f t="shared" si="34"/>
        <v>7.2796593768143998</v>
      </c>
      <c r="E1013" s="186">
        <v>-5.2873359641791663E-2</v>
      </c>
      <c r="G1013">
        <v>1002</v>
      </c>
      <c r="H1013" s="186">
        <f t="shared" ca="1" si="35"/>
        <v>-5.8363289859177381E-2</v>
      </c>
    </row>
    <row r="1014" spans="2:8" x14ac:dyDescent="0.25">
      <c r="B1014" s="67">
        <v>39103</v>
      </c>
      <c r="C1014" s="66">
        <v>1033.4000000000001</v>
      </c>
      <c r="D1014" s="186">
        <f t="shared" si="34"/>
        <v>0.21028283656379934</v>
      </c>
      <c r="E1014" s="186">
        <v>-5.3012600229094993E-2</v>
      </c>
      <c r="G1014">
        <v>1003</v>
      </c>
      <c r="H1014" s="186">
        <f t="shared" ca="1" si="35"/>
        <v>-2.5541864471435805E-2</v>
      </c>
    </row>
    <row r="1015" spans="2:8" x14ac:dyDescent="0.25">
      <c r="B1015" s="67">
        <v>39481</v>
      </c>
      <c r="C1015">
        <v>853.85</v>
      </c>
      <c r="D1015" s="186">
        <f t="shared" si="34"/>
        <v>-0.83507812952697347</v>
      </c>
      <c r="E1015" s="186">
        <v>-5.3013918926412641E-2</v>
      </c>
      <c r="G1015">
        <v>1004</v>
      </c>
      <c r="H1015" s="186">
        <f t="shared" ca="1" si="35"/>
        <v>2.7674851124492628E-2</v>
      </c>
    </row>
    <row r="1016" spans="2:8" x14ac:dyDescent="0.25">
      <c r="B1016" s="67">
        <v>44724</v>
      </c>
      <c r="C1016" s="66">
        <v>5177.3</v>
      </c>
      <c r="D1016" s="186">
        <f t="shared" si="34"/>
        <v>-0.17985964801115206</v>
      </c>
      <c r="E1016" s="186">
        <v>-5.3215807472157706E-2</v>
      </c>
      <c r="G1016">
        <v>1005</v>
      </c>
      <c r="H1016" s="186">
        <f t="shared" ca="1" si="35"/>
        <v>-2.0310824092835919E-3</v>
      </c>
    </row>
    <row r="1017" spans="2:8" x14ac:dyDescent="0.25">
      <c r="B1017" s="67">
        <v>44640</v>
      </c>
      <c r="C1017" s="66">
        <v>6312.7</v>
      </c>
      <c r="D1017" s="186">
        <f t="shared" si="34"/>
        <v>0.19314659408785054</v>
      </c>
      <c r="E1017" s="186">
        <v>-5.3646251058758324E-2</v>
      </c>
      <c r="G1017">
        <v>1006</v>
      </c>
      <c r="H1017" s="186">
        <f t="shared" ca="1" si="35"/>
        <v>-2.6086040687292904E-2</v>
      </c>
    </row>
    <row r="1018" spans="2:8" x14ac:dyDescent="0.25">
      <c r="B1018" s="67">
        <v>44192</v>
      </c>
      <c r="C1018" s="66">
        <v>5290.8</v>
      </c>
      <c r="D1018" s="186">
        <f t="shared" si="34"/>
        <v>11.304186046511628</v>
      </c>
      <c r="E1018" s="186">
        <v>-5.3820360352304704E-2</v>
      </c>
      <c r="G1018">
        <v>1007</v>
      </c>
      <c r="H1018" s="186">
        <f t="shared" ca="1" si="35"/>
        <v>-2.9338252968399953E-2</v>
      </c>
    </row>
    <row r="1019" spans="2:8" x14ac:dyDescent="0.25">
      <c r="B1019" s="67">
        <v>38690</v>
      </c>
      <c r="C1019">
        <v>430</v>
      </c>
      <c r="D1019" s="186">
        <f t="shared" si="34"/>
        <v>-0.59934777544840434</v>
      </c>
      <c r="E1019" s="186">
        <v>-5.4425508521165476E-2</v>
      </c>
      <c r="G1019">
        <v>1008</v>
      </c>
      <c r="H1019" s="186">
        <f t="shared" ca="1" si="35"/>
        <v>-0.10125392742061699</v>
      </c>
    </row>
    <row r="1020" spans="2:8" x14ac:dyDescent="0.25">
      <c r="B1020" s="67">
        <v>39089</v>
      </c>
      <c r="C1020" s="66">
        <v>1073.25</v>
      </c>
      <c r="D1020" s="186">
        <f t="shared" si="34"/>
        <v>-0.90419249876139851</v>
      </c>
      <c r="E1020" s="186">
        <v>-5.4530238294498601E-2</v>
      </c>
      <c r="G1020">
        <v>1009</v>
      </c>
      <c r="H1020" s="186">
        <f t="shared" ca="1" si="35"/>
        <v>-2.8542008675105979E-2</v>
      </c>
    </row>
    <row r="1021" spans="2:8" x14ac:dyDescent="0.25">
      <c r="B1021" s="67">
        <v>45620</v>
      </c>
      <c r="C1021" s="66">
        <v>11202.15</v>
      </c>
      <c r="D1021" s="186">
        <f t="shared" si="34"/>
        <v>9.6641439383121508</v>
      </c>
      <c r="E1021" s="186">
        <v>-5.4551209013799243E-2</v>
      </c>
      <c r="G1021">
        <v>1010</v>
      </c>
      <c r="H1021" s="186">
        <f t="shared" ca="1" si="35"/>
        <v>-5.2073602016888501E-2</v>
      </c>
    </row>
    <row r="1022" spans="2:8" x14ac:dyDescent="0.25">
      <c r="B1022" s="67">
        <v>40622</v>
      </c>
      <c r="C1022" s="66">
        <v>1050.45</v>
      </c>
      <c r="D1022" s="186">
        <f t="shared" si="34"/>
        <v>1.2345245692405871</v>
      </c>
      <c r="E1022" s="186">
        <v>-5.4713160854893098E-2</v>
      </c>
      <c r="G1022">
        <v>1011</v>
      </c>
      <c r="H1022" s="186">
        <f t="shared" ca="1" si="35"/>
        <v>-2.1397011500469919E-2</v>
      </c>
    </row>
    <row r="1023" spans="2:8" x14ac:dyDescent="0.25">
      <c r="B1023" s="67">
        <v>39866</v>
      </c>
      <c r="C1023">
        <v>470.1</v>
      </c>
      <c r="D1023" s="186">
        <f t="shared" si="34"/>
        <v>-0.92192326856003981</v>
      </c>
      <c r="E1023" s="186">
        <v>-5.5075376884422066E-2</v>
      </c>
      <c r="G1023">
        <v>1012</v>
      </c>
      <c r="H1023" s="186">
        <f t="shared" ca="1" si="35"/>
        <v>-7.9519550891445929E-3</v>
      </c>
    </row>
    <row r="1024" spans="2:8" x14ac:dyDescent="0.25">
      <c r="B1024" s="67">
        <v>44626</v>
      </c>
      <c r="C1024" s="66">
        <v>6021</v>
      </c>
      <c r="D1024" s="186">
        <f t="shared" si="34"/>
        <v>16.706219673577415</v>
      </c>
      <c r="E1024" s="186">
        <v>-5.532195305635753E-2</v>
      </c>
      <c r="G1024">
        <v>1013</v>
      </c>
      <c r="H1024" s="186">
        <f t="shared" ca="1" si="35"/>
        <v>-0.10379548590618171</v>
      </c>
    </row>
    <row r="1025" spans="2:8" x14ac:dyDescent="0.25">
      <c r="B1025" s="67">
        <v>39789</v>
      </c>
      <c r="C1025">
        <v>340.05</v>
      </c>
      <c r="D1025" s="186">
        <f t="shared" si="34"/>
        <v>-0.91564441908636485</v>
      </c>
      <c r="E1025" s="186">
        <v>-5.58100791336942E-2</v>
      </c>
      <c r="G1025">
        <v>1014</v>
      </c>
      <c r="H1025" s="186">
        <f t="shared" ca="1" si="35"/>
        <v>-4.3321244089191094E-2</v>
      </c>
    </row>
    <row r="1026" spans="2:8" x14ac:dyDescent="0.25">
      <c r="B1026" s="67">
        <v>43716</v>
      </c>
      <c r="C1026" s="66">
        <v>4031.15</v>
      </c>
      <c r="D1026" s="186">
        <f t="shared" si="34"/>
        <v>1.9126806358381503</v>
      </c>
      <c r="E1026" s="186">
        <v>-5.5859379574438081E-2</v>
      </c>
      <c r="G1026">
        <v>1015</v>
      </c>
      <c r="H1026" s="186">
        <f t="shared" ca="1" si="35"/>
        <v>-3.1834166595517036E-2</v>
      </c>
    </row>
    <row r="1027" spans="2:8" x14ac:dyDescent="0.25">
      <c r="B1027" s="67">
        <v>41049</v>
      </c>
      <c r="C1027" s="66">
        <v>1384</v>
      </c>
      <c r="D1027" s="186">
        <f t="shared" si="34"/>
        <v>0.43792207792207793</v>
      </c>
      <c r="E1027" s="186">
        <v>-5.6063292865911912E-2</v>
      </c>
      <c r="G1027">
        <v>1016</v>
      </c>
      <c r="H1027" s="186">
        <f t="shared" ca="1" si="35"/>
        <v>-1.2953840687243324E-2</v>
      </c>
    </row>
    <row r="1028" spans="2:8" x14ac:dyDescent="0.25">
      <c r="B1028" s="67">
        <v>39054</v>
      </c>
      <c r="C1028">
        <v>962.5</v>
      </c>
      <c r="D1028" s="186">
        <f t="shared" si="34"/>
        <v>-0.79956268221574345</v>
      </c>
      <c r="E1028" s="186">
        <v>-5.6094929881337692E-2</v>
      </c>
      <c r="G1028">
        <v>1017</v>
      </c>
      <c r="H1028" s="186">
        <f t="shared" ca="1" si="35"/>
        <v>-1.0226259441371259E-2</v>
      </c>
    </row>
    <row r="1029" spans="2:8" x14ac:dyDescent="0.25">
      <c r="B1029" s="67">
        <v>44157</v>
      </c>
      <c r="C1029" s="66">
        <v>4802</v>
      </c>
      <c r="D1029" s="186">
        <f t="shared" si="34"/>
        <v>-0.55240713986111756</v>
      </c>
      <c r="E1029" s="186">
        <v>-5.6840947480064352E-2</v>
      </c>
      <c r="G1029">
        <v>1018</v>
      </c>
      <c r="H1029" s="186">
        <f t="shared" ca="1" si="35"/>
        <v>-2.2691025941234538E-2</v>
      </c>
    </row>
    <row r="1030" spans="2:8" x14ac:dyDescent="0.25">
      <c r="B1030" s="67">
        <v>45606</v>
      </c>
      <c r="C1030" s="66">
        <v>10728.5</v>
      </c>
      <c r="D1030" s="186">
        <f t="shared" si="34"/>
        <v>2.8242318385969916</v>
      </c>
      <c r="E1030" s="186">
        <v>-5.6860038856118018E-2</v>
      </c>
      <c r="G1030">
        <v>1019</v>
      </c>
      <c r="H1030" s="186">
        <f t="shared" ca="1" si="35"/>
        <v>3.6617352107072412E-2</v>
      </c>
    </row>
    <row r="1031" spans="2:8" x14ac:dyDescent="0.25">
      <c r="B1031" s="67">
        <v>42134</v>
      </c>
      <c r="C1031" s="66">
        <v>2805.4</v>
      </c>
      <c r="D1031" s="186">
        <f t="shared" si="34"/>
        <v>5.488724413091246</v>
      </c>
      <c r="E1031" s="186">
        <v>-5.7135175102507221E-2</v>
      </c>
      <c r="G1031">
        <v>1020</v>
      </c>
      <c r="H1031" s="186">
        <f t="shared" ca="1" si="35"/>
        <v>-1.2365255804720527E-2</v>
      </c>
    </row>
    <row r="1032" spans="2:8" x14ac:dyDescent="0.25">
      <c r="B1032" s="67">
        <v>38599</v>
      </c>
      <c r="C1032">
        <v>432.35</v>
      </c>
      <c r="D1032" s="186">
        <f t="shared" si="34"/>
        <v>-0.57893455395403193</v>
      </c>
      <c r="E1032" s="186">
        <v>-5.754768392370567E-2</v>
      </c>
      <c r="G1032">
        <v>1021</v>
      </c>
      <c r="H1032" s="186">
        <f t="shared" ca="1" si="35"/>
        <v>4.143257603001145E-2</v>
      </c>
    </row>
    <row r="1033" spans="2:8" x14ac:dyDescent="0.25">
      <c r="B1033" s="67">
        <v>40440</v>
      </c>
      <c r="C1033" s="66">
        <v>1026.8</v>
      </c>
      <c r="D1033" s="186">
        <f t="shared" si="34"/>
        <v>-0.67804342713804178</v>
      </c>
      <c r="E1033" s="186">
        <v>-5.7722308892355773E-2</v>
      </c>
      <c r="G1033">
        <v>1022</v>
      </c>
      <c r="H1033" s="186">
        <f t="shared" ca="1" si="35"/>
        <v>-4.1141800641221558E-3</v>
      </c>
    </row>
    <row r="1034" spans="2:8" x14ac:dyDescent="0.25">
      <c r="B1034" s="67">
        <v>42519</v>
      </c>
      <c r="C1034" s="66">
        <v>3189.25</v>
      </c>
      <c r="D1034" s="186">
        <f t="shared" si="34"/>
        <v>2.9833260475863361</v>
      </c>
      <c r="E1034" s="186">
        <v>-5.7731227748807137E-2</v>
      </c>
      <c r="G1034">
        <v>1023</v>
      </c>
      <c r="H1034" s="186">
        <f t="shared" ca="1" si="35"/>
        <v>3.1194312354361129E-2</v>
      </c>
    </row>
    <row r="1035" spans="2:8" x14ac:dyDescent="0.25">
      <c r="B1035" s="67">
        <v>38963</v>
      </c>
      <c r="C1035">
        <v>800.65</v>
      </c>
      <c r="D1035" s="186">
        <f t="shared" si="34"/>
        <v>-0.55897986725054394</v>
      </c>
      <c r="E1035" s="186">
        <v>-5.8003411965409805E-2</v>
      </c>
      <c r="G1035">
        <v>1024</v>
      </c>
      <c r="H1035" s="186">
        <f t="shared" ca="1" si="35"/>
        <v>4.0892579217447003E-2</v>
      </c>
    </row>
    <row r="1036" spans="2:8" x14ac:dyDescent="0.25">
      <c r="B1036" s="67">
        <v>41371</v>
      </c>
      <c r="C1036" s="66">
        <v>1815.45</v>
      </c>
      <c r="D1036" s="186">
        <f t="shared" ref="D1036:D1099" si="36">(C1036-C1037)/C1037</f>
        <v>-0.47706422018348627</v>
      </c>
      <c r="E1036" s="186">
        <v>-5.8205587113843299E-2</v>
      </c>
      <c r="G1036">
        <v>1025</v>
      </c>
      <c r="H1036" s="186">
        <f t="shared" ca="1" si="35"/>
        <v>3.5024748060866265E-2</v>
      </c>
    </row>
    <row r="1037" spans="2:8" x14ac:dyDescent="0.25">
      <c r="B1037" s="67">
        <v>42750</v>
      </c>
      <c r="C1037" s="66">
        <v>3471.65</v>
      </c>
      <c r="D1037" s="186">
        <f t="shared" si="36"/>
        <v>-0.10025916807049369</v>
      </c>
      <c r="E1037" s="186">
        <v>-5.8229118628435036E-2</v>
      </c>
      <c r="G1037">
        <v>1026</v>
      </c>
      <c r="H1037" s="186">
        <f t="shared" ref="H1037:H1100" ca="1" si="37">_xlfn.NORM.INV(RAND(),N$14,N$15)</f>
        <v>5.3458296244499257E-3</v>
      </c>
    </row>
    <row r="1038" spans="2:8" x14ac:dyDescent="0.25">
      <c r="B1038" s="67">
        <v>44094</v>
      </c>
      <c r="C1038" s="66">
        <v>3858.5</v>
      </c>
      <c r="D1038" s="186">
        <f t="shared" si="36"/>
        <v>-0.4407606293164047</v>
      </c>
      <c r="E1038" s="186">
        <v>-5.8385699469220911E-2</v>
      </c>
      <c r="G1038">
        <v>1027</v>
      </c>
      <c r="H1038" s="186">
        <f t="shared" ca="1" si="37"/>
        <v>-5.946394731219759E-2</v>
      </c>
    </row>
    <row r="1039" spans="2:8" x14ac:dyDescent="0.25">
      <c r="B1039" s="67">
        <v>44381</v>
      </c>
      <c r="C1039" s="66">
        <v>6899.55</v>
      </c>
      <c r="D1039" s="186">
        <f t="shared" si="36"/>
        <v>6.7314545047064103</v>
      </c>
      <c r="E1039" s="186">
        <v>-5.930834202507311E-2</v>
      </c>
      <c r="G1039">
        <v>1028</v>
      </c>
      <c r="H1039" s="186">
        <f t="shared" ca="1" si="37"/>
        <v>1.5250620160500356E-2</v>
      </c>
    </row>
    <row r="1040" spans="2:8" x14ac:dyDescent="0.25">
      <c r="B1040" s="67">
        <v>40398</v>
      </c>
      <c r="C1040">
        <v>892.4</v>
      </c>
      <c r="D1040" s="186">
        <f t="shared" si="36"/>
        <v>1.3092249967654288</v>
      </c>
      <c r="E1040" s="186">
        <v>-5.9740807080391999E-2</v>
      </c>
      <c r="G1040">
        <v>1029</v>
      </c>
      <c r="H1040" s="186">
        <f t="shared" ca="1" si="37"/>
        <v>-2.6544273516690798E-2</v>
      </c>
    </row>
    <row r="1041" spans="2:8" x14ac:dyDescent="0.25">
      <c r="B1041" s="67">
        <v>38648</v>
      </c>
      <c r="C1041">
        <v>386.45</v>
      </c>
      <c r="D1041" s="186">
        <f t="shared" si="36"/>
        <v>6.0364933461380166E-2</v>
      </c>
      <c r="E1041" s="186">
        <v>-5.9846733973969155E-2</v>
      </c>
      <c r="G1041">
        <v>1030</v>
      </c>
      <c r="H1041" s="186">
        <f t="shared" ca="1" si="37"/>
        <v>3.3173713152539752E-2</v>
      </c>
    </row>
    <row r="1042" spans="2:8" x14ac:dyDescent="0.25">
      <c r="B1042" s="67">
        <v>38410</v>
      </c>
      <c r="C1042">
        <v>364.45</v>
      </c>
      <c r="D1042" s="186">
        <f t="shared" si="36"/>
        <v>-0.85272069669232797</v>
      </c>
      <c r="E1042" s="186">
        <v>-5.9847800851283349E-2</v>
      </c>
      <c r="G1042">
        <v>1031</v>
      </c>
      <c r="H1042" s="186">
        <f t="shared" ca="1" si="37"/>
        <v>8.1553530216010115E-3</v>
      </c>
    </row>
    <row r="1043" spans="2:8" x14ac:dyDescent="0.25">
      <c r="B1043" s="67">
        <v>41854</v>
      </c>
      <c r="C1043" s="66">
        <v>2474.5500000000002</v>
      </c>
      <c r="D1043" s="186">
        <f t="shared" si="36"/>
        <v>1.3946871824647993</v>
      </c>
      <c r="E1043" s="186">
        <v>-6.0017853412090934E-2</v>
      </c>
      <c r="G1043">
        <v>1032</v>
      </c>
      <c r="H1043" s="186">
        <f t="shared" ca="1" si="37"/>
        <v>-7.5347613527643898E-3</v>
      </c>
    </row>
    <row r="1044" spans="2:8" x14ac:dyDescent="0.25">
      <c r="B1044" s="67">
        <v>39068</v>
      </c>
      <c r="C1044" s="66">
        <v>1033.3499999999999</v>
      </c>
      <c r="D1044" s="186">
        <f t="shared" si="36"/>
        <v>2.2297233942803558</v>
      </c>
      <c r="E1044" s="186">
        <v>-6.0291911062610989E-2</v>
      </c>
      <c r="G1044">
        <v>1033</v>
      </c>
      <c r="H1044" s="186">
        <f t="shared" ca="1" si="37"/>
        <v>3.5368068766879854E-2</v>
      </c>
    </row>
    <row r="1045" spans="2:8" x14ac:dyDescent="0.25">
      <c r="B1045" s="67">
        <v>38515</v>
      </c>
      <c r="C1045">
        <v>319.95</v>
      </c>
      <c r="D1045" s="186">
        <f t="shared" si="36"/>
        <v>-0.52292552001789305</v>
      </c>
      <c r="E1045" s="186">
        <v>-6.0490383203641231E-2</v>
      </c>
      <c r="G1045">
        <v>1034</v>
      </c>
      <c r="H1045" s="186">
        <f t="shared" ca="1" si="37"/>
        <v>2.3452046123304742E-2</v>
      </c>
    </row>
    <row r="1046" spans="2:8" x14ac:dyDescent="0.25">
      <c r="B1046" s="67">
        <v>39978</v>
      </c>
      <c r="C1046">
        <v>670.65</v>
      </c>
      <c r="D1046" s="186">
        <f t="shared" si="36"/>
        <v>-0.8267815171630033</v>
      </c>
      <c r="E1046" s="186">
        <v>-6.1043052152607663E-2</v>
      </c>
      <c r="G1046">
        <v>1035</v>
      </c>
      <c r="H1046" s="186">
        <f t="shared" ca="1" si="37"/>
        <v>1.1075513483155303E-2</v>
      </c>
    </row>
    <row r="1047" spans="2:8" x14ac:dyDescent="0.25">
      <c r="B1047" s="67">
        <v>43296</v>
      </c>
      <c r="C1047" s="66">
        <v>3871.7</v>
      </c>
      <c r="D1047" s="186">
        <f t="shared" si="36"/>
        <v>10.618004501125281</v>
      </c>
      <c r="E1047" s="186">
        <v>-6.1326415574654777E-2</v>
      </c>
      <c r="G1047">
        <v>1036</v>
      </c>
      <c r="H1047" s="186">
        <f t="shared" ca="1" si="37"/>
        <v>-2.3260864887335543E-3</v>
      </c>
    </row>
    <row r="1048" spans="2:8" x14ac:dyDescent="0.25">
      <c r="B1048" s="67">
        <v>39740</v>
      </c>
      <c r="C1048">
        <v>333.25</v>
      </c>
      <c r="D1048" s="186">
        <f t="shared" si="36"/>
        <v>-0.9645989026456544</v>
      </c>
      <c r="E1048" s="186">
        <v>-6.1399802844669796E-2</v>
      </c>
      <c r="G1048">
        <v>1037</v>
      </c>
      <c r="H1048" s="186">
        <f t="shared" ca="1" si="37"/>
        <v>1.3086328297119407E-2</v>
      </c>
    </row>
    <row r="1049" spans="2:8" x14ac:dyDescent="0.25">
      <c r="B1049" s="67">
        <v>45263</v>
      </c>
      <c r="C1049" s="66">
        <v>9413.5499999999993</v>
      </c>
      <c r="D1049" s="186">
        <f t="shared" si="36"/>
        <v>9.1477389101493021</v>
      </c>
      <c r="E1049" s="186">
        <v>-6.1409150053093782E-2</v>
      </c>
      <c r="G1049">
        <v>1038</v>
      </c>
      <c r="H1049" s="186">
        <f t="shared" ca="1" si="37"/>
        <v>-2.795180595902004E-2</v>
      </c>
    </row>
    <row r="1050" spans="2:8" x14ac:dyDescent="0.25">
      <c r="B1050" s="67">
        <v>39271</v>
      </c>
      <c r="C1050">
        <v>927.65</v>
      </c>
      <c r="D1050" s="186">
        <f t="shared" si="36"/>
        <v>-0.91903909931925298</v>
      </c>
      <c r="E1050" s="186">
        <v>-6.1557916034395574E-2</v>
      </c>
      <c r="G1050">
        <v>1039</v>
      </c>
      <c r="H1050" s="186">
        <f t="shared" ca="1" si="37"/>
        <v>-8.2884264098434003E-3</v>
      </c>
    </row>
    <row r="1051" spans="2:8" x14ac:dyDescent="0.25">
      <c r="B1051" s="67">
        <v>45823</v>
      </c>
      <c r="C1051" s="66">
        <v>11458</v>
      </c>
      <c r="D1051" s="186">
        <f t="shared" si="36"/>
        <v>8.2986767485822302E-2</v>
      </c>
      <c r="E1051" s="186">
        <v>-6.1819372799475969E-2</v>
      </c>
      <c r="G1051">
        <v>1040</v>
      </c>
      <c r="H1051" s="186">
        <f t="shared" ca="1" si="37"/>
        <v>-6.035025251826874E-2</v>
      </c>
    </row>
    <row r="1052" spans="2:8" x14ac:dyDescent="0.25">
      <c r="B1052" s="67">
        <v>45669</v>
      </c>
      <c r="C1052" s="66">
        <v>10580</v>
      </c>
      <c r="D1052" s="186">
        <f t="shared" si="36"/>
        <v>6.650865965216763</v>
      </c>
      <c r="E1052" s="186">
        <v>-6.2542918787685489E-2</v>
      </c>
      <c r="G1052">
        <v>1041</v>
      </c>
      <c r="H1052" s="186">
        <f t="shared" ca="1" si="37"/>
        <v>-5.1232237967188912E-2</v>
      </c>
    </row>
    <row r="1053" spans="2:8" x14ac:dyDescent="0.25">
      <c r="B1053" s="67">
        <v>40944</v>
      </c>
      <c r="C1053" s="66">
        <v>1382.85</v>
      </c>
      <c r="D1053" s="186">
        <f t="shared" si="36"/>
        <v>2.7308781869688383</v>
      </c>
      <c r="E1053" s="186">
        <v>-6.3300142247510696E-2</v>
      </c>
      <c r="G1053">
        <v>1042</v>
      </c>
      <c r="H1053" s="186">
        <f t="shared" ca="1" si="37"/>
        <v>2.0766974525175275E-3</v>
      </c>
    </row>
    <row r="1054" spans="2:8" x14ac:dyDescent="0.25">
      <c r="B1054" s="67">
        <v>39824</v>
      </c>
      <c r="C1054">
        <v>370.65</v>
      </c>
      <c r="D1054" s="186">
        <f t="shared" si="36"/>
        <v>-0.21071124361158441</v>
      </c>
      <c r="E1054" s="186">
        <v>-6.3542193026781282E-2</v>
      </c>
      <c r="G1054">
        <v>1043</v>
      </c>
      <c r="H1054" s="186">
        <f t="shared" ca="1" si="37"/>
        <v>-2.3951669360912718E-2</v>
      </c>
    </row>
    <row r="1055" spans="2:8" x14ac:dyDescent="0.25">
      <c r="B1055" s="67">
        <v>38718</v>
      </c>
      <c r="C1055">
        <v>469.6</v>
      </c>
      <c r="D1055" s="186">
        <f t="shared" si="36"/>
        <v>-0.88196111453240666</v>
      </c>
      <c r="E1055" s="186">
        <v>-6.3609172482552295E-2</v>
      </c>
      <c r="G1055">
        <v>1044</v>
      </c>
      <c r="H1055" s="186">
        <f t="shared" ca="1" si="37"/>
        <v>-2.8743375652159984E-2</v>
      </c>
    </row>
    <row r="1056" spans="2:8" x14ac:dyDescent="0.25">
      <c r="B1056" s="67">
        <v>42841</v>
      </c>
      <c r="C1056" s="66">
        <v>3978.35</v>
      </c>
      <c r="D1056" s="186">
        <f t="shared" si="36"/>
        <v>-0.44355628286897175</v>
      </c>
      <c r="E1056" s="186">
        <v>-6.368632250320666E-2</v>
      </c>
      <c r="G1056">
        <v>1045</v>
      </c>
      <c r="H1056" s="186">
        <f t="shared" ca="1" si="37"/>
        <v>-4.0652671669573939E-2</v>
      </c>
    </row>
    <row r="1057" spans="2:8" x14ac:dyDescent="0.25">
      <c r="B1057" s="67">
        <v>44486</v>
      </c>
      <c r="C1057" s="66">
        <v>7149.6</v>
      </c>
      <c r="D1057" s="186">
        <f t="shared" si="36"/>
        <v>8.7233782129742963</v>
      </c>
      <c r="E1057" s="186">
        <v>-6.3704402145088074E-2</v>
      </c>
      <c r="G1057">
        <v>1046</v>
      </c>
      <c r="H1057" s="186">
        <f t="shared" ca="1" si="37"/>
        <v>-2.6281345358833458E-3</v>
      </c>
    </row>
    <row r="1058" spans="2:8" x14ac:dyDescent="0.25">
      <c r="B1058" s="67">
        <v>40062</v>
      </c>
      <c r="C1058">
        <v>735.3</v>
      </c>
      <c r="D1058" s="186">
        <f t="shared" si="36"/>
        <v>-0.83633814102564097</v>
      </c>
      <c r="E1058" s="186">
        <v>-6.3908338637810369E-2</v>
      </c>
      <c r="G1058">
        <v>1047</v>
      </c>
      <c r="H1058" s="186">
        <f t="shared" ca="1" si="37"/>
        <v>4.9453494317757085E-2</v>
      </c>
    </row>
    <row r="1059" spans="2:8" x14ac:dyDescent="0.25">
      <c r="B1059" s="67">
        <v>43597</v>
      </c>
      <c r="C1059" s="66">
        <v>4492.8</v>
      </c>
      <c r="D1059" s="186">
        <f t="shared" si="36"/>
        <v>0.35818256019589184</v>
      </c>
      <c r="E1059" s="186">
        <v>-6.4019499593758494E-2</v>
      </c>
      <c r="G1059">
        <v>1048</v>
      </c>
      <c r="H1059" s="186">
        <f t="shared" ca="1" si="37"/>
        <v>-3.3958794883084342E-2</v>
      </c>
    </row>
    <row r="1060" spans="2:8" x14ac:dyDescent="0.25">
      <c r="B1060" s="67">
        <v>43940</v>
      </c>
      <c r="C1060" s="66">
        <v>3307.95</v>
      </c>
      <c r="D1060" s="186">
        <f t="shared" si="36"/>
        <v>4.7077905271331204</v>
      </c>
      <c r="E1060" s="186">
        <v>-6.4043799337917082E-2</v>
      </c>
      <c r="G1060">
        <v>1049</v>
      </c>
      <c r="H1060" s="186">
        <f t="shared" ca="1" si="37"/>
        <v>-3.1367102305388597E-2</v>
      </c>
    </row>
    <row r="1061" spans="2:8" x14ac:dyDescent="0.25">
      <c r="B1061" s="67">
        <v>38774</v>
      </c>
      <c r="C1061">
        <v>579.54999999999995</v>
      </c>
      <c r="D1061" s="186">
        <f t="shared" si="36"/>
        <v>9.4729882886286323E-2</v>
      </c>
      <c r="E1061" s="186">
        <v>-6.4713951424191118E-2</v>
      </c>
      <c r="G1061">
        <v>1050</v>
      </c>
      <c r="H1061" s="186">
        <f t="shared" ca="1" si="37"/>
        <v>5.0354521227206128E-2</v>
      </c>
    </row>
    <row r="1062" spans="2:8" x14ac:dyDescent="0.25">
      <c r="B1062" s="67">
        <v>39908</v>
      </c>
      <c r="C1062">
        <v>529.4</v>
      </c>
      <c r="D1062" s="186">
        <f t="shared" si="36"/>
        <v>-0.91786963705329794</v>
      </c>
      <c r="E1062" s="186">
        <v>-6.4746930483172829E-2</v>
      </c>
      <c r="G1062">
        <v>1051</v>
      </c>
      <c r="H1062" s="186">
        <f t="shared" ca="1" si="37"/>
        <v>-1.8416406584672317E-2</v>
      </c>
    </row>
    <row r="1063" spans="2:8" x14ac:dyDescent="0.25">
      <c r="B1063" s="67">
        <v>44857</v>
      </c>
      <c r="C1063" s="66">
        <v>6445.85</v>
      </c>
      <c r="D1063" s="186">
        <f t="shared" si="36"/>
        <v>0.77782221364150395</v>
      </c>
      <c r="E1063" s="186">
        <v>-6.4876941266928251E-2</v>
      </c>
      <c r="G1063">
        <v>1052</v>
      </c>
      <c r="H1063" s="186">
        <f t="shared" ca="1" si="37"/>
        <v>-3.7793939687491021E-2</v>
      </c>
    </row>
    <row r="1064" spans="2:8" x14ac:dyDescent="0.25">
      <c r="B1064" s="67">
        <v>43513</v>
      </c>
      <c r="C1064" s="66">
        <v>3625.7</v>
      </c>
      <c r="D1064" s="186">
        <f t="shared" si="36"/>
        <v>4.1069793647439958</v>
      </c>
      <c r="E1064" s="186">
        <v>-6.5143682236002448E-2</v>
      </c>
      <c r="G1064">
        <v>1053</v>
      </c>
      <c r="H1064" s="186">
        <f t="shared" ca="1" si="37"/>
        <v>3.2780313950326587E-2</v>
      </c>
    </row>
    <row r="1065" spans="2:8" x14ac:dyDescent="0.25">
      <c r="B1065" s="67">
        <v>40041</v>
      </c>
      <c r="C1065">
        <v>709.95</v>
      </c>
      <c r="D1065" s="186">
        <f t="shared" si="36"/>
        <v>-0.89428345940794574</v>
      </c>
      <c r="E1065" s="186">
        <v>-6.5547877591312878E-2</v>
      </c>
      <c r="G1065">
        <v>1054</v>
      </c>
      <c r="H1065" s="186">
        <f t="shared" ca="1" si="37"/>
        <v>3.3236621957864684E-2</v>
      </c>
    </row>
    <row r="1066" spans="2:8" x14ac:dyDescent="0.25">
      <c r="B1066" s="67">
        <v>44948</v>
      </c>
      <c r="C1066" s="66">
        <v>6715.6</v>
      </c>
      <c r="D1066" s="186">
        <f t="shared" si="36"/>
        <v>17.613082039911308</v>
      </c>
      <c r="E1066" s="186">
        <v>-6.5876592666777867E-2</v>
      </c>
      <c r="G1066">
        <v>1055</v>
      </c>
      <c r="H1066" s="186">
        <f t="shared" ca="1" si="37"/>
        <v>8.6905699707385972E-2</v>
      </c>
    </row>
    <row r="1067" spans="2:8" x14ac:dyDescent="0.25">
      <c r="B1067" s="67">
        <v>39803</v>
      </c>
      <c r="C1067">
        <v>360.8</v>
      </c>
      <c r="D1067" s="186">
        <f t="shared" si="36"/>
        <v>-0.80365694383979103</v>
      </c>
      <c r="E1067" s="186">
        <v>-6.6010872378980068E-2</v>
      </c>
      <c r="G1067">
        <v>1056</v>
      </c>
      <c r="H1067" s="186">
        <f t="shared" ca="1" si="37"/>
        <v>3.6328712612100963E-3</v>
      </c>
    </row>
    <row r="1068" spans="2:8" x14ac:dyDescent="0.25">
      <c r="B1068" s="67">
        <v>41168</v>
      </c>
      <c r="C1068" s="66">
        <v>1837.6</v>
      </c>
      <c r="D1068" s="186">
        <f t="shared" si="36"/>
        <v>0.86001315856065574</v>
      </c>
      <c r="E1068" s="186">
        <v>-6.6188987981807557E-2</v>
      </c>
      <c r="G1068">
        <v>1057</v>
      </c>
      <c r="H1068" s="186">
        <f t="shared" ca="1" si="37"/>
        <v>2.5439808422345198E-2</v>
      </c>
    </row>
    <row r="1069" spans="2:8" x14ac:dyDescent="0.25">
      <c r="B1069" s="67">
        <v>40769</v>
      </c>
      <c r="C1069">
        <v>987.95</v>
      </c>
      <c r="D1069" s="186">
        <f t="shared" si="36"/>
        <v>-0.72850684950329081</v>
      </c>
      <c r="E1069" s="186">
        <v>-6.7575857675428161E-2</v>
      </c>
      <c r="G1069">
        <v>1058</v>
      </c>
      <c r="H1069" s="186">
        <f t="shared" ca="1" si="37"/>
        <v>-1.6148695363698271E-2</v>
      </c>
    </row>
    <row r="1070" spans="2:8" x14ac:dyDescent="0.25">
      <c r="B1070" s="67">
        <v>43968</v>
      </c>
      <c r="C1070" s="66">
        <v>3638.95</v>
      </c>
      <c r="D1070" s="186">
        <f t="shared" si="36"/>
        <v>0.97855045672031304</v>
      </c>
      <c r="E1070" s="186">
        <v>-6.8094805178175885E-2</v>
      </c>
      <c r="G1070">
        <v>1059</v>
      </c>
      <c r="H1070" s="186">
        <f t="shared" ca="1" si="37"/>
        <v>6.1741172377773421E-2</v>
      </c>
    </row>
    <row r="1071" spans="2:8" x14ac:dyDescent="0.25">
      <c r="B1071" s="67">
        <v>41693</v>
      </c>
      <c r="C1071" s="66">
        <v>1839.2</v>
      </c>
      <c r="D1071" s="186">
        <f t="shared" si="36"/>
        <v>0.97222669025789521</v>
      </c>
      <c r="E1071" s="186">
        <v>-6.8169727675744113E-2</v>
      </c>
      <c r="G1071">
        <v>1060</v>
      </c>
      <c r="H1071" s="186">
        <f t="shared" ca="1" si="37"/>
        <v>4.5593149304580707E-2</v>
      </c>
    </row>
    <row r="1072" spans="2:8" x14ac:dyDescent="0.25">
      <c r="B1072" s="67">
        <v>40209</v>
      </c>
      <c r="C1072">
        <v>932.55</v>
      </c>
      <c r="D1072" s="186">
        <f t="shared" si="36"/>
        <v>-0.75481470769958847</v>
      </c>
      <c r="E1072" s="186">
        <v>-6.8288540313717672E-2</v>
      </c>
      <c r="G1072">
        <v>1061</v>
      </c>
      <c r="H1072" s="186">
        <f t="shared" ca="1" si="37"/>
        <v>-0.13578770491004891</v>
      </c>
    </row>
    <row r="1073" spans="2:8" x14ac:dyDescent="0.25">
      <c r="B1073" s="67">
        <v>42603</v>
      </c>
      <c r="C1073" s="66">
        <v>3803.45</v>
      </c>
      <c r="D1073" s="186">
        <f t="shared" si="36"/>
        <v>-0.63649092290562592</v>
      </c>
      <c r="E1073" s="186">
        <v>-6.9002655831201756E-2</v>
      </c>
      <c r="G1073">
        <v>1062</v>
      </c>
      <c r="H1073" s="186">
        <f t="shared" ca="1" si="37"/>
        <v>-6.7357870536036549E-2</v>
      </c>
    </row>
    <row r="1074" spans="2:8" x14ac:dyDescent="0.25">
      <c r="B1074" s="67">
        <v>45445</v>
      </c>
      <c r="C1074" s="66">
        <v>10463.15</v>
      </c>
      <c r="D1074" s="186">
        <f t="shared" si="36"/>
        <v>5.5351800380999974</v>
      </c>
      <c r="E1074" s="186">
        <v>-6.9346604048813432E-2</v>
      </c>
      <c r="G1074">
        <v>1063</v>
      </c>
      <c r="H1074" s="186">
        <f t="shared" ca="1" si="37"/>
        <v>-3.2378209158932685E-2</v>
      </c>
    </row>
    <row r="1075" spans="2:8" x14ac:dyDescent="0.25">
      <c r="B1075" s="67">
        <v>41518</v>
      </c>
      <c r="C1075" s="66">
        <v>1601.05</v>
      </c>
      <c r="D1075" s="186">
        <f t="shared" si="36"/>
        <v>-0.64858428446005267</v>
      </c>
      <c r="E1075" s="186">
        <v>-6.9616759159717559E-2</v>
      </c>
      <c r="G1075">
        <v>1064</v>
      </c>
      <c r="H1075" s="186">
        <f t="shared" ca="1" si="37"/>
        <v>5.6564123224247601E-2</v>
      </c>
    </row>
    <row r="1076" spans="2:8" x14ac:dyDescent="0.25">
      <c r="B1076" s="67">
        <v>44136</v>
      </c>
      <c r="C1076" s="66">
        <v>4556</v>
      </c>
      <c r="D1076" s="186">
        <f t="shared" si="36"/>
        <v>3.5035338308703601</v>
      </c>
      <c r="E1076" s="186">
        <v>-7.0156640644930865E-2</v>
      </c>
      <c r="G1076">
        <v>1065</v>
      </c>
      <c r="H1076" s="186">
        <f t="shared" ca="1" si="37"/>
        <v>5.8845307853954143E-2</v>
      </c>
    </row>
    <row r="1077" spans="2:8" x14ac:dyDescent="0.25">
      <c r="B1077" s="67">
        <v>40650</v>
      </c>
      <c r="C1077" s="66">
        <v>1011.65</v>
      </c>
      <c r="D1077" s="186">
        <f t="shared" si="36"/>
        <v>1.6053309296935356</v>
      </c>
      <c r="E1077" s="186">
        <v>-7.1156406371941525E-2</v>
      </c>
      <c r="G1077">
        <v>1066</v>
      </c>
      <c r="H1077" s="186">
        <f t="shared" ca="1" si="37"/>
        <v>6.5809257058124737E-2</v>
      </c>
    </row>
    <row r="1078" spans="2:8" x14ac:dyDescent="0.25">
      <c r="B1078" s="67">
        <v>38564</v>
      </c>
      <c r="C1078">
        <v>388.3</v>
      </c>
      <c r="D1078" s="186">
        <f t="shared" si="36"/>
        <v>-0.7743556963128686</v>
      </c>
      <c r="E1078" s="186">
        <v>-7.1385866315915258E-2</v>
      </c>
      <c r="G1078">
        <v>1067</v>
      </c>
      <c r="H1078" s="186">
        <f t="shared" ca="1" si="37"/>
        <v>-5.6740318832217057E-2</v>
      </c>
    </row>
    <row r="1079" spans="2:8" x14ac:dyDescent="0.25">
      <c r="B1079" s="67">
        <v>41525</v>
      </c>
      <c r="C1079" s="66">
        <v>1720.85</v>
      </c>
      <c r="D1079" s="186">
        <f t="shared" si="36"/>
        <v>5.3972118959107807</v>
      </c>
      <c r="E1079" s="186">
        <v>-7.2017903364969896E-2</v>
      </c>
      <c r="G1079">
        <v>1068</v>
      </c>
      <c r="H1079" s="186">
        <f t="shared" ca="1" si="37"/>
        <v>5.8726967072787378E-2</v>
      </c>
    </row>
    <row r="1080" spans="2:8" x14ac:dyDescent="0.25">
      <c r="B1080" s="67">
        <v>39775</v>
      </c>
      <c r="C1080">
        <v>269</v>
      </c>
      <c r="D1080" s="186">
        <f t="shared" si="36"/>
        <v>-0.72397516802626849</v>
      </c>
      <c r="E1080" s="186">
        <v>-7.2253836868425556E-2</v>
      </c>
      <c r="G1080">
        <v>1069</v>
      </c>
      <c r="H1080" s="186">
        <f t="shared" ca="1" si="37"/>
        <v>1.2211982991893655E-2</v>
      </c>
    </row>
    <row r="1081" spans="2:8" x14ac:dyDescent="0.25">
      <c r="B1081" s="67">
        <v>39334</v>
      </c>
      <c r="C1081">
        <v>974.55</v>
      </c>
      <c r="D1081" s="186">
        <f t="shared" si="36"/>
        <v>2.0884170495959435</v>
      </c>
      <c r="E1081" s="186">
        <v>-7.2475492528790417E-2</v>
      </c>
      <c r="G1081">
        <v>1070</v>
      </c>
      <c r="H1081" s="186">
        <f t="shared" ca="1" si="37"/>
        <v>3.796893447235862E-2</v>
      </c>
    </row>
    <row r="1082" spans="2:8" x14ac:dyDescent="0.25">
      <c r="B1082" s="67">
        <v>38340</v>
      </c>
      <c r="C1082">
        <v>315.55</v>
      </c>
      <c r="D1082" s="186">
        <f t="shared" si="36"/>
        <v>-0.52265335451176154</v>
      </c>
      <c r="E1082" s="186">
        <v>-7.3138493170803287E-2</v>
      </c>
      <c r="G1082">
        <v>1071</v>
      </c>
      <c r="H1082" s="186">
        <f t="shared" ca="1" si="37"/>
        <v>-4.4993304461578176E-2</v>
      </c>
    </row>
    <row r="1083" spans="2:8" x14ac:dyDescent="0.25">
      <c r="B1083" s="67">
        <v>38879</v>
      </c>
      <c r="C1083">
        <v>661.05</v>
      </c>
      <c r="D1083" s="186">
        <f t="shared" si="36"/>
        <v>-4.6654167868474219E-2</v>
      </c>
      <c r="E1083" s="186">
        <v>-7.3380992430613995E-2</v>
      </c>
      <c r="G1083">
        <v>1072</v>
      </c>
      <c r="H1083" s="186">
        <f t="shared" ca="1" si="37"/>
        <v>1.1283764377853335E-2</v>
      </c>
    </row>
    <row r="1084" spans="2:8" x14ac:dyDescent="0.25">
      <c r="B1084" s="67">
        <v>39173</v>
      </c>
      <c r="C1084">
        <v>693.4</v>
      </c>
      <c r="D1084" s="186">
        <f t="shared" si="36"/>
        <v>-0.58388093737810187</v>
      </c>
      <c r="E1084" s="186">
        <v>-7.3985042735042708E-2</v>
      </c>
      <c r="G1084">
        <v>1073</v>
      </c>
      <c r="H1084" s="186">
        <f t="shared" ca="1" si="37"/>
        <v>0.10446041518126389</v>
      </c>
    </row>
    <row r="1085" spans="2:8" x14ac:dyDescent="0.25">
      <c r="B1085" s="67">
        <v>41679</v>
      </c>
      <c r="C1085" s="66">
        <v>1666.35</v>
      </c>
      <c r="D1085" s="186">
        <f t="shared" si="36"/>
        <v>-0.60883343701217152</v>
      </c>
      <c r="E1085" s="186">
        <v>-7.4224284007889177E-2</v>
      </c>
      <c r="G1085">
        <v>1074</v>
      </c>
      <c r="H1085" s="186">
        <f t="shared" ca="1" si="37"/>
        <v>-6.9557362447211033E-3</v>
      </c>
    </row>
    <row r="1086" spans="2:8" x14ac:dyDescent="0.25">
      <c r="B1086" s="67">
        <v>43569</v>
      </c>
      <c r="C1086" s="66">
        <v>4259.95</v>
      </c>
      <c r="D1086" s="186">
        <f t="shared" si="36"/>
        <v>3.6597571647341938</v>
      </c>
      <c r="E1086" s="186">
        <v>-7.5922732350676259E-2</v>
      </c>
      <c r="G1086">
        <v>1075</v>
      </c>
      <c r="H1086" s="186">
        <f t="shared" ca="1" si="37"/>
        <v>3.9467293890920324E-3</v>
      </c>
    </row>
    <row r="1087" spans="2:8" x14ac:dyDescent="0.25">
      <c r="B1087" s="67">
        <v>40174</v>
      </c>
      <c r="C1087">
        <v>914.2</v>
      </c>
      <c r="D1087" s="186">
        <f t="shared" si="36"/>
        <v>-6.6822404520019306E-3</v>
      </c>
      <c r="E1087" s="186">
        <v>-7.6845400383722021E-2</v>
      </c>
      <c r="G1087">
        <v>1076</v>
      </c>
      <c r="H1087" s="186">
        <f t="shared" ca="1" si="37"/>
        <v>-4.0924550636376816E-2</v>
      </c>
    </row>
    <row r="1088" spans="2:8" x14ac:dyDescent="0.25">
      <c r="B1088" s="67">
        <v>39320</v>
      </c>
      <c r="C1088">
        <v>920.35</v>
      </c>
      <c r="D1088" s="186">
        <f t="shared" si="36"/>
        <v>-0.72159537782079985</v>
      </c>
      <c r="E1088" s="186">
        <v>-7.734335839598995E-2</v>
      </c>
      <c r="G1088">
        <v>1077</v>
      </c>
      <c r="H1088" s="186">
        <f t="shared" ca="1" si="37"/>
        <v>-3.6043801806054862E-2</v>
      </c>
    </row>
    <row r="1089" spans="2:8" x14ac:dyDescent="0.25">
      <c r="B1089" s="67">
        <v>43954</v>
      </c>
      <c r="C1089" s="66">
        <v>3305.8</v>
      </c>
      <c r="D1089" s="186">
        <f t="shared" si="36"/>
        <v>1.5911584887913468</v>
      </c>
      <c r="E1089" s="186">
        <v>-7.7403960202614988E-2</v>
      </c>
      <c r="G1089">
        <v>1078</v>
      </c>
      <c r="H1089" s="186">
        <f t="shared" ca="1" si="37"/>
        <v>-1.1512394544308899E-2</v>
      </c>
    </row>
    <row r="1090" spans="2:8" x14ac:dyDescent="0.25">
      <c r="B1090" s="67">
        <v>40937</v>
      </c>
      <c r="C1090" s="66">
        <v>1275.8</v>
      </c>
      <c r="D1090" s="186">
        <f t="shared" si="36"/>
        <v>0.74779094458524542</v>
      </c>
      <c r="E1090" s="186">
        <v>-7.7412589941063717E-2</v>
      </c>
      <c r="G1090">
        <v>1079</v>
      </c>
      <c r="H1090" s="186">
        <f t="shared" ca="1" si="37"/>
        <v>4.280830315350849E-2</v>
      </c>
    </row>
    <row r="1091" spans="2:8" x14ac:dyDescent="0.25">
      <c r="B1091" s="67">
        <v>40125</v>
      </c>
      <c r="C1091">
        <v>729.95</v>
      </c>
      <c r="D1091" s="186">
        <f t="shared" si="36"/>
        <v>-0.50506831203173197</v>
      </c>
      <c r="E1091" s="186">
        <v>-7.7705477288521063E-2</v>
      </c>
      <c r="G1091">
        <v>1080</v>
      </c>
      <c r="H1091" s="186">
        <f t="shared" ca="1" si="37"/>
        <v>-8.6458331254153403E-4</v>
      </c>
    </row>
    <row r="1092" spans="2:8" x14ac:dyDescent="0.25">
      <c r="B1092" s="67">
        <v>41511</v>
      </c>
      <c r="C1092" s="66">
        <v>1474.85</v>
      </c>
      <c r="D1092" s="186">
        <f t="shared" si="36"/>
        <v>2.588006325264566</v>
      </c>
      <c r="E1092" s="186">
        <v>-7.8823272227600674E-2</v>
      </c>
      <c r="G1092">
        <v>1081</v>
      </c>
      <c r="H1092" s="186">
        <f t="shared" ca="1" si="37"/>
        <v>1.2374583658572905E-3</v>
      </c>
    </row>
    <row r="1093" spans="2:8" x14ac:dyDescent="0.25">
      <c r="B1093" s="67">
        <v>38655</v>
      </c>
      <c r="C1093">
        <v>411.05</v>
      </c>
      <c r="D1093" s="186">
        <f t="shared" si="36"/>
        <v>-0.37714978407455113</v>
      </c>
      <c r="E1093" s="186">
        <v>-8.0425055928411607E-2</v>
      </c>
      <c r="G1093">
        <v>1082</v>
      </c>
      <c r="H1093" s="186">
        <f t="shared" ca="1" si="37"/>
        <v>1.1790467594046297E-2</v>
      </c>
    </row>
    <row r="1094" spans="2:8" x14ac:dyDescent="0.25">
      <c r="B1094" s="67">
        <v>39950</v>
      </c>
      <c r="C1094">
        <v>659.95</v>
      </c>
      <c r="D1094" s="186">
        <f t="shared" si="36"/>
        <v>-0.82552544613350964</v>
      </c>
      <c r="E1094" s="186">
        <v>-8.0593480078016033E-2</v>
      </c>
      <c r="G1094">
        <v>1083</v>
      </c>
      <c r="H1094" s="186">
        <f t="shared" ca="1" si="37"/>
        <v>4.2374112943510969E-2</v>
      </c>
    </row>
    <row r="1095" spans="2:8" x14ac:dyDescent="0.25">
      <c r="B1095" s="67">
        <v>44031</v>
      </c>
      <c r="C1095" s="66">
        <v>3782.5</v>
      </c>
      <c r="D1095" s="186">
        <f t="shared" si="36"/>
        <v>9.7610241820768131</v>
      </c>
      <c r="E1095" s="186">
        <v>-8.1315425157263296E-2</v>
      </c>
      <c r="G1095">
        <v>1084</v>
      </c>
      <c r="H1095" s="186">
        <f t="shared" ca="1" si="37"/>
        <v>-4.2624756698874722E-2</v>
      </c>
    </row>
    <row r="1096" spans="2:8" x14ac:dyDescent="0.25">
      <c r="B1096" s="67">
        <v>38375</v>
      </c>
      <c r="C1096">
        <v>351.5</v>
      </c>
      <c r="D1096" s="186">
        <f t="shared" si="36"/>
        <v>5.1922789166542041E-2</v>
      </c>
      <c r="E1096" s="186">
        <v>-8.1645983017635537E-2</v>
      </c>
      <c r="G1096">
        <v>1085</v>
      </c>
      <c r="H1096" s="186">
        <f t="shared" ca="1" si="37"/>
        <v>-2.3511618807553389E-3</v>
      </c>
    </row>
    <row r="1097" spans="2:8" x14ac:dyDescent="0.25">
      <c r="B1097" s="67">
        <v>38466</v>
      </c>
      <c r="C1097">
        <v>334.15</v>
      </c>
      <c r="D1097" s="186">
        <f t="shared" si="36"/>
        <v>-0.96866090186074438</v>
      </c>
      <c r="E1097" s="186">
        <v>-8.3767480120647136E-2</v>
      </c>
      <c r="G1097">
        <v>1086</v>
      </c>
      <c r="H1097" s="186">
        <f t="shared" ca="1" si="37"/>
        <v>1.3633824746139497E-2</v>
      </c>
    </row>
    <row r="1098" spans="2:8" x14ac:dyDescent="0.25">
      <c r="B1098" s="67">
        <v>45459</v>
      </c>
      <c r="C1098" s="66">
        <v>10662.4</v>
      </c>
      <c r="D1098" s="186">
        <f t="shared" si="36"/>
        <v>11.972867745467818</v>
      </c>
      <c r="E1098" s="186">
        <v>-8.6176604187557321E-2</v>
      </c>
      <c r="G1098">
        <v>1087</v>
      </c>
      <c r="H1098" s="186">
        <f t="shared" ca="1" si="37"/>
        <v>-4.8108535964484101E-3</v>
      </c>
    </row>
    <row r="1099" spans="2:8" x14ac:dyDescent="0.25">
      <c r="B1099" s="67">
        <v>39250</v>
      </c>
      <c r="C1099">
        <v>821.9</v>
      </c>
      <c r="D1099" s="186">
        <f t="shared" si="36"/>
        <v>-0.57965529586252751</v>
      </c>
      <c r="E1099" s="186">
        <v>-8.7183474011550424E-2</v>
      </c>
      <c r="G1099">
        <v>1088</v>
      </c>
      <c r="H1099" s="186">
        <f t="shared" ca="1" si="37"/>
        <v>-3.4146912964543655E-2</v>
      </c>
    </row>
    <row r="1100" spans="2:8" x14ac:dyDescent="0.25">
      <c r="B1100" s="67">
        <v>41714</v>
      </c>
      <c r="C1100" s="66">
        <v>1955.3</v>
      </c>
      <c r="D1100" s="186">
        <f t="shared" ref="D1100:D1122" si="38">(C1100-C1101)/C1101</f>
        <v>3.5743361796701367</v>
      </c>
      <c r="E1100" s="186">
        <v>-8.932979367518977E-2</v>
      </c>
      <c r="G1100">
        <v>1089</v>
      </c>
      <c r="H1100" s="186">
        <f t="shared" ca="1" si="37"/>
        <v>5.5791485015341966E-2</v>
      </c>
    </row>
    <row r="1101" spans="2:8" x14ac:dyDescent="0.25">
      <c r="B1101" s="67">
        <v>38711</v>
      </c>
      <c r="C1101">
        <v>427.45</v>
      </c>
      <c r="D1101" s="186">
        <f t="shared" si="38"/>
        <v>-0.89404736822536468</v>
      </c>
      <c r="E1101" s="186">
        <v>-8.9757240204429364E-2</v>
      </c>
      <c r="G1101">
        <v>1090</v>
      </c>
      <c r="H1101" s="186">
        <f t="shared" ref="H1101:H1123" ca="1" si="39">_xlfn.NORM.INV(RAND(),N$14,N$15)</f>
        <v>4.4978112456924652E-2</v>
      </c>
    </row>
    <row r="1102" spans="2:8" x14ac:dyDescent="0.25">
      <c r="B1102" s="67">
        <v>43023</v>
      </c>
      <c r="C1102" s="66">
        <v>4034.35</v>
      </c>
      <c r="D1102" s="186">
        <f t="shared" si="38"/>
        <v>0.19123335400242128</v>
      </c>
      <c r="E1102" s="186">
        <v>-9.1331914366476447E-2</v>
      </c>
      <c r="G1102">
        <v>1091</v>
      </c>
      <c r="H1102" s="186">
        <f t="shared" ca="1" si="39"/>
        <v>6.7034431079995571E-3</v>
      </c>
    </row>
    <row r="1103" spans="2:8" x14ac:dyDescent="0.25">
      <c r="B1103" s="67">
        <v>43394</v>
      </c>
      <c r="C1103" s="66">
        <v>3386.7</v>
      </c>
      <c r="D1103" s="186">
        <f t="shared" si="38"/>
        <v>0.11346002104155704</v>
      </c>
      <c r="E1103" s="186">
        <v>-9.2232229012544326E-2</v>
      </c>
      <c r="G1103">
        <v>1092</v>
      </c>
      <c r="H1103" s="186">
        <f t="shared" ca="1" si="39"/>
        <v>1.7902491484356265E-3</v>
      </c>
    </row>
    <row r="1104" spans="2:8" x14ac:dyDescent="0.25">
      <c r="B1104" s="67">
        <v>43919</v>
      </c>
      <c r="C1104" s="66">
        <v>3041.6</v>
      </c>
      <c r="D1104" s="186">
        <f t="shared" si="38"/>
        <v>3.9416734362307064</v>
      </c>
      <c r="E1104" s="186">
        <v>-9.638894252907719E-2</v>
      </c>
      <c r="G1104">
        <v>1093</v>
      </c>
      <c r="H1104" s="186">
        <f t="shared" ca="1" si="39"/>
        <v>-2.3643559190358238E-2</v>
      </c>
    </row>
    <row r="1105" spans="2:8" x14ac:dyDescent="0.25">
      <c r="B1105" s="67">
        <v>38795</v>
      </c>
      <c r="C1105">
        <v>615.5</v>
      </c>
      <c r="D1105" s="186">
        <f t="shared" si="38"/>
        <v>-0.89400814527169559</v>
      </c>
      <c r="E1105" s="186">
        <v>-9.8894663641021827E-2</v>
      </c>
      <c r="G1105">
        <v>1094</v>
      </c>
      <c r="H1105" s="186">
        <f t="shared" ca="1" si="39"/>
        <v>-3.9624388581850703E-3</v>
      </c>
    </row>
    <row r="1106" spans="2:8" x14ac:dyDescent="0.25">
      <c r="B1106" s="67">
        <v>44752</v>
      </c>
      <c r="C1106" s="66">
        <v>5807.05</v>
      </c>
      <c r="D1106" s="186">
        <f t="shared" si="38"/>
        <v>-5.0359771054783287E-2</v>
      </c>
      <c r="E1106" s="186">
        <v>-0.10089491693374822</v>
      </c>
      <c r="G1106">
        <v>1095</v>
      </c>
      <c r="H1106" s="186">
        <f t="shared" ca="1" si="39"/>
        <v>-2.4941148639389802E-3</v>
      </c>
    </row>
    <row r="1107" spans="2:8" x14ac:dyDescent="0.25">
      <c r="B1107" s="67">
        <v>44248</v>
      </c>
      <c r="C1107" s="66">
        <v>6115</v>
      </c>
      <c r="D1107" s="186">
        <f t="shared" si="38"/>
        <v>5.6452945011953926</v>
      </c>
      <c r="E1107" s="186">
        <v>-0.10209535556436576</v>
      </c>
      <c r="G1107">
        <v>1096</v>
      </c>
      <c r="H1107" s="186">
        <f t="shared" ca="1" si="39"/>
        <v>3.8911237756202394E-2</v>
      </c>
    </row>
    <row r="1108" spans="2:8" x14ac:dyDescent="0.25">
      <c r="B1108" s="67">
        <v>40419</v>
      </c>
      <c r="C1108">
        <v>920.2</v>
      </c>
      <c r="D1108" s="186">
        <f t="shared" si="38"/>
        <v>0.55360459226743219</v>
      </c>
      <c r="E1108" s="186">
        <v>-0.1033810776576049</v>
      </c>
      <c r="G1108">
        <v>1097</v>
      </c>
      <c r="H1108" s="186">
        <f t="shared" ca="1" si="39"/>
        <v>-8.0246537975608503E-2</v>
      </c>
    </row>
    <row r="1109" spans="2:8" x14ac:dyDescent="0.25">
      <c r="B1109" s="67">
        <v>38872</v>
      </c>
      <c r="C1109">
        <v>592.29999999999995</v>
      </c>
      <c r="D1109" s="186">
        <f t="shared" si="38"/>
        <v>-0.16677217415769863</v>
      </c>
      <c r="E1109" s="186">
        <v>-0.10400121019590047</v>
      </c>
      <c r="G1109">
        <v>1098</v>
      </c>
      <c r="H1109" s="186">
        <f t="shared" ca="1" si="39"/>
        <v>-4.0896461126264327E-2</v>
      </c>
    </row>
    <row r="1110" spans="2:8" x14ac:dyDescent="0.25">
      <c r="B1110" s="67">
        <v>38816</v>
      </c>
      <c r="C1110">
        <v>710.85</v>
      </c>
      <c r="D1110" s="186">
        <f t="shared" si="38"/>
        <v>0.25469949695525562</v>
      </c>
      <c r="E1110" s="186">
        <v>-0.10669180018850138</v>
      </c>
      <c r="G1110">
        <v>1099</v>
      </c>
      <c r="H1110" s="186">
        <f t="shared" ca="1" si="39"/>
        <v>3.6330728594325595E-2</v>
      </c>
    </row>
    <row r="1111" spans="2:8" x14ac:dyDescent="0.25">
      <c r="B1111" s="67">
        <v>39656</v>
      </c>
      <c r="C1111">
        <v>566.54999999999995</v>
      </c>
      <c r="D1111" s="186">
        <f t="shared" si="38"/>
        <v>0.20120852326937344</v>
      </c>
      <c r="E1111" s="186">
        <v>-0.10716255614214798</v>
      </c>
      <c r="G1111">
        <v>1100</v>
      </c>
      <c r="H1111" s="186">
        <f t="shared" ca="1" si="39"/>
        <v>5.2008540720117569E-2</v>
      </c>
    </row>
    <row r="1112" spans="2:8" x14ac:dyDescent="0.25">
      <c r="B1112" s="67">
        <v>39887</v>
      </c>
      <c r="C1112">
        <v>471.65</v>
      </c>
      <c r="D1112" s="186">
        <f t="shared" si="38"/>
        <v>-0.7732015772263896</v>
      </c>
      <c r="E1112" s="186">
        <v>-0.10874905517762673</v>
      </c>
      <c r="G1112">
        <v>1101</v>
      </c>
      <c r="H1112" s="186">
        <f t="shared" ca="1" si="39"/>
        <v>-1.6085173044855142E-2</v>
      </c>
    </row>
    <row r="1113" spans="2:8" x14ac:dyDescent="0.25">
      <c r="B1113" s="67">
        <v>41763</v>
      </c>
      <c r="C1113" s="66">
        <v>2079.6</v>
      </c>
      <c r="D1113" s="186">
        <f t="shared" si="38"/>
        <v>-0.12702543867013683</v>
      </c>
      <c r="E1113" s="186">
        <v>-0.10905468800205649</v>
      </c>
      <c r="G1113">
        <v>1102</v>
      </c>
      <c r="H1113" s="186">
        <f t="shared" ca="1" si="39"/>
        <v>-4.9967287248608883E-2</v>
      </c>
    </row>
    <row r="1114" spans="2:8" x14ac:dyDescent="0.25">
      <c r="B1114" s="67">
        <v>41784</v>
      </c>
      <c r="C1114" s="66">
        <v>2382.1999999999998</v>
      </c>
      <c r="D1114" s="186">
        <f t="shared" si="38"/>
        <v>2.1813568376068377</v>
      </c>
      <c r="E1114" s="186">
        <v>-0.10935805884772125</v>
      </c>
      <c r="G1114">
        <v>1103</v>
      </c>
      <c r="H1114" s="186">
        <f t="shared" ca="1" si="39"/>
        <v>-2.5252273720274179E-2</v>
      </c>
    </row>
    <row r="1115" spans="2:8" x14ac:dyDescent="0.25">
      <c r="B1115" s="67">
        <v>39180</v>
      </c>
      <c r="C1115">
        <v>748.8</v>
      </c>
      <c r="D1115" s="186">
        <f t="shared" si="38"/>
        <v>-0.72564896403905688</v>
      </c>
      <c r="E1115" s="186">
        <v>-0.11063602351683602</v>
      </c>
      <c r="G1115">
        <v>1104</v>
      </c>
      <c r="H1115" s="186">
        <f t="shared" ca="1" si="39"/>
        <v>-5.0333037550939819E-2</v>
      </c>
    </row>
    <row r="1116" spans="2:8" x14ac:dyDescent="0.25">
      <c r="B1116" s="67">
        <v>42008</v>
      </c>
      <c r="C1116" s="66">
        <v>2729.35</v>
      </c>
      <c r="D1116" s="186">
        <f t="shared" si="38"/>
        <v>5.545988727665188</v>
      </c>
      <c r="E1116" s="186">
        <v>-0.11098987003680662</v>
      </c>
      <c r="G1116">
        <v>1105</v>
      </c>
      <c r="H1116" s="186">
        <f t="shared" ca="1" si="39"/>
        <v>1.0677967812900585E-3</v>
      </c>
    </row>
    <row r="1117" spans="2:8" x14ac:dyDescent="0.25">
      <c r="B1117" s="67">
        <v>39859</v>
      </c>
      <c r="C1117">
        <v>416.95</v>
      </c>
      <c r="D1117" s="186">
        <f t="shared" si="38"/>
        <v>-0.44513939716548012</v>
      </c>
      <c r="E1117" s="186">
        <v>-0.11306105084024683</v>
      </c>
      <c r="G1117">
        <v>1106</v>
      </c>
      <c r="H1117" s="186">
        <f t="shared" ca="1" si="39"/>
        <v>5.6515323643527141E-2</v>
      </c>
    </row>
    <row r="1118" spans="2:8" x14ac:dyDescent="0.25">
      <c r="B1118" s="67">
        <v>40076</v>
      </c>
      <c r="C1118">
        <v>751.45</v>
      </c>
      <c r="D1118" s="186">
        <f t="shared" si="38"/>
        <v>0.3240243150383228</v>
      </c>
      <c r="E1118" s="186">
        <v>-0.11484775310677896</v>
      </c>
      <c r="G1118">
        <v>1107</v>
      </c>
      <c r="H1118" s="186">
        <f t="shared" ca="1" si="39"/>
        <v>-6.1622943074151657E-2</v>
      </c>
    </row>
    <row r="1119" spans="2:8" x14ac:dyDescent="0.25">
      <c r="B1119" s="67">
        <v>39943</v>
      </c>
      <c r="C1119">
        <v>567.54999999999995</v>
      </c>
      <c r="D1119" s="186">
        <f t="shared" si="38"/>
        <v>0.95740644938782538</v>
      </c>
      <c r="E1119" s="186">
        <v>-0.14001060686415651</v>
      </c>
      <c r="G1119">
        <v>1108</v>
      </c>
      <c r="H1119" s="186">
        <f t="shared" ca="1" si="39"/>
        <v>6.3220245991237305E-3</v>
      </c>
    </row>
    <row r="1120" spans="2:8" x14ac:dyDescent="0.25">
      <c r="B1120" s="67">
        <v>39782</v>
      </c>
      <c r="C1120">
        <v>289.95</v>
      </c>
      <c r="D1120" s="186">
        <f t="shared" si="38"/>
        <v>-0.5392133492252682</v>
      </c>
      <c r="E1120" s="186">
        <v>-0.14733127481252764</v>
      </c>
      <c r="G1120">
        <v>1109</v>
      </c>
      <c r="H1120" s="186">
        <f t="shared" ca="1" si="39"/>
        <v>8.0694998119317074E-2</v>
      </c>
    </row>
    <row r="1121" spans="2:8" x14ac:dyDescent="0.25">
      <c r="B1121" s="67">
        <v>38914</v>
      </c>
      <c r="C1121">
        <v>629.25</v>
      </c>
      <c r="D1121" s="186">
        <f t="shared" si="38"/>
        <v>-0.88188089539631143</v>
      </c>
      <c r="E1121" s="186">
        <v>-0.14925978503346174</v>
      </c>
      <c r="G1121">
        <v>1110</v>
      </c>
      <c r="H1121" s="186">
        <f t="shared" ca="1" si="39"/>
        <v>-6.1472070140215981E-2</v>
      </c>
    </row>
    <row r="1122" spans="2:8" x14ac:dyDescent="0.25">
      <c r="B1122" s="67">
        <v>44220</v>
      </c>
      <c r="C1122" s="66">
        <v>5327.25</v>
      </c>
      <c r="D1122" s="186">
        <f t="shared" si="38"/>
        <v>19.083883129123468</v>
      </c>
      <c r="E1122" s="186">
        <v>-0.16134034413815909</v>
      </c>
      <c r="G1122">
        <v>1111</v>
      </c>
      <c r="H1122" s="186">
        <f t="shared" ca="1" si="39"/>
        <v>5.7693245808911164E-2</v>
      </c>
    </row>
    <row r="1123" spans="2:8" x14ac:dyDescent="0.25">
      <c r="B1123" s="67">
        <v>38256</v>
      </c>
      <c r="C1123">
        <v>265.25</v>
      </c>
      <c r="D1123" s="186">
        <f>IFERROR((C1123-C1124)/C1124,0)</f>
        <v>0</v>
      </c>
      <c r="E1123" s="186">
        <v>-0.17212858926342067</v>
      </c>
      <c r="G1123">
        <v>1112</v>
      </c>
      <c r="H1123" s="186">
        <f t="shared" ca="1" si="39"/>
        <v>-1.6649980707892115E-2</v>
      </c>
    </row>
  </sheetData>
  <mergeCells count="1">
    <mergeCell ref="J11:N11"/>
  </mergeCells>
  <pageMargins left="0.7" right="0.7" top="0.75" bottom="0.75" header="0.3" footer="0.3"/>
  <pageSetup scale="1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2:K92"/>
  <sheetViews>
    <sheetView showGridLines="0" zoomScale="80" zoomScaleNormal="80" workbookViewId="0">
      <selection activeCell="C92" sqref="C92"/>
    </sheetView>
  </sheetViews>
  <sheetFormatPr defaultRowHeight="15" x14ac:dyDescent="0.25"/>
  <cols>
    <col min="1" max="1" width="1.85546875" customWidth="1"/>
    <col min="2" max="2" width="42.7109375" customWidth="1"/>
    <col min="3" max="6" width="11.42578125" bestFit="1" customWidth="1"/>
    <col min="7" max="10" width="11.7109375" bestFit="1" customWidth="1"/>
    <col min="11" max="11" width="13" bestFit="1" customWidth="1"/>
  </cols>
  <sheetData>
    <row r="2" spans="2:11" x14ac:dyDescent="0.25">
      <c r="B2" s="152"/>
      <c r="C2" s="152"/>
      <c r="D2" s="152"/>
      <c r="E2" s="152"/>
      <c r="F2" s="152"/>
      <c r="G2" s="152"/>
      <c r="H2" s="152"/>
      <c r="I2" s="152"/>
      <c r="J2" s="152"/>
      <c r="K2" s="152"/>
    </row>
    <row r="7" spans="2:11" x14ac:dyDescent="0.25">
      <c r="B7" s="198"/>
      <c r="C7" s="198"/>
      <c r="D7" s="198"/>
      <c r="E7" s="198"/>
      <c r="F7" s="198"/>
      <c r="G7" s="198"/>
      <c r="H7" s="198"/>
      <c r="I7" s="198"/>
      <c r="J7" s="198"/>
      <c r="K7" s="198"/>
    </row>
    <row r="8" spans="2:11" ht="4.5" customHeight="1" x14ac:dyDescent="0.25">
      <c r="B8" s="27"/>
      <c r="C8" s="27"/>
      <c r="D8" s="27"/>
      <c r="E8" s="27"/>
      <c r="F8" s="27"/>
      <c r="G8" s="27"/>
      <c r="H8" s="27"/>
      <c r="I8" s="27"/>
      <c r="J8" s="27"/>
      <c r="K8" s="27"/>
    </row>
    <row r="9" spans="2:11" x14ac:dyDescent="0.25">
      <c r="B9" s="197" t="s">
        <v>400</v>
      </c>
    </row>
    <row r="10" spans="2:11" ht="18.75" x14ac:dyDescent="0.25">
      <c r="B10" s="201" t="str">
        <f>CONCATENATE("INR"," - ",DCF!E49)</f>
        <v>INR - 11937</v>
      </c>
    </row>
    <row r="11" spans="2:11" x14ac:dyDescent="0.25">
      <c r="B11" t="s">
        <v>401</v>
      </c>
    </row>
    <row r="12" spans="2:11" x14ac:dyDescent="0.25">
      <c r="B12" t="s">
        <v>402</v>
      </c>
    </row>
    <row r="13" spans="2:11" ht="4.5" customHeight="1" x14ac:dyDescent="0.25">
      <c r="B13" s="198"/>
      <c r="C13" s="198"/>
      <c r="D13" s="198"/>
      <c r="E13" s="198"/>
      <c r="F13" s="198"/>
      <c r="G13" s="198"/>
      <c r="H13" s="198"/>
      <c r="I13" s="198"/>
      <c r="J13" s="198"/>
      <c r="K13" s="198"/>
    </row>
    <row r="14" spans="2:11" ht="18.75" x14ac:dyDescent="0.3">
      <c r="B14" s="202" t="s">
        <v>403</v>
      </c>
    </row>
    <row r="15" spans="2:11" ht="15" customHeight="1" x14ac:dyDescent="0.25">
      <c r="B15" s="324" t="s">
        <v>404</v>
      </c>
      <c r="C15" s="324"/>
      <c r="D15" s="324"/>
      <c r="E15" s="324"/>
      <c r="F15" s="324"/>
      <c r="G15" s="324"/>
      <c r="H15" s="324"/>
      <c r="I15" s="324"/>
      <c r="J15" s="324"/>
      <c r="K15" s="324"/>
    </row>
    <row r="16" spans="2:11" x14ac:dyDescent="0.25">
      <c r="B16" s="324"/>
      <c r="C16" s="324"/>
      <c r="D16" s="324"/>
      <c r="E16" s="324"/>
      <c r="F16" s="324"/>
      <c r="G16" s="324"/>
      <c r="H16" s="324"/>
      <c r="I16" s="324"/>
      <c r="J16" s="324"/>
      <c r="K16" s="324"/>
    </row>
    <row r="17" spans="2:11" x14ac:dyDescent="0.25">
      <c r="B17" s="324"/>
      <c r="C17" s="324"/>
      <c r="D17" s="324"/>
      <c r="E17" s="324"/>
      <c r="F17" s="324"/>
      <c r="G17" s="324"/>
      <c r="H17" s="324"/>
      <c r="I17" s="324"/>
      <c r="J17" s="324"/>
      <c r="K17" s="324"/>
    </row>
    <row r="18" spans="2:11" ht="4.5" customHeight="1" x14ac:dyDescent="0.25">
      <c r="B18" s="200"/>
      <c r="C18" s="200"/>
      <c r="D18" s="200"/>
      <c r="E18" s="200"/>
      <c r="F18" s="200"/>
      <c r="G18" s="200"/>
      <c r="H18" s="200"/>
      <c r="I18" s="200"/>
      <c r="J18" s="200"/>
      <c r="K18" s="200"/>
    </row>
    <row r="19" spans="2:11" ht="18.75" x14ac:dyDescent="0.3">
      <c r="B19" s="202" t="s">
        <v>406</v>
      </c>
      <c r="C19" s="199"/>
      <c r="D19" s="199"/>
      <c r="E19" s="199"/>
      <c r="F19" s="199"/>
      <c r="G19" s="199"/>
      <c r="H19" s="199"/>
      <c r="I19" s="199"/>
      <c r="J19" s="199"/>
      <c r="K19" s="199"/>
    </row>
    <row r="31" spans="2:11" x14ac:dyDescent="0.25">
      <c r="C31" s="20"/>
    </row>
    <row r="33" spans="1:11" x14ac:dyDescent="0.25">
      <c r="C33" s="20"/>
    </row>
    <row r="41" spans="1:11" ht="18.75" x14ac:dyDescent="0.3">
      <c r="B41" s="203" t="s">
        <v>405</v>
      </c>
      <c r="C41" s="204"/>
      <c r="D41" s="204"/>
      <c r="E41" s="204"/>
      <c r="F41" s="204"/>
      <c r="G41" s="204"/>
      <c r="H41" s="204"/>
      <c r="I41" s="204"/>
      <c r="J41" s="204"/>
      <c r="K41" s="204"/>
    </row>
    <row r="48" spans="1:11" x14ac:dyDescent="0.25">
      <c r="A48" s="48" t="s">
        <v>56</v>
      </c>
      <c r="B48" s="322" t="s">
        <v>116</v>
      </c>
      <c r="C48" s="322"/>
      <c r="D48" s="322"/>
      <c r="E48" s="322"/>
      <c r="F48" s="322"/>
      <c r="G48" s="322"/>
      <c r="H48" s="322"/>
      <c r="I48" s="322"/>
      <c r="J48" s="322"/>
      <c r="K48" s="322"/>
    </row>
    <row r="49" spans="2:11" x14ac:dyDescent="0.25">
      <c r="B49" s="45"/>
      <c r="C49" s="47">
        <f>'Data Sheet'!C16</f>
        <v>42825</v>
      </c>
      <c r="D49" s="47">
        <f>'Data Sheet'!D16</f>
        <v>43190</v>
      </c>
      <c r="E49" s="47">
        <f>'Data Sheet'!E16</f>
        <v>43555</v>
      </c>
      <c r="F49" s="47">
        <f>'Data Sheet'!F16</f>
        <v>43921</v>
      </c>
      <c r="G49" s="47">
        <f>'Data Sheet'!G16</f>
        <v>44286</v>
      </c>
      <c r="H49" s="47">
        <f>'Data Sheet'!H16</f>
        <v>44651</v>
      </c>
      <c r="I49" s="47">
        <f>'Data Sheet'!I16</f>
        <v>45016</v>
      </c>
      <c r="J49" s="47">
        <f>'Data Sheet'!J16</f>
        <v>45382</v>
      </c>
      <c r="K49" s="47">
        <f>'Data Sheet'!K16</f>
        <v>45747</v>
      </c>
    </row>
    <row r="50" spans="2:11" x14ac:dyDescent="0.25">
      <c r="B50" t="str">
        <f>IFERROR(Historical_FS!B45,0)</f>
        <v>Net Profit</v>
      </c>
      <c r="C50" s="24">
        <f>IFERROR(Historical_FS!D45,0)</f>
        <v>2713.509999999997</v>
      </c>
      <c r="D50" s="24">
        <f>IFERROR(Historical_FS!E45,0)</f>
        <v>2224.46</v>
      </c>
      <c r="E50" s="24">
        <f>IFERROR(Historical_FS!F45,0)</f>
        <v>2400.3800000000056</v>
      </c>
      <c r="F50" s="24">
        <f>IFERROR(Historical_FS!G45,0)</f>
        <v>5750.8799999999992</v>
      </c>
      <c r="G50" s="24">
        <f>IFERROR(Historical_FS!H45,0)</f>
        <v>5461.8499999999958</v>
      </c>
      <c r="H50" s="24">
        <f>IFERROR(Historical_FS!I45,0)</f>
        <v>7334.26</v>
      </c>
      <c r="I50" s="24">
        <f>IFERROR(Historical_FS!J45,0)</f>
        <v>5073.4000000000033</v>
      </c>
      <c r="J50" s="24">
        <f>IFERROR(Historical_FS!K45,0)</f>
        <v>7003.9600000000046</v>
      </c>
      <c r="K50" s="24">
        <f>IFERROR(Historical_FS!L45,0)</f>
        <v>6039.6400000000094</v>
      </c>
    </row>
    <row r="51" spans="2:11" x14ac:dyDescent="0.25">
      <c r="B51" t="s">
        <v>117</v>
      </c>
      <c r="C51" s="24">
        <f>IFERROR((('Data Sheet'!C57+'Data Sheet'!C58)+('Data Sheet'!B57+'Data Sheet'!B58))/2,"-")</f>
        <v>23168.760000000002</v>
      </c>
      <c r="D51" s="24">
        <f>IFERROR((('Data Sheet'!D57+'Data Sheet'!D58)+('Data Sheet'!C57+'Data Sheet'!C58))/2,"-")</f>
        <v>25386.525000000001</v>
      </c>
      <c r="E51" s="24">
        <f>IFERROR((('Data Sheet'!E57+'Data Sheet'!E58)+('Data Sheet'!D57+'Data Sheet'!D58))/2,"-")</f>
        <v>30065.904999999999</v>
      </c>
      <c r="F51" s="24">
        <f>IFERROR((('Data Sheet'!F57+'Data Sheet'!F58)+('Data Sheet'!E57+'Data Sheet'!E58))/2,"-")</f>
        <v>36397.205000000002</v>
      </c>
      <c r="G51" s="24">
        <f>IFERROR((('Data Sheet'!G57+'Data Sheet'!G58)+('Data Sheet'!F57+'Data Sheet'!F58))/2,"-")</f>
        <v>41609.22</v>
      </c>
      <c r="H51" s="24">
        <f>IFERROR((('Data Sheet'!H57+'Data Sheet'!H58)+('Data Sheet'!G57+'Data Sheet'!G58))/2,"-")</f>
        <v>47304.974999999999</v>
      </c>
      <c r="I51" s="24">
        <f>IFERROR((('Data Sheet'!I57+'Data Sheet'!I58)+('Data Sheet'!H57+'Data Sheet'!H58))/2,"-")</f>
        <v>52379.904999999999</v>
      </c>
      <c r="J51" s="24">
        <f>IFERROR((('Data Sheet'!J57+'Data Sheet'!J58)+('Data Sheet'!I57+'Data Sheet'!I58))/2,"-")</f>
        <v>57276.01</v>
      </c>
      <c r="K51" s="24">
        <f>IFERROR((('Data Sheet'!K57+'Data Sheet'!K58)+('Data Sheet'!J57+'Data Sheet'!J58))/2,"-")</f>
        <v>65467.125</v>
      </c>
    </row>
    <row r="52" spans="2:11" x14ac:dyDescent="0.25">
      <c r="B52" s="99" t="s">
        <v>116</v>
      </c>
      <c r="C52" s="100">
        <f>IFERROR(C50/C51,"-")</f>
        <v>0.11711934518722611</v>
      </c>
      <c r="D52" s="100">
        <f t="shared" ref="D52:J52" si="0">IFERROR(D50/D51,"-")</f>
        <v>8.7623650735971143E-2</v>
      </c>
      <c r="E52" s="100">
        <f t="shared" si="0"/>
        <v>7.9837277474268803E-2</v>
      </c>
      <c r="F52" s="100">
        <f t="shared" si="0"/>
        <v>0.15800334119062162</v>
      </c>
      <c r="G52" s="100">
        <f t="shared" si="0"/>
        <v>0.13126537820223488</v>
      </c>
      <c r="H52" s="100">
        <f t="shared" si="0"/>
        <v>0.15504204367511029</v>
      </c>
      <c r="I52" s="100">
        <f t="shared" si="0"/>
        <v>9.6857754896653658E-2</v>
      </c>
      <c r="J52" s="100">
        <f t="shared" si="0"/>
        <v>0.12228435605063978</v>
      </c>
      <c r="K52" s="100">
        <f>IFERROR(K50/K51,"-")</f>
        <v>9.2254547606909723E-2</v>
      </c>
    </row>
    <row r="54" spans="2:11" x14ac:dyDescent="0.25">
      <c r="B54" s="322" t="s">
        <v>119</v>
      </c>
      <c r="C54" s="322"/>
      <c r="D54" s="322"/>
      <c r="E54" s="322"/>
      <c r="F54" s="322"/>
      <c r="G54" s="322"/>
      <c r="H54" s="322"/>
      <c r="I54" s="322"/>
      <c r="J54" s="322"/>
      <c r="K54" s="322"/>
    </row>
    <row r="55" spans="2:11" x14ac:dyDescent="0.25">
      <c r="B55" s="45"/>
      <c r="C55" s="47">
        <f t="shared" ref="C55:J55" si="1">C49</f>
        <v>42825</v>
      </c>
      <c r="D55" s="47">
        <f t="shared" si="1"/>
        <v>43190</v>
      </c>
      <c r="E55" s="47">
        <f t="shared" si="1"/>
        <v>43555</v>
      </c>
      <c r="F55" s="47">
        <f t="shared" si="1"/>
        <v>43921</v>
      </c>
      <c r="G55" s="47">
        <f t="shared" si="1"/>
        <v>44286</v>
      </c>
      <c r="H55" s="47">
        <f t="shared" si="1"/>
        <v>44651</v>
      </c>
      <c r="I55" s="47">
        <f t="shared" si="1"/>
        <v>45016</v>
      </c>
      <c r="J55" s="47">
        <f t="shared" si="1"/>
        <v>45382</v>
      </c>
      <c r="K55" s="47">
        <f>K49</f>
        <v>45747</v>
      </c>
    </row>
    <row r="56" spans="2:11" x14ac:dyDescent="0.25">
      <c r="B56" t="str">
        <f>IFERROR(B50,0)</f>
        <v>Net Profit</v>
      </c>
      <c r="C56" s="24">
        <f>IFERROR(C50,0)</f>
        <v>2713.509999999997</v>
      </c>
      <c r="D56" s="24">
        <f t="shared" ref="D56:K56" si="2">IFERROR(D50,0)</f>
        <v>2224.46</v>
      </c>
      <c r="E56" s="24">
        <f t="shared" si="2"/>
        <v>2400.3800000000056</v>
      </c>
      <c r="F56" s="24">
        <f t="shared" si="2"/>
        <v>5750.8799999999992</v>
      </c>
      <c r="G56" s="24">
        <f t="shared" si="2"/>
        <v>5461.8499999999958</v>
      </c>
      <c r="H56" s="24">
        <f t="shared" si="2"/>
        <v>7334.26</v>
      </c>
      <c r="I56" s="24">
        <f t="shared" si="2"/>
        <v>5073.4000000000033</v>
      </c>
      <c r="J56" s="24">
        <f t="shared" si="2"/>
        <v>7003.9600000000046</v>
      </c>
      <c r="K56" s="24">
        <f t="shared" si="2"/>
        <v>6039.6400000000094</v>
      </c>
    </row>
    <row r="57" spans="2:11" x14ac:dyDescent="0.25">
      <c r="B57" t="s">
        <v>1</v>
      </c>
      <c r="C57" s="24">
        <f>IFERROR(Historical_FS!D12,0)</f>
        <v>25374.94</v>
      </c>
      <c r="D57" s="24">
        <f>IFERROR(Historical_FS!E12,0)</f>
        <v>30978.62</v>
      </c>
      <c r="E57" s="24">
        <f>IFERROR(Historical_FS!F12,0)</f>
        <v>41462.26</v>
      </c>
      <c r="F57" s="24">
        <f>IFERROR(Historical_FS!G12,0)</f>
        <v>42429.89</v>
      </c>
      <c r="G57" s="24">
        <f>IFERROR(Historical_FS!H12,0)</f>
        <v>44725.8</v>
      </c>
      <c r="H57" s="24">
        <f>IFERROR(Historical_FS!I12,0)</f>
        <v>52598.83</v>
      </c>
      <c r="I57" s="24">
        <f>IFERROR(Historical_FS!J12,0)</f>
        <v>63239.98</v>
      </c>
      <c r="J57" s="24">
        <f>IFERROR(Historical_FS!K12,0)</f>
        <v>70908.14</v>
      </c>
      <c r="K57" s="24">
        <f>IFERROR(Historical_FS!L12,0)</f>
        <v>75955.13</v>
      </c>
    </row>
    <row r="58" spans="2:11" x14ac:dyDescent="0.25">
      <c r="B58" s="99" t="s">
        <v>118</v>
      </c>
      <c r="C58" s="100">
        <f t="shared" ref="C58:J58" si="3">IFERROR(C56/C57,0)</f>
        <v>0.10693660753483544</v>
      </c>
      <c r="D58" s="100">
        <f t="shared" si="3"/>
        <v>7.180629737541569E-2</v>
      </c>
      <c r="E58" s="100">
        <f t="shared" si="3"/>
        <v>5.7893129800449986E-2</v>
      </c>
      <c r="F58" s="100">
        <f t="shared" si="3"/>
        <v>0.13553841407554909</v>
      </c>
      <c r="G58" s="100">
        <f t="shared" si="3"/>
        <v>0.12211855349708658</v>
      </c>
      <c r="H58" s="100">
        <f t="shared" si="3"/>
        <v>0.13943770232151551</v>
      </c>
      <c r="I58" s="100">
        <f t="shared" si="3"/>
        <v>8.0224566800938313E-2</v>
      </c>
      <c r="J58" s="100">
        <f t="shared" si="3"/>
        <v>9.8775119471474007E-2</v>
      </c>
      <c r="K58" s="100">
        <f>IFERROR(K56/K57,0)</f>
        <v>7.9515893133222326E-2</v>
      </c>
    </row>
    <row r="60" spans="2:11" x14ac:dyDescent="0.25">
      <c r="B60" t="str">
        <f>IFERROR(B57,0)</f>
        <v>Sales</v>
      </c>
      <c r="C60" s="24">
        <f t="shared" ref="C60:K60" si="4">IFERROR(C57,0)</f>
        <v>25374.94</v>
      </c>
      <c r="D60" s="24">
        <f t="shared" si="4"/>
        <v>30978.62</v>
      </c>
      <c r="E60" s="24">
        <f t="shared" si="4"/>
        <v>41462.26</v>
      </c>
      <c r="F60" s="24">
        <f t="shared" si="4"/>
        <v>42429.89</v>
      </c>
      <c r="G60" s="24">
        <f t="shared" si="4"/>
        <v>44725.8</v>
      </c>
      <c r="H60" s="24">
        <f t="shared" si="4"/>
        <v>52598.83</v>
      </c>
      <c r="I60" s="24">
        <f t="shared" si="4"/>
        <v>63239.98</v>
      </c>
      <c r="J60" s="24">
        <f t="shared" si="4"/>
        <v>70908.14</v>
      </c>
      <c r="K60" s="24">
        <f t="shared" si="4"/>
        <v>75955.13</v>
      </c>
    </row>
    <row r="61" spans="2:11" x14ac:dyDescent="0.25">
      <c r="B61" t="s">
        <v>120</v>
      </c>
      <c r="C61" s="24">
        <f>IFERROR((Historical_FS!D80+Historical_FS!C80)/2,0)</f>
        <v>41701.11</v>
      </c>
      <c r="D61" s="24">
        <f>IFERROR((Historical_FS!E80+Historical_FS!D80)/2,0)</f>
        <v>49675.100000000006</v>
      </c>
      <c r="E61" s="24">
        <f>IFERROR((Historical_FS!F80+Historical_FS!E80)/2,0)</f>
        <v>66833.23000000001</v>
      </c>
      <c r="F61" s="24">
        <f>IFERROR((Historical_FS!G80+Historical_FS!F80)/2,0)</f>
        <v>77869.59</v>
      </c>
      <c r="G61" s="24">
        <f>IFERROR((Historical_FS!H80+Historical_FS!G80)/2,0)</f>
        <v>82695.079999999987</v>
      </c>
      <c r="H61" s="24">
        <f>IFERROR((Historical_FS!I80+Historical_FS!H80)/2,0)</f>
        <v>84993.89499999999</v>
      </c>
      <c r="I61" s="24">
        <f>IFERROR((Historical_FS!J80+Historical_FS!I80)/2,0)</f>
        <v>87595.919999999984</v>
      </c>
      <c r="J61" s="24">
        <f>IFERROR((Historical_FS!K80+Historical_FS!J80)/2,0)</f>
        <v>96088.755000000005</v>
      </c>
      <c r="K61" s="24">
        <f>IFERROR((Historical_FS!L80+Historical_FS!K80)/2,0)</f>
        <v>117214.58499999999</v>
      </c>
    </row>
    <row r="62" spans="2:11" x14ac:dyDescent="0.25">
      <c r="B62" s="99" t="s">
        <v>121</v>
      </c>
      <c r="C62" s="101">
        <f>IFERROR(C60/C61,0)</f>
        <v>0.60849555323587301</v>
      </c>
      <c r="D62" s="101">
        <f t="shared" ref="D62" si="5">IFERROR(D60/D61,0)</f>
        <v>0.62362471338759251</v>
      </c>
      <c r="E62" s="101">
        <f t="shared" ref="E62" si="6">IFERROR(E60/E61,0)</f>
        <v>0.62038390184044667</v>
      </c>
      <c r="F62" s="101">
        <f t="shared" ref="F62" si="7">IFERROR(F60/F61,0)</f>
        <v>0.54488395277283475</v>
      </c>
      <c r="G62" s="101">
        <f t="shared" ref="G62" si="8">IFERROR(G60/G61,0)</f>
        <v>0.54085200715689508</v>
      </c>
      <c r="H62" s="101">
        <f t="shared" ref="H62" si="9">IFERROR(H60/H61,0)</f>
        <v>0.61885421299965138</v>
      </c>
      <c r="I62" s="101">
        <f t="shared" ref="I62" si="10">IFERROR(I60/I61,0)</f>
        <v>0.72195120503329391</v>
      </c>
      <c r="J62" s="101">
        <f t="shared" ref="J62" si="11">IFERROR(J60/J61,0)</f>
        <v>0.73794420585426457</v>
      </c>
      <c r="K62" s="101">
        <f>IFERROR(K60/K61,0)</f>
        <v>0.64800067329505118</v>
      </c>
    </row>
    <row r="64" spans="2:11" x14ac:dyDescent="0.25">
      <c r="B64" t="str">
        <f>IFERROR(B61,0)</f>
        <v>Average Total Assets</v>
      </c>
      <c r="C64" s="24">
        <f t="shared" ref="C64:K64" si="12">IFERROR(C61,0)</f>
        <v>41701.11</v>
      </c>
      <c r="D64" s="24">
        <f t="shared" si="12"/>
        <v>49675.100000000006</v>
      </c>
      <c r="E64" s="24">
        <f t="shared" si="12"/>
        <v>66833.23000000001</v>
      </c>
      <c r="F64" s="24">
        <f t="shared" si="12"/>
        <v>77869.59</v>
      </c>
      <c r="G64" s="24">
        <f t="shared" si="12"/>
        <v>82695.079999999987</v>
      </c>
      <c r="H64" s="24">
        <f>IFERROR(H61,0)</f>
        <v>84993.89499999999</v>
      </c>
      <c r="I64" s="24">
        <f t="shared" si="12"/>
        <v>87595.919999999984</v>
      </c>
      <c r="J64" s="24">
        <f t="shared" si="12"/>
        <v>96088.755000000005</v>
      </c>
      <c r="K64" s="24">
        <f t="shared" si="12"/>
        <v>117214.58499999999</v>
      </c>
    </row>
    <row r="65" spans="1:11" x14ac:dyDescent="0.25">
      <c r="B65" t="str">
        <f>IFERROR(B51,0)</f>
        <v>Average Shareholder's Equity</v>
      </c>
      <c r="C65" s="24">
        <f t="shared" ref="C65:K65" si="13">IFERROR(C51,0)</f>
        <v>23168.760000000002</v>
      </c>
      <c r="D65" s="24">
        <f t="shared" si="13"/>
        <v>25386.525000000001</v>
      </c>
      <c r="E65" s="24">
        <f t="shared" si="13"/>
        <v>30065.904999999999</v>
      </c>
      <c r="F65" s="24">
        <f t="shared" si="13"/>
        <v>36397.205000000002</v>
      </c>
      <c r="G65" s="24">
        <f t="shared" si="13"/>
        <v>41609.22</v>
      </c>
      <c r="H65" s="24">
        <f t="shared" si="13"/>
        <v>47304.974999999999</v>
      </c>
      <c r="I65" s="24">
        <f t="shared" si="13"/>
        <v>52379.904999999999</v>
      </c>
      <c r="J65" s="24">
        <f t="shared" si="13"/>
        <v>57276.01</v>
      </c>
      <c r="K65" s="24">
        <f t="shared" si="13"/>
        <v>65467.125</v>
      </c>
    </row>
    <row r="66" spans="1:11" x14ac:dyDescent="0.25">
      <c r="B66" s="99" t="s">
        <v>122</v>
      </c>
      <c r="C66" s="101">
        <f>IFERROR(C64/C65,0)</f>
        <v>1.7998852765534279</v>
      </c>
      <c r="D66" s="101">
        <f t="shared" ref="D66" si="14">IFERROR(D64/D65,0)</f>
        <v>1.9567506777709829</v>
      </c>
      <c r="E66" s="101">
        <f t="shared" ref="E66" si="15">IFERROR(E64/E65,0)</f>
        <v>2.2228910122612313</v>
      </c>
      <c r="F66" s="101">
        <f t="shared" ref="F66" si="16">IFERROR(F64/F65,0)</f>
        <v>2.139438728880418</v>
      </c>
      <c r="G66" s="101">
        <f t="shared" ref="G66" si="17">IFERROR(G64/G65,0)</f>
        <v>1.9874220184853257</v>
      </c>
      <c r="H66" s="101">
        <f t="shared" ref="H66" si="18">IFERROR(H64/H65,0)</f>
        <v>1.7967221206648982</v>
      </c>
      <c r="I66" s="101">
        <f t="shared" ref="I66" si="19">IFERROR(I64/I65,0)</f>
        <v>1.6723191842367791</v>
      </c>
      <c r="J66" s="101">
        <f t="shared" ref="J66" si="20">IFERROR(J64/J65,0)</f>
        <v>1.6776440083727899</v>
      </c>
      <c r="K66" s="101">
        <f>IFERROR(K64/K65,0)</f>
        <v>1.790434282855708</v>
      </c>
    </row>
    <row r="68" spans="1:11" x14ac:dyDescent="0.25">
      <c r="B68" s="95" t="s">
        <v>123</v>
      </c>
      <c r="C68" s="102">
        <f>IFERROR(C58*C62*C66,0)</f>
        <v>0.11711934518722611</v>
      </c>
      <c r="D68" s="102">
        <f t="shared" ref="D68:K68" si="21">IFERROR(D58*D62*D66,0)</f>
        <v>8.7623650735971143E-2</v>
      </c>
      <c r="E68" s="102">
        <f t="shared" si="21"/>
        <v>7.9837277474268803E-2</v>
      </c>
      <c r="F68" s="102">
        <f t="shared" si="21"/>
        <v>0.15800334119062165</v>
      </c>
      <c r="G68" s="102">
        <f t="shared" si="21"/>
        <v>0.13126537820223488</v>
      </c>
      <c r="H68" s="102">
        <f t="shared" si="21"/>
        <v>0.15504204367511026</v>
      </c>
      <c r="I68" s="102">
        <f t="shared" si="21"/>
        <v>9.6857754896653644E-2</v>
      </c>
      <c r="J68" s="102">
        <f t="shared" si="21"/>
        <v>0.12228435605063978</v>
      </c>
      <c r="K68" s="102">
        <f t="shared" si="21"/>
        <v>9.2254547606909723E-2</v>
      </c>
    </row>
    <row r="70" spans="1:11" x14ac:dyDescent="0.25">
      <c r="B70" s="34" t="s">
        <v>76</v>
      </c>
      <c r="C70" s="297" t="str">
        <f>IF(ABS(C52-C68)&lt;0.0001,"✓ CHECK","✗ ERROR")</f>
        <v>✓ CHECK</v>
      </c>
      <c r="D70" s="297" t="str">
        <f t="shared" ref="D70:K70" si="22">IF(ABS(D52-D68)&lt;0.0001,"✓ CHECK","✗ ERROR")</f>
        <v>✓ CHECK</v>
      </c>
      <c r="E70" s="297" t="str">
        <f t="shared" si="22"/>
        <v>✓ CHECK</v>
      </c>
      <c r="F70" s="297" t="str">
        <f t="shared" si="22"/>
        <v>✓ CHECK</v>
      </c>
      <c r="G70" s="297" t="str">
        <f t="shared" si="22"/>
        <v>✓ CHECK</v>
      </c>
      <c r="H70" s="297" t="str">
        <f t="shared" si="22"/>
        <v>✓ CHECK</v>
      </c>
      <c r="I70" s="297" t="str">
        <f t="shared" si="22"/>
        <v>✓ CHECK</v>
      </c>
      <c r="J70" s="297" t="str">
        <f t="shared" si="22"/>
        <v>✓ CHECK</v>
      </c>
      <c r="K70" s="297" t="str">
        <f t="shared" si="22"/>
        <v>✓ CHECK</v>
      </c>
    </row>
    <row r="72" spans="1:11" x14ac:dyDescent="0.25">
      <c r="A72" s="48" t="s">
        <v>56</v>
      </c>
      <c r="B72" s="322" t="s">
        <v>124</v>
      </c>
      <c r="C72" s="322"/>
      <c r="D72" s="322"/>
      <c r="E72" s="322"/>
      <c r="F72" s="322"/>
      <c r="G72" s="322"/>
      <c r="H72" s="322"/>
      <c r="I72" s="322"/>
      <c r="J72" s="322"/>
      <c r="K72" s="322"/>
    </row>
    <row r="73" spans="1:11" x14ac:dyDescent="0.25">
      <c r="B73" s="45"/>
      <c r="C73" s="47">
        <f t="shared" ref="C73:J73" si="23">C49</f>
        <v>42825</v>
      </c>
      <c r="D73" s="47">
        <f t="shared" si="23"/>
        <v>43190</v>
      </c>
      <c r="E73" s="47">
        <f t="shared" si="23"/>
        <v>43555</v>
      </c>
      <c r="F73" s="47">
        <f t="shared" si="23"/>
        <v>43921</v>
      </c>
      <c r="G73" s="47">
        <f t="shared" si="23"/>
        <v>44286</v>
      </c>
      <c r="H73" s="47">
        <f t="shared" si="23"/>
        <v>44651</v>
      </c>
      <c r="I73" s="47">
        <f t="shared" si="23"/>
        <v>45016</v>
      </c>
      <c r="J73" s="47">
        <f t="shared" si="23"/>
        <v>45382</v>
      </c>
      <c r="K73" s="47">
        <f>K49</f>
        <v>45747</v>
      </c>
    </row>
    <row r="74" spans="1:11" x14ac:dyDescent="0.25">
      <c r="B74" t="str">
        <f>IFERROR(B56,0)</f>
        <v>Net Profit</v>
      </c>
      <c r="C74" s="24">
        <f t="shared" ref="C74:K74" si="24">IFERROR(C56,0)</f>
        <v>2713.509999999997</v>
      </c>
      <c r="D74" s="24">
        <f t="shared" si="24"/>
        <v>2224.46</v>
      </c>
      <c r="E74" s="24">
        <f t="shared" si="24"/>
        <v>2400.3800000000056</v>
      </c>
      <c r="F74" s="24">
        <f t="shared" si="24"/>
        <v>5750.8799999999992</v>
      </c>
      <c r="G74" s="24">
        <f t="shared" si="24"/>
        <v>5461.8499999999958</v>
      </c>
      <c r="H74" s="24">
        <f t="shared" si="24"/>
        <v>7334.26</v>
      </c>
      <c r="I74" s="24">
        <f t="shared" si="24"/>
        <v>5073.4000000000033</v>
      </c>
      <c r="J74" s="24">
        <f t="shared" si="24"/>
        <v>7003.9600000000046</v>
      </c>
      <c r="K74" s="24">
        <f t="shared" si="24"/>
        <v>6039.6400000000094</v>
      </c>
    </row>
    <row r="75" spans="1:11" x14ac:dyDescent="0.25">
      <c r="B75" t="str">
        <f>IFERROR(B61,0)</f>
        <v>Average Total Assets</v>
      </c>
      <c r="C75" s="24">
        <f t="shared" ref="C75:K75" si="25">IFERROR(C61,0)</f>
        <v>41701.11</v>
      </c>
      <c r="D75" s="24">
        <f t="shared" si="25"/>
        <v>49675.100000000006</v>
      </c>
      <c r="E75" s="24">
        <f t="shared" si="25"/>
        <v>66833.23000000001</v>
      </c>
      <c r="F75" s="24">
        <f t="shared" si="25"/>
        <v>77869.59</v>
      </c>
      <c r="G75" s="24">
        <f t="shared" si="25"/>
        <v>82695.079999999987</v>
      </c>
      <c r="H75" s="24">
        <f t="shared" si="25"/>
        <v>84993.89499999999</v>
      </c>
      <c r="I75" s="24">
        <f t="shared" si="25"/>
        <v>87595.919999999984</v>
      </c>
      <c r="J75" s="24">
        <f t="shared" si="25"/>
        <v>96088.755000000005</v>
      </c>
      <c r="K75" s="24">
        <f t="shared" si="25"/>
        <v>117214.58499999999</v>
      </c>
    </row>
    <row r="76" spans="1:11" x14ac:dyDescent="0.25">
      <c r="B76" s="99" t="s">
        <v>124</v>
      </c>
      <c r="C76" s="100">
        <f>IFERROR(C74/C75,"-")</f>
        <v>6.5070450163077123E-2</v>
      </c>
      <c r="D76" s="100">
        <f t="shared" ref="D76" si="26">IFERROR(D74/D75,"-")</f>
        <v>4.4780181620167843E-2</v>
      </c>
      <c r="E76" s="100">
        <f t="shared" ref="E76" si="27">IFERROR(E74/E75,"-")</f>
        <v>3.5915965755358603E-2</v>
      </c>
      <c r="F76" s="100">
        <f t="shared" ref="F76" si="28">IFERROR(F74/F75,"-")</f>
        <v>7.3852706814046404E-2</v>
      </c>
      <c r="G76" s="100">
        <f t="shared" ref="G76" si="29">IFERROR(G74/G75,"-")</f>
        <v>6.6048064769995946E-2</v>
      </c>
      <c r="H76" s="100">
        <f t="shared" ref="H76" si="30">IFERROR(H74/H75,"-")</f>
        <v>8.6291609532661157E-2</v>
      </c>
      <c r="I76" s="100">
        <f t="shared" ref="I76" si="31">IFERROR(I74/I75,"-")</f>
        <v>5.7918222675211406E-2</v>
      </c>
      <c r="J76" s="100">
        <f t="shared" ref="J76" si="32">IFERROR(J74/J75,"-")</f>
        <v>7.2890527096536997E-2</v>
      </c>
      <c r="K76" s="100">
        <f>IFERROR(K74/K75,"-")</f>
        <v>5.1526352287985404E-2</v>
      </c>
    </row>
    <row r="78" spans="1:11" x14ac:dyDescent="0.25">
      <c r="B78" s="322" t="s">
        <v>125</v>
      </c>
      <c r="C78" s="322"/>
      <c r="D78" s="322"/>
      <c r="E78" s="322"/>
      <c r="F78" s="322"/>
      <c r="G78" s="322"/>
      <c r="H78" s="322"/>
      <c r="I78" s="322"/>
      <c r="J78" s="322"/>
      <c r="K78" s="322"/>
    </row>
    <row r="79" spans="1:11" x14ac:dyDescent="0.25">
      <c r="B79" s="45"/>
      <c r="C79" s="47">
        <f t="shared" ref="C79:J79" si="33">C55</f>
        <v>42825</v>
      </c>
      <c r="D79" s="47">
        <f t="shared" si="33"/>
        <v>43190</v>
      </c>
      <c r="E79" s="47">
        <f t="shared" si="33"/>
        <v>43555</v>
      </c>
      <c r="F79" s="47">
        <f t="shared" si="33"/>
        <v>43921</v>
      </c>
      <c r="G79" s="47">
        <f t="shared" si="33"/>
        <v>44286</v>
      </c>
      <c r="H79" s="47">
        <f t="shared" si="33"/>
        <v>44651</v>
      </c>
      <c r="I79" s="47">
        <f t="shared" si="33"/>
        <v>45016</v>
      </c>
      <c r="J79" s="47">
        <f t="shared" si="33"/>
        <v>45382</v>
      </c>
      <c r="K79" s="47">
        <f>K55</f>
        <v>45747</v>
      </c>
    </row>
    <row r="80" spans="1:11" x14ac:dyDescent="0.25">
      <c r="B80" t="str">
        <f>IFERROR(B56,0)</f>
        <v>Net Profit</v>
      </c>
      <c r="C80" s="24">
        <f t="shared" ref="C80:K80" si="34">IFERROR(C56,0)</f>
        <v>2713.509999999997</v>
      </c>
      <c r="D80" s="24">
        <f t="shared" si="34"/>
        <v>2224.46</v>
      </c>
      <c r="E80" s="24">
        <f t="shared" si="34"/>
        <v>2400.3800000000056</v>
      </c>
      <c r="F80" s="24">
        <f t="shared" si="34"/>
        <v>5750.8799999999992</v>
      </c>
      <c r="G80" s="24">
        <f t="shared" si="34"/>
        <v>5461.8499999999958</v>
      </c>
      <c r="H80" s="24">
        <f t="shared" si="34"/>
        <v>7334.26</v>
      </c>
      <c r="I80" s="24">
        <f t="shared" si="34"/>
        <v>5073.4000000000033</v>
      </c>
      <c r="J80" s="24">
        <f t="shared" si="34"/>
        <v>7003.9600000000046</v>
      </c>
      <c r="K80" s="24">
        <f t="shared" si="34"/>
        <v>6039.6400000000094</v>
      </c>
    </row>
    <row r="81" spans="1:11" x14ac:dyDescent="0.25">
      <c r="B81" t="str">
        <f>IFERROR(B57,0)</f>
        <v>Sales</v>
      </c>
      <c r="C81" s="24">
        <f t="shared" ref="C81:K81" si="35">IFERROR(C57,0)</f>
        <v>25374.94</v>
      </c>
      <c r="D81" s="24">
        <f t="shared" si="35"/>
        <v>30978.62</v>
      </c>
      <c r="E81" s="24">
        <f t="shared" si="35"/>
        <v>41462.26</v>
      </c>
      <c r="F81" s="24">
        <f t="shared" si="35"/>
        <v>42429.89</v>
      </c>
      <c r="G81" s="24">
        <f t="shared" si="35"/>
        <v>44725.8</v>
      </c>
      <c r="H81" s="24">
        <f t="shared" si="35"/>
        <v>52598.83</v>
      </c>
      <c r="I81" s="24">
        <f t="shared" si="35"/>
        <v>63239.98</v>
      </c>
      <c r="J81" s="24">
        <f t="shared" si="35"/>
        <v>70908.14</v>
      </c>
      <c r="K81" s="24">
        <f t="shared" si="35"/>
        <v>75955.13</v>
      </c>
    </row>
    <row r="82" spans="1:11" x14ac:dyDescent="0.25">
      <c r="B82" s="99" t="s">
        <v>118</v>
      </c>
      <c r="C82" s="100">
        <f>IFERROR(C80/C81,"-")</f>
        <v>0.10693660753483544</v>
      </c>
      <c r="D82" s="100">
        <f t="shared" ref="D82" si="36">IFERROR(D80/D81,"-")</f>
        <v>7.180629737541569E-2</v>
      </c>
      <c r="E82" s="100">
        <f t="shared" ref="E82" si="37">IFERROR(E80/E81,"-")</f>
        <v>5.7893129800449986E-2</v>
      </c>
      <c r="F82" s="100">
        <f t="shared" ref="F82" si="38">IFERROR(F80/F81,"-")</f>
        <v>0.13553841407554909</v>
      </c>
      <c r="G82" s="100">
        <f t="shared" ref="G82" si="39">IFERROR(G80/G81,"-")</f>
        <v>0.12211855349708658</v>
      </c>
      <c r="H82" s="100">
        <f t="shared" ref="H82" si="40">IFERROR(H80/H81,"-")</f>
        <v>0.13943770232151551</v>
      </c>
      <c r="I82" s="100">
        <f t="shared" ref="I82" si="41">IFERROR(I80/I81,"-")</f>
        <v>8.0224566800938313E-2</v>
      </c>
      <c r="J82" s="100">
        <f t="shared" ref="J82" si="42">IFERROR(J80/J81,"-")</f>
        <v>9.8775119471474007E-2</v>
      </c>
      <c r="K82" s="100">
        <f>IFERROR(K80/K81,"-")</f>
        <v>7.9515893133222326E-2</v>
      </c>
    </row>
    <row r="84" spans="1:11" x14ac:dyDescent="0.25">
      <c r="B84" t="str">
        <f>IFERROR(B60,0)</f>
        <v>Sales</v>
      </c>
      <c r="C84" s="24">
        <f t="shared" ref="C84:K84" si="43">IFERROR(C60,0)</f>
        <v>25374.94</v>
      </c>
      <c r="D84" s="24">
        <f t="shared" si="43"/>
        <v>30978.62</v>
      </c>
      <c r="E84" s="24">
        <f t="shared" si="43"/>
        <v>41462.26</v>
      </c>
      <c r="F84" s="24">
        <f t="shared" si="43"/>
        <v>42429.89</v>
      </c>
      <c r="G84" s="24">
        <f t="shared" si="43"/>
        <v>44725.8</v>
      </c>
      <c r="H84" s="24">
        <f t="shared" si="43"/>
        <v>52598.83</v>
      </c>
      <c r="I84" s="24">
        <f t="shared" si="43"/>
        <v>63239.98</v>
      </c>
      <c r="J84" s="24">
        <f t="shared" si="43"/>
        <v>70908.14</v>
      </c>
      <c r="K84" s="24">
        <f t="shared" si="43"/>
        <v>75955.13</v>
      </c>
    </row>
    <row r="85" spans="1:11" x14ac:dyDescent="0.25">
      <c r="B85" t="str">
        <f>IFERROR(B61,0)</f>
        <v>Average Total Assets</v>
      </c>
      <c r="C85" s="24">
        <f t="shared" ref="C85:K85" si="44">IFERROR(C61,0)</f>
        <v>41701.11</v>
      </c>
      <c r="D85" s="24">
        <f t="shared" si="44"/>
        <v>49675.100000000006</v>
      </c>
      <c r="E85" s="24">
        <f t="shared" si="44"/>
        <v>66833.23000000001</v>
      </c>
      <c r="F85" s="24">
        <f t="shared" si="44"/>
        <v>77869.59</v>
      </c>
      <c r="G85" s="24">
        <f t="shared" si="44"/>
        <v>82695.079999999987</v>
      </c>
      <c r="H85" s="24">
        <f t="shared" si="44"/>
        <v>84993.89499999999</v>
      </c>
      <c r="I85" s="24">
        <f t="shared" si="44"/>
        <v>87595.919999999984</v>
      </c>
      <c r="J85" s="24">
        <f t="shared" si="44"/>
        <v>96088.755000000005</v>
      </c>
      <c r="K85" s="24">
        <f t="shared" si="44"/>
        <v>117214.58499999999</v>
      </c>
    </row>
    <row r="86" spans="1:11" x14ac:dyDescent="0.25">
      <c r="B86" s="99" t="s">
        <v>121</v>
      </c>
      <c r="C86" s="100">
        <f>IFERROR(C84/C85,"-")</f>
        <v>0.60849555323587301</v>
      </c>
      <c r="D86" s="100">
        <f t="shared" ref="D86" si="45">IFERROR(D84/D85,"-")</f>
        <v>0.62362471338759251</v>
      </c>
      <c r="E86" s="100">
        <f t="shared" ref="E86" si="46">IFERROR(E84/E85,"-")</f>
        <v>0.62038390184044667</v>
      </c>
      <c r="F86" s="100">
        <f t="shared" ref="F86" si="47">IFERROR(F84/F85,"-")</f>
        <v>0.54488395277283475</v>
      </c>
      <c r="G86" s="100">
        <f t="shared" ref="G86" si="48">IFERROR(G84/G85,"-")</f>
        <v>0.54085200715689508</v>
      </c>
      <c r="H86" s="100">
        <f t="shared" ref="H86" si="49">IFERROR(H84/H85,"-")</f>
        <v>0.61885421299965138</v>
      </c>
      <c r="I86" s="100">
        <f t="shared" ref="I86" si="50">IFERROR(I84/I85,"-")</f>
        <v>0.72195120503329391</v>
      </c>
      <c r="J86" s="100">
        <f t="shared" ref="J86" si="51">IFERROR(J84/J85,"-")</f>
        <v>0.73794420585426457</v>
      </c>
      <c r="K86" s="100">
        <f>IFERROR(K84/K85,"-")</f>
        <v>0.64800067329505118</v>
      </c>
    </row>
    <row r="88" spans="1:11" x14ac:dyDescent="0.25">
      <c r="A88" s="48" t="s">
        <v>56</v>
      </c>
      <c r="B88" s="95" t="s">
        <v>126</v>
      </c>
      <c r="C88" s="102">
        <f>IFERROR(C82*C86,0)</f>
        <v>6.5070450163077123E-2</v>
      </c>
      <c r="D88" s="102">
        <f t="shared" ref="D88:J88" si="52">IFERROR(D82*D86,0)</f>
        <v>4.4780181620167843E-2</v>
      </c>
      <c r="E88" s="102">
        <f t="shared" si="52"/>
        <v>3.5915965755358603E-2</v>
      </c>
      <c r="F88" s="102">
        <f t="shared" si="52"/>
        <v>7.3852706814046418E-2</v>
      </c>
      <c r="G88" s="102">
        <f t="shared" si="52"/>
        <v>6.6048064769995946E-2</v>
      </c>
      <c r="H88" s="102">
        <f t="shared" si="52"/>
        <v>8.6291609532661143E-2</v>
      </c>
      <c r="I88" s="102">
        <f t="shared" si="52"/>
        <v>5.7918222675211399E-2</v>
      </c>
      <c r="J88" s="102">
        <f t="shared" si="52"/>
        <v>7.2890527096536997E-2</v>
      </c>
      <c r="K88" s="102">
        <f>IFERROR(K82*K86,0)</f>
        <v>5.1526352287985404E-2</v>
      </c>
    </row>
    <row r="90" spans="1:11" x14ac:dyDescent="0.25">
      <c r="B90" s="34" t="s">
        <v>76</v>
      </c>
      <c r="C90" s="297" t="str">
        <f>IF(ABS(C76-C88)&lt;0.0001,"✓ CHECK","✗ ERROR")</f>
        <v>✓ CHECK</v>
      </c>
      <c r="D90" s="297" t="str">
        <f t="shared" ref="D90:K90" si="53">IF(ABS(D76-D88)&lt;0.0001,"✓ CHECK","✗ ERROR")</f>
        <v>✓ CHECK</v>
      </c>
      <c r="E90" s="297" t="str">
        <f t="shared" si="53"/>
        <v>✓ CHECK</v>
      </c>
      <c r="F90" s="297" t="str">
        <f t="shared" si="53"/>
        <v>✓ CHECK</v>
      </c>
      <c r="G90" s="297" t="str">
        <f t="shared" si="53"/>
        <v>✓ CHECK</v>
      </c>
      <c r="H90" s="297" t="str">
        <f t="shared" si="53"/>
        <v>✓ CHECK</v>
      </c>
      <c r="I90" s="297" t="str">
        <f t="shared" si="53"/>
        <v>✓ CHECK</v>
      </c>
      <c r="J90" s="297" t="str">
        <f t="shared" si="53"/>
        <v>✓ CHECK</v>
      </c>
      <c r="K90" s="297" t="str">
        <f t="shared" si="53"/>
        <v>✓ CHECK</v>
      </c>
    </row>
    <row r="91" spans="1:11" ht="4.5" customHeight="1" x14ac:dyDescent="0.25">
      <c r="B91" s="198"/>
      <c r="C91" s="198"/>
      <c r="D91" s="198"/>
      <c r="E91" s="198"/>
      <c r="F91" s="198"/>
      <c r="G91" s="198"/>
      <c r="H91" s="198"/>
      <c r="I91" s="198"/>
      <c r="J91" s="198"/>
      <c r="K91" s="198"/>
    </row>
    <row r="92" spans="1:11" ht="18.75" x14ac:dyDescent="0.3">
      <c r="B92" s="203" t="s">
        <v>422</v>
      </c>
    </row>
  </sheetData>
  <mergeCells count="5">
    <mergeCell ref="B15:K17"/>
    <mergeCell ref="B48:K48"/>
    <mergeCell ref="B54:K54"/>
    <mergeCell ref="B72:K72"/>
    <mergeCell ref="B78:K78"/>
  </mergeCells>
  <pageMargins left="0.7" right="0.7" top="0.75" bottom="0.75" header="0.3" footer="0.3"/>
  <pageSetup scale="65" orientation="portrait" horizontalDpi="1200" verticalDpi="12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96910-F3B7-449D-BFEB-3145D8D39E88}">
  <sheetPr>
    <pageSetUpPr fitToPage="1"/>
  </sheetPr>
  <dimension ref="A2:L83"/>
  <sheetViews>
    <sheetView showGridLines="0" zoomScale="80" zoomScaleNormal="80" workbookViewId="0">
      <selection activeCell="O86" sqref="O86"/>
    </sheetView>
  </sheetViews>
  <sheetFormatPr defaultRowHeight="15" x14ac:dyDescent="0.25"/>
  <cols>
    <col min="1" max="1" width="1.85546875" customWidth="1"/>
    <col min="2" max="2" width="42.7109375" customWidth="1"/>
    <col min="3" max="5" width="13" bestFit="1" customWidth="1"/>
    <col min="6" max="10" width="12.85546875" bestFit="1" customWidth="1"/>
    <col min="11" max="11" width="13" bestFit="1" customWidth="1"/>
  </cols>
  <sheetData>
    <row r="2" spans="2:11" x14ac:dyDescent="0.25">
      <c r="B2" s="152"/>
      <c r="C2" s="152"/>
      <c r="D2" s="152"/>
      <c r="E2" s="152"/>
      <c r="F2" s="152"/>
      <c r="G2" s="152"/>
      <c r="H2" s="152"/>
      <c r="I2" s="152"/>
      <c r="J2" s="152"/>
      <c r="K2" s="152"/>
    </row>
    <row r="7" spans="2:11" x14ac:dyDescent="0.25">
      <c r="B7" s="198"/>
      <c r="C7" s="198"/>
      <c r="D7" s="198"/>
      <c r="E7" s="198"/>
      <c r="F7" s="198"/>
      <c r="G7" s="198"/>
      <c r="H7" s="198"/>
      <c r="I7" s="198"/>
      <c r="J7" s="198"/>
      <c r="K7" s="198"/>
    </row>
    <row r="8" spans="2:11" ht="6" customHeight="1" x14ac:dyDescent="0.25"/>
    <row r="9" spans="2:11" x14ac:dyDescent="0.25">
      <c r="B9" s="197" t="s">
        <v>400</v>
      </c>
    </row>
    <row r="10" spans="2:11" ht="18.75" x14ac:dyDescent="0.25">
      <c r="B10" s="201" t="str">
        <f>CONCATENATE("INR"," - ",DCF!E49)</f>
        <v>INR - 11937</v>
      </c>
    </row>
    <row r="11" spans="2:11" x14ac:dyDescent="0.25">
      <c r="B11" t="s">
        <v>401</v>
      </c>
    </row>
    <row r="12" spans="2:11" x14ac:dyDescent="0.25">
      <c r="B12" t="s">
        <v>402</v>
      </c>
    </row>
    <row r="13" spans="2:11" ht="4.5" customHeight="1" x14ac:dyDescent="0.25">
      <c r="B13" s="198"/>
      <c r="C13" s="198"/>
      <c r="D13" s="198"/>
      <c r="E13" s="198"/>
      <c r="F13" s="198"/>
      <c r="G13" s="198"/>
      <c r="H13" s="198"/>
      <c r="I13" s="198"/>
      <c r="J13" s="198"/>
      <c r="K13" s="198"/>
    </row>
    <row r="14" spans="2:11" ht="18.75" x14ac:dyDescent="0.3">
      <c r="B14" s="202" t="s">
        <v>403</v>
      </c>
    </row>
    <row r="15" spans="2:11" ht="15" customHeight="1" x14ac:dyDescent="0.25">
      <c r="B15" s="324" t="s">
        <v>404</v>
      </c>
      <c r="C15" s="324"/>
      <c r="D15" s="324"/>
      <c r="E15" s="324"/>
      <c r="F15" s="324"/>
      <c r="G15" s="324"/>
      <c r="H15" s="324"/>
      <c r="I15" s="324"/>
      <c r="J15" s="324"/>
      <c r="K15" s="324"/>
    </row>
    <row r="16" spans="2:11" x14ac:dyDescent="0.25">
      <c r="B16" s="324"/>
      <c r="C16" s="324"/>
      <c r="D16" s="324"/>
      <c r="E16" s="324"/>
      <c r="F16" s="324"/>
      <c r="G16" s="324"/>
      <c r="H16" s="324"/>
      <c r="I16" s="324"/>
      <c r="J16" s="324"/>
      <c r="K16" s="324"/>
    </row>
    <row r="17" spans="2:11" x14ac:dyDescent="0.25">
      <c r="B17" s="324"/>
      <c r="C17" s="324"/>
      <c r="D17" s="324"/>
      <c r="E17" s="324"/>
      <c r="F17" s="324"/>
      <c r="G17" s="324"/>
      <c r="H17" s="324"/>
      <c r="I17" s="324"/>
      <c r="J17" s="324"/>
      <c r="K17" s="324"/>
    </row>
    <row r="18" spans="2:11" ht="4.5" customHeight="1" x14ac:dyDescent="0.25">
      <c r="B18" s="200"/>
      <c r="C18" s="200"/>
      <c r="D18" s="200"/>
      <c r="E18" s="200"/>
      <c r="F18" s="200"/>
      <c r="G18" s="200"/>
      <c r="H18" s="200"/>
      <c r="I18" s="200"/>
      <c r="J18" s="200"/>
      <c r="K18" s="200"/>
    </row>
    <row r="19" spans="2:11" ht="18.75" x14ac:dyDescent="0.3">
      <c r="B19" s="202" t="s">
        <v>1722</v>
      </c>
      <c r="C19" s="199"/>
      <c r="D19" s="199"/>
      <c r="E19" s="199"/>
      <c r="F19" s="199"/>
      <c r="G19" s="199"/>
      <c r="H19" s="199"/>
      <c r="I19" s="199"/>
      <c r="J19" s="199"/>
      <c r="K19" s="199"/>
    </row>
    <row r="31" spans="2:11" x14ac:dyDescent="0.25">
      <c r="C31" s="20"/>
    </row>
    <row r="33" spans="2:11" x14ac:dyDescent="0.25">
      <c r="C33" s="20"/>
    </row>
    <row r="41" spans="2:11" ht="18.75" x14ac:dyDescent="0.3">
      <c r="B41" s="203" t="s">
        <v>405</v>
      </c>
      <c r="C41" s="204"/>
      <c r="D41" s="204"/>
      <c r="E41" s="204"/>
      <c r="F41" s="204"/>
      <c r="G41" s="204"/>
      <c r="H41" s="204"/>
      <c r="I41" s="204"/>
      <c r="J41" s="204"/>
      <c r="K41" s="204"/>
    </row>
    <row r="50" spans="1:12" x14ac:dyDescent="0.25">
      <c r="A50" s="48" t="s">
        <v>56</v>
      </c>
      <c r="B50" s="322" t="s">
        <v>408</v>
      </c>
      <c r="C50" s="322"/>
      <c r="D50" s="322"/>
      <c r="E50" s="322"/>
      <c r="F50" s="322"/>
      <c r="G50" s="322"/>
      <c r="H50" s="322"/>
      <c r="I50" s="322"/>
      <c r="J50" s="322"/>
      <c r="K50" s="322"/>
    </row>
    <row r="51" spans="1:12" x14ac:dyDescent="0.25">
      <c r="B51" s="45"/>
      <c r="C51" s="47">
        <f>'Data Sheet'!C16</f>
        <v>42825</v>
      </c>
      <c r="D51" s="47">
        <f>'Data Sheet'!D16</f>
        <v>43190</v>
      </c>
      <c r="E51" s="47">
        <f>'Data Sheet'!E16</f>
        <v>43555</v>
      </c>
      <c r="F51" s="47">
        <f>'Data Sheet'!F16</f>
        <v>43921</v>
      </c>
      <c r="G51" s="47">
        <f>'Data Sheet'!G16</f>
        <v>44286</v>
      </c>
      <c r="H51" s="47">
        <f>'Data Sheet'!H16</f>
        <v>44651</v>
      </c>
      <c r="I51" s="47">
        <f>'Data Sheet'!I16</f>
        <v>45016</v>
      </c>
      <c r="J51" s="47">
        <f>'Data Sheet'!J16</f>
        <v>45382</v>
      </c>
      <c r="K51" s="47">
        <f>'Data Sheet'!K16</f>
        <v>45747</v>
      </c>
    </row>
    <row r="52" spans="1:12" x14ac:dyDescent="0.25">
      <c r="B52" t="s">
        <v>409</v>
      </c>
      <c r="C52" s="24">
        <f>IFERROR(Historical_FS!D78-Historical_FS!D64,0)</f>
        <v>-2936.2199999999993</v>
      </c>
      <c r="D52" s="24">
        <f>IFERROR(Historical_FS!E78-Historical_FS!E64,0)</f>
        <v>-5572.4199999999992</v>
      </c>
      <c r="E52" s="24">
        <f>IFERROR(Historical_FS!F78-Historical_FS!F64,0)</f>
        <v>-9812.0500000000011</v>
      </c>
      <c r="F52" s="24">
        <f>IFERROR(Historical_FS!G78-Historical_FS!G64,0)</f>
        <v>-10044.61</v>
      </c>
      <c r="G52" s="24">
        <f>IFERROR(Historical_FS!H78-Historical_FS!H64,0)</f>
        <v>-11685.029999999999</v>
      </c>
      <c r="H52" s="24">
        <f>IFERROR(Historical_FS!I78-Historical_FS!I64,0)</f>
        <v>-13050.999999999998</v>
      </c>
      <c r="I52" s="24">
        <f>IFERROR(Historical_FS!J78-Historical_FS!J64,0)</f>
        <v>-14369.679999999998</v>
      </c>
      <c r="J52" s="24">
        <f>IFERROR(Historical_FS!K78-Historical_FS!K64,0)</f>
        <v>-15775.57</v>
      </c>
      <c r="K52" s="24">
        <f>IFERROR(Historical_FS!L78-Historical_FS!L64,0)</f>
        <v>-21696.560000000001</v>
      </c>
    </row>
    <row r="53" spans="1:12" x14ac:dyDescent="0.25">
      <c r="B53" t="s">
        <v>75</v>
      </c>
      <c r="C53" s="24">
        <f>Historical_FS!D80</f>
        <v>42209.11</v>
      </c>
      <c r="D53" s="24">
        <f>Historical_FS!E80</f>
        <v>57141.090000000004</v>
      </c>
      <c r="E53" s="24">
        <f>Historical_FS!F80</f>
        <v>76525.37000000001</v>
      </c>
      <c r="F53" s="24">
        <f>Historical_FS!G80</f>
        <v>79213.81</v>
      </c>
      <c r="G53" s="24">
        <f>Historical_FS!H80</f>
        <v>86176.349999999991</v>
      </c>
      <c r="H53" s="24">
        <f>Historical_FS!I80</f>
        <v>83811.439999999988</v>
      </c>
      <c r="I53" s="24">
        <f>Historical_FS!J80</f>
        <v>91380.4</v>
      </c>
      <c r="J53" s="24">
        <f>Historical_FS!K80</f>
        <v>100797.11</v>
      </c>
      <c r="K53" s="24">
        <f>Historical_FS!L80</f>
        <v>133632.06</v>
      </c>
    </row>
    <row r="54" spans="1:12" x14ac:dyDescent="0.25">
      <c r="B54" s="99" t="s">
        <v>415</v>
      </c>
      <c r="C54" s="100">
        <f>IFERROR(C52/C53,"-")</f>
        <v>-6.9563655807952346E-2</v>
      </c>
      <c r="D54" s="100">
        <f t="shared" ref="D54:J54" si="0">IFERROR(D52/D53,"-")</f>
        <v>-9.7520365817312882E-2</v>
      </c>
      <c r="E54" s="100">
        <f t="shared" si="0"/>
        <v>-0.12821956953622046</v>
      </c>
      <c r="F54" s="100">
        <f t="shared" si="0"/>
        <v>-0.12680377323095557</v>
      </c>
      <c r="G54" s="100">
        <f t="shared" si="0"/>
        <v>-0.13559439451775343</v>
      </c>
      <c r="H54" s="100">
        <f t="shared" si="0"/>
        <v>-0.15571859879749114</v>
      </c>
      <c r="I54" s="100">
        <f t="shared" si="0"/>
        <v>-0.15725122674008868</v>
      </c>
      <c r="J54" s="100">
        <f t="shared" si="0"/>
        <v>-0.15650815782317568</v>
      </c>
      <c r="K54" s="100">
        <f>IFERROR(K52/K53,"-")</f>
        <v>-0.16236043955320303</v>
      </c>
    </row>
    <row r="56" spans="1:12" x14ac:dyDescent="0.25">
      <c r="B56" s="322" t="s">
        <v>410</v>
      </c>
      <c r="C56" s="322"/>
      <c r="D56" s="322"/>
      <c r="E56" s="322"/>
      <c r="F56" s="322"/>
      <c r="G56" s="322"/>
      <c r="H56" s="322"/>
      <c r="I56" s="322"/>
      <c r="J56" s="322"/>
      <c r="K56" s="322"/>
    </row>
    <row r="57" spans="1:12" x14ac:dyDescent="0.25">
      <c r="B57" s="45"/>
      <c r="C57" s="47">
        <f t="shared" ref="C57:J57" si="1">C51</f>
        <v>42825</v>
      </c>
      <c r="D57" s="47">
        <f t="shared" si="1"/>
        <v>43190</v>
      </c>
      <c r="E57" s="47">
        <f t="shared" si="1"/>
        <v>43555</v>
      </c>
      <c r="F57" s="47">
        <f t="shared" si="1"/>
        <v>43921</v>
      </c>
      <c r="G57" s="47">
        <f t="shared" si="1"/>
        <v>44286</v>
      </c>
      <c r="H57" s="47">
        <f t="shared" si="1"/>
        <v>44651</v>
      </c>
      <c r="I57" s="47">
        <f t="shared" si="1"/>
        <v>45016</v>
      </c>
      <c r="J57" s="47">
        <f t="shared" si="1"/>
        <v>45382</v>
      </c>
      <c r="K57" s="47">
        <f>K51</f>
        <v>45747</v>
      </c>
    </row>
    <row r="58" spans="1:12" x14ac:dyDescent="0.25">
      <c r="B58" t="s">
        <v>67</v>
      </c>
      <c r="C58" s="24">
        <f>Historical_FS!D57*Historical_FS!D45</f>
        <v>2438.9999999999968</v>
      </c>
      <c r="D58" s="24">
        <f>Historical_FS!E57*Historical_FS!E45</f>
        <v>1936.1200000000001</v>
      </c>
      <c r="E58" s="24">
        <f>Historical_FS!F57*Historical_FS!F45</f>
        <v>2084.5400000000054</v>
      </c>
      <c r="F58" s="24">
        <f>Historical_FS!G57*Historical_FS!G45</f>
        <v>5375.6599999999989</v>
      </c>
      <c r="G58" s="24">
        <f>Historical_FS!H57*Historical_FS!H45</f>
        <v>4393.8499999999958</v>
      </c>
      <c r="H58" s="24">
        <f>Historical_FS!I57*Historical_FS!I45</f>
        <v>6237.3099999999995</v>
      </c>
      <c r="I58" s="24">
        <f>Historical_FS!J57*Historical_FS!J45</f>
        <v>3976.3800000000028</v>
      </c>
      <c r="J58" s="24">
        <f>Historical_FS!K57*Historical_FS!K45</f>
        <v>4983.1300000000047</v>
      </c>
      <c r="K58" s="24">
        <f>Historical_FS!L57*Historical_FS!L45</f>
        <v>3755.870000000009</v>
      </c>
    </row>
    <row r="59" spans="1:12" x14ac:dyDescent="0.25">
      <c r="B59" t="s">
        <v>75</v>
      </c>
      <c r="C59" s="24">
        <f>C53</f>
        <v>42209.11</v>
      </c>
      <c r="D59" s="24">
        <f t="shared" ref="D59:K59" si="2">D53</f>
        <v>57141.090000000004</v>
      </c>
      <c r="E59" s="24">
        <f t="shared" si="2"/>
        <v>76525.37000000001</v>
      </c>
      <c r="F59" s="24">
        <f t="shared" si="2"/>
        <v>79213.81</v>
      </c>
      <c r="G59" s="24">
        <f t="shared" si="2"/>
        <v>86176.349999999991</v>
      </c>
      <c r="H59" s="24">
        <f t="shared" si="2"/>
        <v>83811.439999999988</v>
      </c>
      <c r="I59" s="24">
        <f t="shared" si="2"/>
        <v>91380.4</v>
      </c>
      <c r="J59" s="24">
        <f t="shared" si="2"/>
        <v>100797.11</v>
      </c>
      <c r="K59" s="24">
        <f t="shared" si="2"/>
        <v>133632.06</v>
      </c>
    </row>
    <row r="60" spans="1:12" x14ac:dyDescent="0.25">
      <c r="B60" s="99" t="s">
        <v>416</v>
      </c>
      <c r="C60" s="100">
        <f t="shared" ref="C60:J60" si="3">IFERROR(C58/C59,0)</f>
        <v>5.7783734364453478E-2</v>
      </c>
      <c r="D60" s="100">
        <f t="shared" si="3"/>
        <v>3.3883147836346841E-2</v>
      </c>
      <c r="E60" s="100">
        <f t="shared" si="3"/>
        <v>2.7239855227096651E-2</v>
      </c>
      <c r="F60" s="100">
        <f t="shared" si="3"/>
        <v>6.7862661826264881E-2</v>
      </c>
      <c r="G60" s="100">
        <f t="shared" si="3"/>
        <v>5.0986726636716412E-2</v>
      </c>
      <c r="H60" s="100">
        <f t="shared" si="3"/>
        <v>7.4420747334731391E-2</v>
      </c>
      <c r="I60" s="100">
        <f t="shared" si="3"/>
        <v>4.3514582995916005E-2</v>
      </c>
      <c r="J60" s="100">
        <f t="shared" si="3"/>
        <v>4.9437230888861837E-2</v>
      </c>
      <c r="K60" s="100">
        <f>IFERROR(K58/K59,0)</f>
        <v>2.8106054789546829E-2</v>
      </c>
    </row>
    <row r="62" spans="1:12" x14ac:dyDescent="0.25">
      <c r="B62" s="322" t="s">
        <v>411</v>
      </c>
      <c r="C62" s="322"/>
      <c r="D62" s="322"/>
      <c r="E62" s="322"/>
      <c r="F62" s="322"/>
      <c r="G62" s="322"/>
      <c r="H62" s="322"/>
      <c r="I62" s="322"/>
      <c r="J62" s="322"/>
      <c r="K62" s="322"/>
    </row>
    <row r="63" spans="1:12" x14ac:dyDescent="0.25">
      <c r="C63" s="205">
        <f>C57</f>
        <v>42825</v>
      </c>
      <c r="D63" s="205">
        <f t="shared" ref="D63:K63" si="4">D57</f>
        <v>43190</v>
      </c>
      <c r="E63" s="205">
        <f t="shared" si="4"/>
        <v>43555</v>
      </c>
      <c r="F63" s="205">
        <f t="shared" si="4"/>
        <v>43921</v>
      </c>
      <c r="G63" s="205">
        <f t="shared" si="4"/>
        <v>44286</v>
      </c>
      <c r="H63" s="205">
        <f t="shared" si="4"/>
        <v>44651</v>
      </c>
      <c r="I63" s="205">
        <f t="shared" si="4"/>
        <v>45016</v>
      </c>
      <c r="J63" s="205">
        <f t="shared" si="4"/>
        <v>45382</v>
      </c>
      <c r="K63" s="205">
        <f t="shared" si="4"/>
        <v>45747</v>
      </c>
    </row>
    <row r="64" spans="1:12" x14ac:dyDescent="0.25">
      <c r="B64" t="s">
        <v>99</v>
      </c>
      <c r="C64" s="24">
        <f>Historical_FS!D33</f>
        <v>4512.1499999999969</v>
      </c>
      <c r="D64" s="24">
        <f>Historical_FS!E33</f>
        <v>4539.07</v>
      </c>
      <c r="E64" s="24">
        <f>Historical_FS!F33</f>
        <v>5246.3100000000049</v>
      </c>
      <c r="F64" s="24">
        <f>Historical_FS!G33</f>
        <v>7174.369999999999</v>
      </c>
      <c r="G64" s="24">
        <f>Historical_FS!H33</f>
        <v>9486.1999999999953</v>
      </c>
      <c r="H64" s="24">
        <f>Historical_FS!I33</f>
        <v>9469.0300000000007</v>
      </c>
      <c r="I64" s="24">
        <f>Historical_FS!J33</f>
        <v>8238.970000000003</v>
      </c>
      <c r="J64" s="24">
        <f>Historical_FS!K33</f>
        <v>10390.220000000005</v>
      </c>
      <c r="K64" s="24">
        <f>Historical_FS!L33</f>
        <v>9178.6700000000092</v>
      </c>
      <c r="L64" s="24"/>
    </row>
    <row r="65" spans="1:11" x14ac:dyDescent="0.25">
      <c r="B65" t="s">
        <v>75</v>
      </c>
      <c r="C65" s="24">
        <f>C59</f>
        <v>42209.11</v>
      </c>
      <c r="D65" s="24">
        <f t="shared" ref="D65:K65" si="5">D59</f>
        <v>57141.090000000004</v>
      </c>
      <c r="E65" s="24">
        <f t="shared" si="5"/>
        <v>76525.37000000001</v>
      </c>
      <c r="F65" s="24">
        <f t="shared" si="5"/>
        <v>79213.81</v>
      </c>
      <c r="G65" s="24">
        <f t="shared" si="5"/>
        <v>86176.349999999991</v>
      </c>
      <c r="H65" s="24">
        <f t="shared" si="5"/>
        <v>83811.439999999988</v>
      </c>
      <c r="I65" s="24">
        <f t="shared" si="5"/>
        <v>91380.4</v>
      </c>
      <c r="J65" s="24">
        <f t="shared" si="5"/>
        <v>100797.11</v>
      </c>
      <c r="K65" s="24">
        <f t="shared" si="5"/>
        <v>133632.06</v>
      </c>
    </row>
    <row r="66" spans="1:11" x14ac:dyDescent="0.25">
      <c r="B66" s="99" t="s">
        <v>417</v>
      </c>
      <c r="C66" s="100">
        <f>IFERROR(C64/C65,0)</f>
        <v>0.10689990857423899</v>
      </c>
      <c r="D66" s="100">
        <f t="shared" ref="D66:J66" si="6">IFERROR(D64/D65,0)</f>
        <v>7.9436181563914854E-2</v>
      </c>
      <c r="E66" s="100">
        <f t="shared" si="6"/>
        <v>6.8556480027473304E-2</v>
      </c>
      <c r="F66" s="100">
        <f t="shared" si="6"/>
        <v>9.0569687280538574E-2</v>
      </c>
      <c r="G66" s="100">
        <f t="shared" si="6"/>
        <v>0.1100789253664143</v>
      </c>
      <c r="H66" s="100">
        <f t="shared" si="6"/>
        <v>0.11298016118086029</v>
      </c>
      <c r="I66" s="100">
        <f t="shared" si="6"/>
        <v>9.0161238077312023E-2</v>
      </c>
      <c r="J66" s="100">
        <f t="shared" si="6"/>
        <v>0.10308053474945864</v>
      </c>
      <c r="K66" s="100">
        <f>IFERROR(K64/K65,0)</f>
        <v>6.8686137144035708E-2</v>
      </c>
    </row>
    <row r="68" spans="1:11" x14ac:dyDescent="0.25">
      <c r="B68" s="322" t="s">
        <v>412</v>
      </c>
      <c r="C68" s="322"/>
      <c r="D68" s="322"/>
      <c r="E68" s="322"/>
      <c r="F68" s="322"/>
      <c r="G68" s="322"/>
      <c r="H68" s="322"/>
      <c r="I68" s="322"/>
      <c r="J68" s="322"/>
      <c r="K68" s="322"/>
    </row>
    <row r="69" spans="1:11" x14ac:dyDescent="0.25">
      <c r="C69" s="205">
        <f>C63</f>
        <v>42825</v>
      </c>
      <c r="D69" s="205">
        <f t="shared" ref="D69:K69" si="7">D63</f>
        <v>43190</v>
      </c>
      <c r="E69" s="205">
        <f t="shared" si="7"/>
        <v>43555</v>
      </c>
      <c r="F69" s="205">
        <f t="shared" si="7"/>
        <v>43921</v>
      </c>
      <c r="G69" s="205">
        <f t="shared" si="7"/>
        <v>44286</v>
      </c>
      <c r="H69" s="205">
        <f t="shared" si="7"/>
        <v>44651</v>
      </c>
      <c r="I69" s="205">
        <f t="shared" si="7"/>
        <v>45016</v>
      </c>
      <c r="J69" s="205">
        <f t="shared" si="7"/>
        <v>45382</v>
      </c>
      <c r="K69" s="205">
        <f t="shared" si="7"/>
        <v>45747</v>
      </c>
    </row>
    <row r="70" spans="1:11" x14ac:dyDescent="0.25">
      <c r="B70" t="s">
        <v>351</v>
      </c>
      <c r="C70" s="24">
        <f>('Data Sheet'!C70*'Data Sheet'!C90)/10000000</f>
        <v>109384.53784335</v>
      </c>
      <c r="D70" s="24">
        <f>('Data Sheet'!D70*'Data Sheet'!D90)/10000000</f>
        <v>108472.52407499999</v>
      </c>
      <c r="E70" s="24">
        <f>('Data Sheet'!E70*'Data Sheet'!E90)/10000000</f>
        <v>109811.7719512</v>
      </c>
      <c r="F70" s="24">
        <f>('Data Sheet'!F70*'Data Sheet'!F90)/10000000</f>
        <v>93654.517195925</v>
      </c>
      <c r="G70" s="24">
        <f>('Data Sheet'!G70*'Data Sheet'!G90)/10000000</f>
        <v>194493.21630540999</v>
      </c>
      <c r="H70" s="24">
        <f>('Data Sheet'!H70*'Data Sheet'!H90)/10000000</f>
        <v>190589.15331481001</v>
      </c>
      <c r="I70" s="24">
        <f>('Data Sheet'!I70*'Data Sheet'!I90)/10000000</f>
        <v>220041.062454175</v>
      </c>
      <c r="J70" s="24">
        <f>('Data Sheet'!J70*'Data Sheet'!J90)/10000000</f>
        <v>281444.648035675</v>
      </c>
      <c r="K70" s="24">
        <f>('Data Sheet'!K70*'Data Sheet'!K90)/10000000</f>
        <v>339160.43842655001</v>
      </c>
    </row>
    <row r="71" spans="1:11" x14ac:dyDescent="0.25">
      <c r="B71" t="s">
        <v>413</v>
      </c>
      <c r="C71" s="24">
        <f>'Data Sheet'!C59</f>
        <v>8474.49</v>
      </c>
      <c r="D71" s="24">
        <f>'Data Sheet'!D59</f>
        <v>19480.22</v>
      </c>
      <c r="E71" s="24">
        <f>'Data Sheet'!E59</f>
        <v>25337</v>
      </c>
      <c r="F71" s="24">
        <f>'Data Sheet'!F59</f>
        <v>23018.959999999999</v>
      </c>
      <c r="G71" s="24">
        <f>'Data Sheet'!G59</f>
        <v>21719.39</v>
      </c>
      <c r="H71" s="24">
        <f>'Data Sheet'!H59</f>
        <v>11298.8</v>
      </c>
      <c r="I71" s="24">
        <f>'Data Sheet'!I59</f>
        <v>11057.74</v>
      </c>
      <c r="J71" s="24">
        <f>'Data Sheet'!J59</f>
        <v>11402.95</v>
      </c>
      <c r="K71" s="24">
        <f>'Data Sheet'!K59</f>
        <v>24102.18</v>
      </c>
    </row>
    <row r="72" spans="1:11" x14ac:dyDescent="0.25">
      <c r="B72" s="99" t="s">
        <v>418</v>
      </c>
      <c r="C72" s="100">
        <f>IFERROR(C70/C71,0)</f>
        <v>12.907506863935176</v>
      </c>
      <c r="D72" s="100">
        <f t="shared" ref="D72:J72" si="8">IFERROR(D70/D71,0)</f>
        <v>5.5683418398252167</v>
      </c>
      <c r="E72" s="100">
        <f t="shared" si="8"/>
        <v>4.3340479121916564</v>
      </c>
      <c r="F72" s="100">
        <f t="shared" si="8"/>
        <v>4.0685816038572113</v>
      </c>
      <c r="G72" s="100">
        <f t="shared" si="8"/>
        <v>8.9548194634108054</v>
      </c>
      <c r="H72" s="100">
        <f t="shared" si="8"/>
        <v>16.868088054909371</v>
      </c>
      <c r="I72" s="100">
        <f t="shared" si="8"/>
        <v>19.899279821570683</v>
      </c>
      <c r="J72" s="100">
        <f t="shared" si="8"/>
        <v>24.681740079161532</v>
      </c>
      <c r="K72" s="100">
        <f>IFERROR(K70/K71,0)</f>
        <v>14.071774355122649</v>
      </c>
    </row>
    <row r="74" spans="1:11" x14ac:dyDescent="0.25">
      <c r="B74" s="322" t="s">
        <v>414</v>
      </c>
      <c r="C74" s="322"/>
      <c r="D74" s="322"/>
      <c r="E74" s="322"/>
      <c r="F74" s="322"/>
      <c r="G74" s="322"/>
      <c r="H74" s="322"/>
      <c r="I74" s="322"/>
      <c r="J74" s="322"/>
      <c r="K74" s="322"/>
    </row>
    <row r="75" spans="1:11" x14ac:dyDescent="0.25">
      <c r="C75" s="205">
        <f>C69</f>
        <v>42825</v>
      </c>
      <c r="D75" s="205">
        <f t="shared" ref="D75:K75" si="9">D69</f>
        <v>43190</v>
      </c>
      <c r="E75" s="205">
        <f t="shared" si="9"/>
        <v>43555</v>
      </c>
      <c r="F75" s="205">
        <f t="shared" si="9"/>
        <v>43921</v>
      </c>
      <c r="G75" s="205">
        <f t="shared" si="9"/>
        <v>44286</v>
      </c>
      <c r="H75" s="205">
        <f t="shared" si="9"/>
        <v>44651</v>
      </c>
      <c r="I75" s="205">
        <f t="shared" si="9"/>
        <v>45016</v>
      </c>
      <c r="J75" s="205">
        <f t="shared" si="9"/>
        <v>45382</v>
      </c>
      <c r="K75" s="205">
        <f t="shared" si="9"/>
        <v>45747</v>
      </c>
    </row>
    <row r="76" spans="1:11" x14ac:dyDescent="0.25">
      <c r="B76" t="s">
        <v>1</v>
      </c>
      <c r="C76" s="24">
        <f>'Data Sheet'!C17</f>
        <v>25374.94</v>
      </c>
      <c r="D76" s="24">
        <f>'Data Sheet'!D17</f>
        <v>30978.62</v>
      </c>
      <c r="E76" s="24">
        <f>'Data Sheet'!E17</f>
        <v>41462.26</v>
      </c>
      <c r="F76" s="24">
        <f>'Data Sheet'!F17</f>
        <v>42429.89</v>
      </c>
      <c r="G76" s="24">
        <f>'Data Sheet'!G17</f>
        <v>44725.8</v>
      </c>
      <c r="H76" s="24">
        <f>'Data Sheet'!H17</f>
        <v>52598.83</v>
      </c>
      <c r="I76" s="24">
        <f>'Data Sheet'!I17</f>
        <v>63239.98</v>
      </c>
      <c r="J76" s="24">
        <f>'Data Sheet'!J17</f>
        <v>70908.14</v>
      </c>
      <c r="K76" s="24">
        <f>'Data Sheet'!K17</f>
        <v>75955.13</v>
      </c>
    </row>
    <row r="77" spans="1:11" x14ac:dyDescent="0.25">
      <c r="B77" t="s">
        <v>75</v>
      </c>
      <c r="C77" s="24">
        <f>C65</f>
        <v>42209.11</v>
      </c>
      <c r="D77" s="24">
        <f t="shared" ref="D77:K77" si="10">D65</f>
        <v>57141.090000000004</v>
      </c>
      <c r="E77" s="24">
        <f t="shared" si="10"/>
        <v>76525.37000000001</v>
      </c>
      <c r="F77" s="24">
        <f t="shared" si="10"/>
        <v>79213.81</v>
      </c>
      <c r="G77" s="24">
        <f t="shared" si="10"/>
        <v>86176.349999999991</v>
      </c>
      <c r="H77" s="24">
        <f t="shared" si="10"/>
        <v>83811.439999999988</v>
      </c>
      <c r="I77" s="24">
        <f t="shared" si="10"/>
        <v>91380.4</v>
      </c>
      <c r="J77" s="24">
        <f t="shared" si="10"/>
        <v>100797.11</v>
      </c>
      <c r="K77" s="24">
        <f t="shared" si="10"/>
        <v>133632.06</v>
      </c>
    </row>
    <row r="78" spans="1:11" x14ac:dyDescent="0.25">
      <c r="B78" s="99" t="s">
        <v>419</v>
      </c>
      <c r="C78" s="100">
        <f>IFERROR(C76/C77,0)</f>
        <v>0.60117211663548453</v>
      </c>
      <c r="D78" s="100">
        <f t="shared" ref="D78:J78" si="11">IFERROR(D76/D77,0)</f>
        <v>0.54214261576039235</v>
      </c>
      <c r="E78" s="100">
        <f t="shared" si="11"/>
        <v>0.54181064397336465</v>
      </c>
      <c r="F78" s="100">
        <f t="shared" si="11"/>
        <v>0.53563753592965668</v>
      </c>
      <c r="G78" s="100">
        <f t="shared" si="11"/>
        <v>0.51900318358807274</v>
      </c>
      <c r="H78" s="100">
        <f t="shared" si="11"/>
        <v>0.62758532725365423</v>
      </c>
      <c r="I78" s="100">
        <f t="shared" si="11"/>
        <v>0.69205190609802547</v>
      </c>
      <c r="J78" s="100">
        <f t="shared" si="11"/>
        <v>0.70347393888574783</v>
      </c>
      <c r="K78" s="100">
        <f>IFERROR(K76/K77,0)</f>
        <v>0.56839002556721796</v>
      </c>
    </row>
    <row r="80" spans="1:11" x14ac:dyDescent="0.25">
      <c r="A80" s="48" t="s">
        <v>56</v>
      </c>
      <c r="B80" s="322" t="s">
        <v>407</v>
      </c>
      <c r="C80" s="322"/>
      <c r="D80" s="322"/>
      <c r="E80" s="322"/>
      <c r="F80" s="322"/>
      <c r="G80" s="322"/>
      <c r="H80" s="322"/>
      <c r="I80" s="322"/>
      <c r="J80" s="322"/>
      <c r="K80" s="322"/>
    </row>
    <row r="81" spans="2:11" x14ac:dyDescent="0.25">
      <c r="B81" s="45"/>
      <c r="C81" s="47">
        <f t="shared" ref="C81:K81" si="12">C51</f>
        <v>42825</v>
      </c>
      <c r="D81" s="47">
        <f t="shared" si="12"/>
        <v>43190</v>
      </c>
      <c r="E81" s="47">
        <f t="shared" si="12"/>
        <v>43555</v>
      </c>
      <c r="F81" s="47">
        <f t="shared" si="12"/>
        <v>43921</v>
      </c>
      <c r="G81" s="47">
        <f t="shared" si="12"/>
        <v>44286</v>
      </c>
      <c r="H81" s="47">
        <f t="shared" si="12"/>
        <v>44651</v>
      </c>
      <c r="I81" s="47">
        <f t="shared" si="12"/>
        <v>45016</v>
      </c>
      <c r="J81" s="47">
        <f t="shared" si="12"/>
        <v>45382</v>
      </c>
      <c r="K81" s="47">
        <f t="shared" si="12"/>
        <v>45747</v>
      </c>
    </row>
    <row r="82" spans="2:11" x14ac:dyDescent="0.25">
      <c r="B82" s="206" t="s">
        <v>420</v>
      </c>
      <c r="C82" s="207">
        <f>(C54*1.2)+(C60*1.4)+(C66*3.3)+(C72*0.6)+(C78*1)</f>
        <v>8.6958667744322717</v>
      </c>
      <c r="D82" s="207">
        <f t="shared" ref="D82:K82" si="13">(D54*1.2)+(D60*1.4)+(D66*3.3)+(D72*0.6)+(D78*1)</f>
        <v>4.0756990868065515</v>
      </c>
      <c r="E82" s="207">
        <f t="shared" si="13"/>
        <v>3.2527480892534912</v>
      </c>
      <c r="F82" s="207">
        <f t="shared" si="13"/>
        <v>3.2185096649493845</v>
      </c>
      <c r="G82" s="207">
        <f t="shared" si="13"/>
        <v>6.1638234592138215</v>
      </c>
      <c r="H82" s="207">
        <f t="shared" si="13"/>
        <v>11.038599419807749</v>
      </c>
      <c r="I82" s="207">
        <f t="shared" si="13"/>
        <v>12.801370828801742</v>
      </c>
      <c r="J82" s="207">
        <f t="shared" si="13"/>
        <v>15.734086084912477</v>
      </c>
      <c r="K82" s="207">
        <f t="shared" si="13"/>
        <v>9.0826348404576489</v>
      </c>
    </row>
    <row r="83" spans="2:11" x14ac:dyDescent="0.25">
      <c r="B83" s="209" t="s">
        <v>421</v>
      </c>
      <c r="C83" s="208" t="str">
        <f>IF(C82&lt;1.81,"Distressed",IF(C82&gt;3,"Strong","Grey Zone"))</f>
        <v>Strong</v>
      </c>
      <c r="D83" s="208" t="str">
        <f t="shared" ref="D83:K83" si="14">IF(D82&lt;1.81,"Distressed",IF(D82&gt;3,"Strong","Grey Zone"))</f>
        <v>Strong</v>
      </c>
      <c r="E83" s="208" t="str">
        <f t="shared" si="14"/>
        <v>Strong</v>
      </c>
      <c r="F83" s="208" t="str">
        <f t="shared" si="14"/>
        <v>Strong</v>
      </c>
      <c r="G83" s="208" t="str">
        <f t="shared" si="14"/>
        <v>Strong</v>
      </c>
      <c r="H83" s="208" t="str">
        <f t="shared" si="14"/>
        <v>Strong</v>
      </c>
      <c r="I83" s="208" t="str">
        <f t="shared" si="14"/>
        <v>Strong</v>
      </c>
      <c r="J83" s="208" t="str">
        <f t="shared" si="14"/>
        <v>Strong</v>
      </c>
      <c r="K83" s="208" t="str">
        <f t="shared" si="14"/>
        <v>Strong</v>
      </c>
    </row>
  </sheetData>
  <mergeCells count="7">
    <mergeCell ref="B15:K17"/>
    <mergeCell ref="B50:K50"/>
    <mergeCell ref="B56:K56"/>
    <mergeCell ref="B80:K80"/>
    <mergeCell ref="B62:K62"/>
    <mergeCell ref="B68:K68"/>
    <mergeCell ref="B74:K74"/>
  </mergeCells>
  <pageMargins left="0.7" right="0.7" top="0.75" bottom="0.75" header="0.3" footer="0.3"/>
  <pageSetup scale="65" orientation="portrait" horizontalDpi="1200" verticalDpi="1200" r:id="rId1"/>
  <ignoredErrors>
    <ignoredError sqref="C58:K58 B64:K64" formula="1"/>
  </ignoredError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DBF1A-D8ED-4D76-B3EE-3F89E1F0D000}">
  <dimension ref="B2:K56"/>
  <sheetViews>
    <sheetView showGridLines="0" tabSelected="1" zoomScale="80" zoomScaleNormal="80" workbookViewId="0">
      <selection activeCell="A69" sqref="A69"/>
    </sheetView>
  </sheetViews>
  <sheetFormatPr defaultRowHeight="15" x14ac:dyDescent="0.25"/>
  <cols>
    <col min="1" max="1" width="1.85546875" customWidth="1"/>
    <col min="2" max="2" width="29" customWidth="1"/>
    <col min="3" max="11" width="12.7109375" customWidth="1"/>
  </cols>
  <sheetData>
    <row r="2" spans="2:11" x14ac:dyDescent="0.25">
      <c r="B2" s="152"/>
      <c r="C2" s="152"/>
      <c r="D2" s="152"/>
      <c r="E2" s="152"/>
      <c r="F2" s="152"/>
      <c r="G2" s="152"/>
      <c r="H2" s="152"/>
      <c r="I2" s="152"/>
      <c r="J2" s="152"/>
      <c r="K2" s="152"/>
    </row>
    <row r="7" spans="2:11" x14ac:dyDescent="0.25">
      <c r="B7" s="198"/>
      <c r="C7" s="198"/>
      <c r="D7" s="198"/>
      <c r="E7" s="198"/>
      <c r="F7" s="198"/>
      <c r="G7" s="198"/>
      <c r="H7" s="198"/>
      <c r="I7" s="198"/>
      <c r="J7" s="198"/>
      <c r="K7" s="198"/>
    </row>
    <row r="9" spans="2:11" ht="18.75" x14ac:dyDescent="0.3">
      <c r="B9" s="325" t="s">
        <v>461</v>
      </c>
      <c r="C9" s="325"/>
      <c r="D9" s="325"/>
      <c r="E9" s="325"/>
      <c r="F9" s="325"/>
      <c r="G9" s="325"/>
      <c r="H9" s="325"/>
      <c r="I9" s="325"/>
      <c r="J9" s="325"/>
      <c r="K9" s="325"/>
    </row>
    <row r="11" spans="2:11" x14ac:dyDescent="0.25">
      <c r="B11" s="53" t="s">
        <v>462</v>
      </c>
      <c r="C11" s="51"/>
      <c r="D11" s="51"/>
      <c r="E11" s="51"/>
      <c r="F11" s="51"/>
      <c r="G11" s="51"/>
      <c r="H11" s="51"/>
      <c r="I11" s="51"/>
      <c r="J11" s="51"/>
      <c r="K11" s="51"/>
    </row>
    <row r="30" spans="2:11" x14ac:dyDescent="0.25">
      <c r="B30" s="53" t="s">
        <v>463</v>
      </c>
      <c r="C30" s="51"/>
      <c r="D30" s="51"/>
      <c r="E30" s="51"/>
      <c r="F30" s="51"/>
      <c r="G30" s="51"/>
      <c r="H30" s="51"/>
      <c r="I30" s="51"/>
      <c r="J30" s="51"/>
      <c r="K30" s="51"/>
    </row>
    <row r="31" spans="2:11" x14ac:dyDescent="0.25">
      <c r="B31" s="69"/>
      <c r="C31" s="27"/>
      <c r="D31" s="27"/>
      <c r="E31" s="27"/>
      <c r="F31" s="27"/>
      <c r="G31" s="27"/>
      <c r="H31" s="27"/>
      <c r="I31" s="27"/>
      <c r="J31" s="27"/>
      <c r="K31" s="27"/>
    </row>
    <row r="32" spans="2:11" x14ac:dyDescent="0.25">
      <c r="B32" s="294" t="s">
        <v>1743</v>
      </c>
      <c r="C32" s="27"/>
      <c r="D32" s="300">
        <f>DCF!E40</f>
        <v>67397.823048921971</v>
      </c>
      <c r="E32" s="27"/>
      <c r="F32" s="27"/>
      <c r="G32" s="27"/>
      <c r="H32" s="27"/>
      <c r="I32" s="27"/>
      <c r="J32" s="27"/>
      <c r="K32" s="27"/>
    </row>
    <row r="33" spans="2:11" x14ac:dyDescent="0.25">
      <c r="B33" s="294" t="s">
        <v>1744</v>
      </c>
      <c r="C33" s="27"/>
      <c r="D33" s="300">
        <f>DCF!E47</f>
        <v>1561.1671303916703</v>
      </c>
      <c r="E33" s="27"/>
      <c r="F33" s="27"/>
      <c r="G33" s="27"/>
      <c r="H33" s="27"/>
      <c r="I33" s="27"/>
      <c r="J33" s="27"/>
      <c r="K33" s="27"/>
    </row>
    <row r="34" spans="2:11" x14ac:dyDescent="0.25">
      <c r="B34" s="294" t="s">
        <v>1745</v>
      </c>
      <c r="C34" s="27"/>
      <c r="D34" s="298">
        <f>WACC!J48</f>
        <v>0.12703209894758255</v>
      </c>
      <c r="E34" s="299"/>
      <c r="F34" s="27"/>
      <c r="G34" s="27"/>
      <c r="H34" s="27"/>
      <c r="I34" s="27"/>
      <c r="J34" s="27"/>
      <c r="K34" s="27"/>
    </row>
    <row r="35" spans="2:11" x14ac:dyDescent="0.25">
      <c r="B35" s="294" t="s">
        <v>1747</v>
      </c>
      <c r="C35" s="27"/>
      <c r="D35" s="301">
        <f>DCF!E50</f>
        <v>7.6462024901877159</v>
      </c>
      <c r="E35" s="299"/>
      <c r="F35" s="27"/>
      <c r="G35" s="27"/>
      <c r="H35" s="27"/>
      <c r="I35" s="27"/>
      <c r="J35" s="27"/>
      <c r="K35" s="27"/>
    </row>
    <row r="36" spans="2:11" ht="5.25" customHeight="1" x14ac:dyDescent="0.25">
      <c r="B36" s="20"/>
    </row>
    <row r="37" spans="2:11" x14ac:dyDescent="0.25">
      <c r="B37" s="292" t="s">
        <v>1746</v>
      </c>
    </row>
    <row r="39" spans="2:11" x14ac:dyDescent="0.25">
      <c r="B39" s="53" t="s">
        <v>1723</v>
      </c>
      <c r="C39" s="51"/>
      <c r="D39" s="51"/>
      <c r="E39" s="51"/>
      <c r="F39" s="51"/>
      <c r="G39" s="51"/>
      <c r="H39" s="51"/>
      <c r="I39" s="51"/>
      <c r="J39" s="51"/>
      <c r="K39" s="51"/>
    </row>
    <row r="41" spans="2:11" x14ac:dyDescent="0.25">
      <c r="B41" s="293" t="s">
        <v>1732</v>
      </c>
    </row>
    <row r="42" spans="2:11" x14ac:dyDescent="0.25">
      <c r="B42" s="293" t="s">
        <v>1733</v>
      </c>
    </row>
    <row r="43" spans="2:11" x14ac:dyDescent="0.25">
      <c r="B43" s="293" t="s">
        <v>1734</v>
      </c>
    </row>
    <row r="44" spans="2:11" ht="4.5" customHeight="1" x14ac:dyDescent="0.25"/>
    <row r="45" spans="2:11" x14ac:dyDescent="0.25">
      <c r="B45" s="178" t="s">
        <v>1724</v>
      </c>
    </row>
    <row r="47" spans="2:11" x14ac:dyDescent="0.25">
      <c r="B47" s="53" t="s">
        <v>1725</v>
      </c>
      <c r="C47" s="51"/>
      <c r="D47" s="51"/>
      <c r="E47" s="51"/>
      <c r="F47" s="51"/>
      <c r="G47" s="51"/>
      <c r="H47" s="51"/>
      <c r="I47" s="51"/>
      <c r="J47" s="51"/>
      <c r="K47" s="51"/>
    </row>
    <row r="48" spans="2:11" ht="4.5" customHeight="1" x14ac:dyDescent="0.25">
      <c r="B48" s="69"/>
      <c r="C48" s="27"/>
      <c r="D48" s="27"/>
      <c r="E48" s="27"/>
      <c r="F48" s="27"/>
      <c r="G48" s="27"/>
      <c r="H48" s="27"/>
      <c r="I48" s="27"/>
      <c r="J48" s="27"/>
      <c r="K48" s="27"/>
    </row>
    <row r="49" spans="2:11" x14ac:dyDescent="0.25">
      <c r="B49" s="178" t="s">
        <v>1726</v>
      </c>
    </row>
    <row r="50" spans="2:11" x14ac:dyDescent="0.25">
      <c r="B50" s="178" t="s">
        <v>1727</v>
      </c>
    </row>
    <row r="51" spans="2:11" x14ac:dyDescent="0.25">
      <c r="B51" s="178" t="s">
        <v>1729</v>
      </c>
    </row>
    <row r="52" spans="2:11" x14ac:dyDescent="0.25">
      <c r="B52" s="178" t="s">
        <v>1728</v>
      </c>
    </row>
    <row r="53" spans="2:11" x14ac:dyDescent="0.25">
      <c r="B53" s="178" t="s">
        <v>1730</v>
      </c>
    </row>
    <row r="54" spans="2:11" x14ac:dyDescent="0.25">
      <c r="B54" s="178" t="s">
        <v>1737</v>
      </c>
    </row>
    <row r="56" spans="2:11" x14ac:dyDescent="0.25">
      <c r="B56" s="53" t="s">
        <v>1731</v>
      </c>
      <c r="C56" s="51"/>
      <c r="D56" s="51"/>
      <c r="E56" s="51"/>
      <c r="F56" s="51"/>
      <c r="G56" s="51"/>
      <c r="H56" s="51"/>
      <c r="I56" s="51"/>
      <c r="J56" s="51"/>
      <c r="K56" s="51"/>
    </row>
  </sheetData>
  <mergeCells count="1">
    <mergeCell ref="B9:K9"/>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2060"/>
  </sheetPr>
  <dimension ref="A1:K93"/>
  <sheetViews>
    <sheetView zoomScale="80" zoomScaleNormal="80" zoomScalePageLayoutView="120" workbookViewId="0">
      <pane xSplit="1" ySplit="1" topLeftCell="B4" activePane="bottomRight" state="frozen"/>
      <selection activeCell="C4" sqref="C4"/>
      <selection pane="topRight" activeCell="C4" sqref="C4"/>
      <selection pane="bottomLeft" activeCell="C4" sqref="C4"/>
      <selection pane="bottomRight" activeCell="K27" sqref="K27"/>
    </sheetView>
  </sheetViews>
  <sheetFormatPr defaultColWidth="8.85546875" defaultRowHeight="15" x14ac:dyDescent="0.25"/>
  <cols>
    <col min="1" max="1" width="27.7109375" style="2" bestFit="1" customWidth="1"/>
    <col min="2" max="11" width="13.42578125" style="2" bestFit="1" customWidth="1"/>
    <col min="12" max="16384" width="8.85546875" style="2"/>
  </cols>
  <sheetData>
    <row r="1" spans="1:11" s="1" customFormat="1" x14ac:dyDescent="0.25">
      <c r="A1" s="1" t="s">
        <v>0</v>
      </c>
      <c r="B1" s="1" t="s">
        <v>32</v>
      </c>
      <c r="E1" s="326" t="str">
        <f>IF(B2&lt;&gt;B3, "A NEW VERSION OF THE WORKSHEET IS AVAILABLE", "")</f>
        <v/>
      </c>
      <c r="F1" s="326"/>
      <c r="G1" s="326"/>
      <c r="H1" s="326"/>
      <c r="I1" s="326"/>
      <c r="J1" s="326"/>
      <c r="K1" s="326"/>
    </row>
    <row r="2" spans="1:11" x14ac:dyDescent="0.25">
      <c r="A2" s="1" t="s">
        <v>30</v>
      </c>
      <c r="B2" s="2">
        <v>2.1</v>
      </c>
      <c r="E2" s="327" t="s">
        <v>21</v>
      </c>
      <c r="F2" s="327"/>
      <c r="G2" s="327"/>
      <c r="H2" s="327"/>
      <c r="I2" s="327"/>
      <c r="J2" s="327"/>
      <c r="K2" s="327"/>
    </row>
    <row r="3" spans="1:11" x14ac:dyDescent="0.25">
      <c r="A3" s="1" t="s">
        <v>31</v>
      </c>
      <c r="B3" s="2">
        <v>2.1</v>
      </c>
    </row>
    <row r="4" spans="1:11" x14ac:dyDescent="0.25">
      <c r="A4" s="1"/>
    </row>
    <row r="5" spans="1:11" x14ac:dyDescent="0.25">
      <c r="A5" s="1" t="s">
        <v>33</v>
      </c>
    </row>
    <row r="6" spans="1:11" x14ac:dyDescent="0.25">
      <c r="A6" s="2" t="s">
        <v>27</v>
      </c>
      <c r="B6" s="2">
        <f>IF(B9&gt;0, B9/B8, 0)</f>
        <v>29.490848322800193</v>
      </c>
    </row>
    <row r="7" spans="1:11" x14ac:dyDescent="0.25">
      <c r="A7" s="2" t="s">
        <v>16</v>
      </c>
      <c r="B7">
        <v>10</v>
      </c>
    </row>
    <row r="8" spans="1:11" x14ac:dyDescent="0.25">
      <c r="A8" s="2" t="s">
        <v>28</v>
      </c>
      <c r="B8">
        <v>12342</v>
      </c>
    </row>
    <row r="9" spans="1:11" x14ac:dyDescent="0.25">
      <c r="A9" s="2" t="s">
        <v>43</v>
      </c>
      <c r="B9">
        <v>363976.05</v>
      </c>
    </row>
    <row r="15" spans="1:11" x14ac:dyDescent="0.25">
      <c r="A15" s="1" t="s">
        <v>22</v>
      </c>
    </row>
    <row r="16" spans="1:11" s="6" customFormat="1" x14ac:dyDescent="0.25">
      <c r="A16" s="5" t="s">
        <v>23</v>
      </c>
      <c r="B16" s="4">
        <v>42460</v>
      </c>
      <c r="C16" s="4">
        <v>42825</v>
      </c>
      <c r="D16" s="4">
        <v>43190</v>
      </c>
      <c r="E16" s="4">
        <v>43555</v>
      </c>
      <c r="F16" s="4">
        <v>43921</v>
      </c>
      <c r="G16" s="4">
        <v>44286</v>
      </c>
      <c r="H16" s="4">
        <v>44651</v>
      </c>
      <c r="I16" s="4">
        <v>45016</v>
      </c>
      <c r="J16" s="4">
        <v>45382</v>
      </c>
      <c r="K16" s="4">
        <v>45747</v>
      </c>
    </row>
    <row r="17" spans="1:11" s="3" customFormat="1" x14ac:dyDescent="0.25">
      <c r="A17" s="3" t="s">
        <v>1</v>
      </c>
      <c r="B17">
        <v>25153.24</v>
      </c>
      <c r="C17">
        <v>25374.94</v>
      </c>
      <c r="D17">
        <v>30978.62</v>
      </c>
      <c r="E17">
        <v>41462.26</v>
      </c>
      <c r="F17">
        <v>42429.89</v>
      </c>
      <c r="G17">
        <v>44725.8</v>
      </c>
      <c r="H17">
        <v>52598.83</v>
      </c>
      <c r="I17">
        <v>63239.98</v>
      </c>
      <c r="J17">
        <v>70908.14</v>
      </c>
      <c r="K17">
        <v>75955.13</v>
      </c>
    </row>
    <row r="18" spans="1:11" s="3" customFormat="1" x14ac:dyDescent="0.25">
      <c r="A18" s="2" t="s">
        <v>44</v>
      </c>
      <c r="B18">
        <v>4436.12</v>
      </c>
      <c r="C18">
        <v>4416.8999999999996</v>
      </c>
      <c r="D18">
        <v>5399.98</v>
      </c>
      <c r="E18">
        <v>6936.74</v>
      </c>
      <c r="F18">
        <v>6875.89</v>
      </c>
      <c r="G18">
        <v>6635.66</v>
      </c>
      <c r="H18">
        <v>8348.15</v>
      </c>
      <c r="I18">
        <v>10233.17</v>
      </c>
      <c r="J18">
        <v>11986.27</v>
      </c>
      <c r="K18">
        <v>13691.46</v>
      </c>
    </row>
    <row r="19" spans="1:11" s="3" customFormat="1" x14ac:dyDescent="0.25">
      <c r="A19" s="2" t="s">
        <v>45</v>
      </c>
      <c r="B19">
        <v>18.61</v>
      </c>
      <c r="C19">
        <v>-75.69</v>
      </c>
      <c r="D19">
        <v>111.2</v>
      </c>
      <c r="E19">
        <v>-46.35</v>
      </c>
      <c r="F19">
        <v>357.83</v>
      </c>
      <c r="G19">
        <v>-450.15</v>
      </c>
      <c r="H19">
        <v>383.16</v>
      </c>
      <c r="I19">
        <v>518.21</v>
      </c>
      <c r="J19">
        <v>83.35</v>
      </c>
      <c r="K19">
        <v>-12.27</v>
      </c>
    </row>
    <row r="20" spans="1:11" s="3" customFormat="1" x14ac:dyDescent="0.25">
      <c r="A20" s="2" t="s">
        <v>46</v>
      </c>
      <c r="B20">
        <v>4579.25</v>
      </c>
      <c r="C20">
        <v>4271.9799999999996</v>
      </c>
      <c r="D20">
        <v>6334.07</v>
      </c>
      <c r="E20">
        <v>9436.14</v>
      </c>
      <c r="F20">
        <v>8516.8700000000008</v>
      </c>
      <c r="G20">
        <v>8331.18</v>
      </c>
      <c r="H20">
        <v>12137.26</v>
      </c>
      <c r="I20">
        <v>18491.32</v>
      </c>
      <c r="J20">
        <v>18283.32</v>
      </c>
      <c r="K20">
        <v>18419.150000000001</v>
      </c>
    </row>
    <row r="21" spans="1:11" s="3" customFormat="1" x14ac:dyDescent="0.25">
      <c r="A21" s="2" t="s">
        <v>47</v>
      </c>
      <c r="B21">
        <v>1933.88</v>
      </c>
      <c r="C21">
        <v>1991.28</v>
      </c>
      <c r="D21">
        <v>2289.5300000000002</v>
      </c>
      <c r="E21">
        <v>3001.06</v>
      </c>
      <c r="F21">
        <v>3043.3</v>
      </c>
      <c r="G21">
        <v>3067.38</v>
      </c>
      <c r="H21">
        <v>3889.67</v>
      </c>
      <c r="I21">
        <v>4344.34</v>
      </c>
      <c r="J21">
        <v>4898.17</v>
      </c>
      <c r="K21">
        <v>5474.61</v>
      </c>
    </row>
    <row r="22" spans="1:11" s="3" customFormat="1" x14ac:dyDescent="0.25">
      <c r="A22" s="2" t="s">
        <v>48</v>
      </c>
      <c r="B22">
        <v>1466.49</v>
      </c>
      <c r="C22">
        <v>1547.77</v>
      </c>
      <c r="D22">
        <v>1831.81</v>
      </c>
      <c r="E22">
        <v>2309.4299999999998</v>
      </c>
      <c r="F22">
        <v>2522.64</v>
      </c>
      <c r="G22">
        <v>2363.33</v>
      </c>
      <c r="H22">
        <v>2545</v>
      </c>
      <c r="I22">
        <v>2751.31</v>
      </c>
      <c r="J22">
        <v>3051.99</v>
      </c>
      <c r="K22">
        <v>3619.25</v>
      </c>
    </row>
    <row r="23" spans="1:11" s="3" customFormat="1" x14ac:dyDescent="0.25">
      <c r="A23" s="2" t="s">
        <v>49</v>
      </c>
      <c r="B23">
        <v>7200.47</v>
      </c>
      <c r="C23">
        <v>7149.12</v>
      </c>
      <c r="D23">
        <v>8320.2800000000007</v>
      </c>
      <c r="E23">
        <v>11563.8</v>
      </c>
      <c r="F23">
        <v>11237.32</v>
      </c>
      <c r="G23">
        <v>11266.02</v>
      </c>
      <c r="H23">
        <v>13282.22</v>
      </c>
      <c r="I23">
        <v>15859.6</v>
      </c>
      <c r="J23">
        <v>18066.95</v>
      </c>
      <c r="K23">
        <v>19571.95</v>
      </c>
    </row>
    <row r="24" spans="1:11" s="3" customFormat="1" x14ac:dyDescent="0.25">
      <c r="A24" s="2" t="s">
        <v>50</v>
      </c>
      <c r="B24">
        <v>654.66999999999996</v>
      </c>
      <c r="C24">
        <v>709.76</v>
      </c>
      <c r="D24">
        <v>769.12</v>
      </c>
      <c r="E24">
        <v>821.8</v>
      </c>
      <c r="F24">
        <v>1345.73</v>
      </c>
      <c r="G24">
        <v>1044.17</v>
      </c>
      <c r="H24">
        <v>1265.3399999999999</v>
      </c>
      <c r="I24">
        <v>1458.6</v>
      </c>
      <c r="J24">
        <v>1726.23</v>
      </c>
      <c r="K24">
        <v>2369.56</v>
      </c>
    </row>
    <row r="25" spans="1:11" s="3" customFormat="1" x14ac:dyDescent="0.25">
      <c r="A25" s="3" t="s">
        <v>4</v>
      </c>
      <c r="B25">
        <v>463.81</v>
      </c>
      <c r="C25">
        <v>648.12</v>
      </c>
      <c r="D25">
        <v>241.97</v>
      </c>
      <c r="E25">
        <v>350.1</v>
      </c>
      <c r="F25">
        <v>651.05999999999995</v>
      </c>
      <c r="G25">
        <v>618.52</v>
      </c>
      <c r="H25">
        <v>669.43</v>
      </c>
      <c r="I25">
        <v>507.11</v>
      </c>
      <c r="J25">
        <v>556.96</v>
      </c>
      <c r="K25">
        <v>396.74</v>
      </c>
    </row>
    <row r="26" spans="1:11" s="3" customFormat="1" x14ac:dyDescent="0.25">
      <c r="A26" s="3" t="s">
        <v>5</v>
      </c>
      <c r="B26">
        <v>1377.17</v>
      </c>
      <c r="C26">
        <v>1348.41</v>
      </c>
      <c r="D26">
        <v>1847.93</v>
      </c>
      <c r="E26">
        <v>2450.73</v>
      </c>
      <c r="F26">
        <v>2722.66</v>
      </c>
      <c r="G26">
        <v>2700.23</v>
      </c>
      <c r="H26">
        <v>2714.75</v>
      </c>
      <c r="I26">
        <v>2887.99</v>
      </c>
      <c r="J26">
        <v>3145.3</v>
      </c>
      <c r="K26">
        <v>4014.95</v>
      </c>
    </row>
    <row r="27" spans="1:11" s="3" customFormat="1" x14ac:dyDescent="0.25">
      <c r="A27" s="3" t="s">
        <v>6</v>
      </c>
      <c r="B27">
        <v>566.29999999999995</v>
      </c>
      <c r="C27">
        <v>640.1</v>
      </c>
      <c r="D27">
        <v>1237.5999999999999</v>
      </c>
      <c r="E27">
        <v>1777.86</v>
      </c>
      <c r="F27">
        <v>1991.65</v>
      </c>
      <c r="G27">
        <v>1485.65</v>
      </c>
      <c r="H27">
        <v>944.71</v>
      </c>
      <c r="I27">
        <v>822.72</v>
      </c>
      <c r="J27">
        <v>968</v>
      </c>
      <c r="K27">
        <v>1650.54</v>
      </c>
    </row>
    <row r="28" spans="1:11" s="3" customFormat="1" x14ac:dyDescent="0.25">
      <c r="A28" s="3" t="s">
        <v>7</v>
      </c>
      <c r="B28">
        <v>3421.31</v>
      </c>
      <c r="C28">
        <v>3872.05</v>
      </c>
      <c r="D28">
        <v>3301.47</v>
      </c>
      <c r="E28">
        <v>3468.45</v>
      </c>
      <c r="F28">
        <v>5182.72</v>
      </c>
      <c r="G28">
        <v>8000.55</v>
      </c>
      <c r="H28">
        <v>8524.32</v>
      </c>
      <c r="I28">
        <v>7416.25</v>
      </c>
      <c r="J28">
        <v>9422.2199999999993</v>
      </c>
      <c r="K28">
        <v>7528.13</v>
      </c>
    </row>
    <row r="29" spans="1:11" s="3" customFormat="1" x14ac:dyDescent="0.25">
      <c r="A29" s="3" t="s">
        <v>8</v>
      </c>
      <c r="B29">
        <v>941.69</v>
      </c>
      <c r="C29">
        <v>1158.54</v>
      </c>
      <c r="D29">
        <v>1077.01</v>
      </c>
      <c r="E29">
        <v>1068.07</v>
      </c>
      <c r="F29">
        <v>-568.16</v>
      </c>
      <c r="G29">
        <v>2538.6999999999998</v>
      </c>
      <c r="H29">
        <v>1190.06</v>
      </c>
      <c r="I29">
        <v>2342.85</v>
      </c>
      <c r="J29">
        <v>2418.2600000000002</v>
      </c>
      <c r="K29">
        <v>1488.49</v>
      </c>
    </row>
    <row r="30" spans="1:11" s="3" customFormat="1" x14ac:dyDescent="0.25">
      <c r="A30" s="3" t="s">
        <v>9</v>
      </c>
      <c r="B30">
        <v>2478.04</v>
      </c>
      <c r="C30">
        <v>2714.92</v>
      </c>
      <c r="D30">
        <v>2222.17</v>
      </c>
      <c r="E30">
        <v>2403.5100000000002</v>
      </c>
      <c r="F30">
        <v>5755.26</v>
      </c>
      <c r="G30">
        <v>5463.1</v>
      </c>
      <c r="H30">
        <v>7344.31</v>
      </c>
      <c r="I30">
        <v>5063.96</v>
      </c>
      <c r="J30">
        <v>7005</v>
      </c>
      <c r="K30">
        <v>6039.11</v>
      </c>
    </row>
    <row r="31" spans="1:11" s="3" customFormat="1" x14ac:dyDescent="0.25">
      <c r="A31" s="3" t="s">
        <v>34</v>
      </c>
      <c r="B31">
        <v>260.70999999999998</v>
      </c>
      <c r="C31">
        <v>274.51</v>
      </c>
      <c r="D31">
        <v>288.33999999999997</v>
      </c>
      <c r="E31">
        <v>315.83999999999997</v>
      </c>
      <c r="F31">
        <v>375.22</v>
      </c>
      <c r="G31">
        <v>1068</v>
      </c>
      <c r="H31">
        <v>1096.95</v>
      </c>
      <c r="I31">
        <v>1097.02</v>
      </c>
      <c r="J31">
        <v>2020.83</v>
      </c>
      <c r="K31">
        <v>2283.77</v>
      </c>
    </row>
    <row r="32" spans="1:11" s="3" customFormat="1" x14ac:dyDescent="0.25"/>
    <row r="33" spans="1:11" x14ac:dyDescent="0.25">
      <c r="A33" s="3"/>
    </row>
    <row r="34" spans="1:11" x14ac:dyDescent="0.25">
      <c r="A34" s="3"/>
    </row>
    <row r="35" spans="1:11" x14ac:dyDescent="0.25">
      <c r="A35" s="3"/>
    </row>
    <row r="36" spans="1:11" x14ac:dyDescent="0.25">
      <c r="A36" s="3"/>
    </row>
    <row r="37" spans="1:11" x14ac:dyDescent="0.25">
      <c r="A37" s="3"/>
    </row>
    <row r="38" spans="1:11" x14ac:dyDescent="0.25">
      <c r="A38" s="3"/>
    </row>
    <row r="39" spans="1:11" x14ac:dyDescent="0.25">
      <c r="A39" s="3"/>
    </row>
    <row r="40" spans="1:11" x14ac:dyDescent="0.25">
      <c r="A40" s="1" t="s">
        <v>24</v>
      </c>
    </row>
    <row r="41" spans="1:11" s="6" customFormat="1" x14ac:dyDescent="0.25">
      <c r="A41" s="5" t="s">
        <v>23</v>
      </c>
      <c r="B41" s="4">
        <v>45107</v>
      </c>
      <c r="C41" s="4">
        <v>45199</v>
      </c>
      <c r="D41" s="4">
        <v>45291</v>
      </c>
      <c r="E41" s="4">
        <v>45382</v>
      </c>
      <c r="F41" s="4">
        <v>45473</v>
      </c>
      <c r="G41" s="4">
        <v>45565</v>
      </c>
      <c r="H41" s="4">
        <v>45657</v>
      </c>
      <c r="I41" s="4">
        <v>45747</v>
      </c>
      <c r="J41" s="4">
        <v>45838</v>
      </c>
      <c r="K41" s="4">
        <v>45930</v>
      </c>
    </row>
    <row r="42" spans="1:11" s="3" customFormat="1" x14ac:dyDescent="0.25">
      <c r="A42" s="3" t="s">
        <v>1</v>
      </c>
      <c r="B42">
        <v>17737.099999999999</v>
      </c>
      <c r="C42">
        <v>16012.13</v>
      </c>
      <c r="D42">
        <v>16739.97</v>
      </c>
      <c r="E42">
        <v>20418.939999999999</v>
      </c>
      <c r="F42">
        <v>18818.560000000001</v>
      </c>
      <c r="G42">
        <v>16294.42</v>
      </c>
      <c r="H42">
        <v>17778.830000000002</v>
      </c>
      <c r="I42">
        <v>23063.32</v>
      </c>
      <c r="J42">
        <v>21275.45</v>
      </c>
      <c r="K42">
        <v>19606.93</v>
      </c>
    </row>
    <row r="43" spans="1:11" s="3" customFormat="1" x14ac:dyDescent="0.25">
      <c r="A43" s="3" t="s">
        <v>2</v>
      </c>
      <c r="B43">
        <v>14687.92</v>
      </c>
      <c r="C43">
        <v>13461.24</v>
      </c>
      <c r="D43">
        <v>13485.4</v>
      </c>
      <c r="E43">
        <v>16305.02</v>
      </c>
      <c r="F43">
        <v>15801.46</v>
      </c>
      <c r="G43">
        <v>14268.68</v>
      </c>
      <c r="H43">
        <v>14885.35</v>
      </c>
      <c r="I43">
        <v>18455.650000000001</v>
      </c>
      <c r="J43">
        <v>16869.419999999998</v>
      </c>
      <c r="K43">
        <v>16518.27</v>
      </c>
    </row>
    <row r="44" spans="1:11" s="3" customFormat="1" x14ac:dyDescent="0.25">
      <c r="A44" s="3" t="s">
        <v>4</v>
      </c>
      <c r="B44">
        <v>177.43</v>
      </c>
      <c r="C44">
        <v>170.62</v>
      </c>
      <c r="D44">
        <v>146.24</v>
      </c>
      <c r="E44">
        <v>72.67</v>
      </c>
      <c r="F44">
        <v>83.31</v>
      </c>
      <c r="G44">
        <v>226.22</v>
      </c>
      <c r="H44">
        <v>247.32</v>
      </c>
      <c r="I44">
        <v>92.78</v>
      </c>
      <c r="J44">
        <v>141.85</v>
      </c>
      <c r="K44">
        <v>174.14</v>
      </c>
    </row>
    <row r="45" spans="1:11" s="3" customFormat="1" x14ac:dyDescent="0.25">
      <c r="A45" s="3" t="s">
        <v>5</v>
      </c>
      <c r="B45">
        <v>749.07</v>
      </c>
      <c r="C45">
        <v>797.83</v>
      </c>
      <c r="D45">
        <v>783.48</v>
      </c>
      <c r="E45">
        <v>814.92</v>
      </c>
      <c r="F45">
        <v>917.93</v>
      </c>
      <c r="G45">
        <v>979.67</v>
      </c>
      <c r="H45">
        <v>992.78</v>
      </c>
      <c r="I45">
        <v>1124.57</v>
      </c>
      <c r="J45">
        <v>1106.78</v>
      </c>
      <c r="K45">
        <v>1147.68</v>
      </c>
    </row>
    <row r="46" spans="1:11" s="3" customFormat="1" x14ac:dyDescent="0.25">
      <c r="A46" s="3" t="s">
        <v>6</v>
      </c>
      <c r="B46">
        <v>210.75</v>
      </c>
      <c r="C46">
        <v>233.94</v>
      </c>
      <c r="D46">
        <v>262.16000000000003</v>
      </c>
      <c r="E46">
        <v>261.14999999999998</v>
      </c>
      <c r="F46">
        <v>325.76</v>
      </c>
      <c r="G46">
        <v>392.99</v>
      </c>
      <c r="H46">
        <v>456.75</v>
      </c>
      <c r="I46">
        <v>475.04</v>
      </c>
      <c r="J46">
        <v>433.3</v>
      </c>
      <c r="K46">
        <v>459.29</v>
      </c>
    </row>
    <row r="47" spans="1:11" s="3" customFormat="1" x14ac:dyDescent="0.25">
      <c r="A47" s="3" t="s">
        <v>7</v>
      </c>
      <c r="B47">
        <v>2266.79</v>
      </c>
      <c r="C47">
        <v>1689.74</v>
      </c>
      <c r="D47">
        <v>2355.17</v>
      </c>
      <c r="E47">
        <v>3110.52</v>
      </c>
      <c r="F47">
        <v>1856.72</v>
      </c>
      <c r="G47">
        <v>879.3</v>
      </c>
      <c r="H47">
        <v>1691.27</v>
      </c>
      <c r="I47">
        <v>3100.84</v>
      </c>
      <c r="J47">
        <v>3007.8</v>
      </c>
      <c r="K47">
        <v>1655.83</v>
      </c>
    </row>
    <row r="48" spans="1:11" s="3" customFormat="1" x14ac:dyDescent="0.25">
      <c r="A48" s="3" t="s">
        <v>8</v>
      </c>
      <c r="B48">
        <v>576.57000000000005</v>
      </c>
      <c r="C48">
        <v>409.36</v>
      </c>
      <c r="D48">
        <v>580.39</v>
      </c>
      <c r="E48">
        <v>851.94</v>
      </c>
      <c r="F48">
        <v>363.27</v>
      </c>
      <c r="G48">
        <v>171.34</v>
      </c>
      <c r="H48">
        <v>327.83</v>
      </c>
      <c r="I48">
        <v>626.04999999999995</v>
      </c>
      <c r="J48">
        <v>786.89</v>
      </c>
      <c r="K48">
        <v>417.85</v>
      </c>
    </row>
    <row r="49" spans="1:11" s="3" customFormat="1" x14ac:dyDescent="0.25">
      <c r="A49" s="3" t="s">
        <v>9</v>
      </c>
      <c r="B49">
        <v>1688.45</v>
      </c>
      <c r="C49">
        <v>1281.45</v>
      </c>
      <c r="D49">
        <v>1776.98</v>
      </c>
      <c r="E49">
        <v>2258.12</v>
      </c>
      <c r="F49">
        <v>1494.82</v>
      </c>
      <c r="G49">
        <v>702.82</v>
      </c>
      <c r="H49">
        <v>1359.43</v>
      </c>
      <c r="I49">
        <v>2482.04</v>
      </c>
      <c r="J49">
        <v>2225.9</v>
      </c>
      <c r="K49">
        <v>1231.58</v>
      </c>
    </row>
    <row r="50" spans="1:11" x14ac:dyDescent="0.25">
      <c r="A50" s="3" t="s">
        <v>3</v>
      </c>
      <c r="B50">
        <v>3049.18</v>
      </c>
      <c r="C50">
        <v>2550.89</v>
      </c>
      <c r="D50">
        <v>3254.57</v>
      </c>
      <c r="E50">
        <v>4113.92</v>
      </c>
      <c r="F50">
        <v>3017.1</v>
      </c>
      <c r="G50">
        <v>2025.74</v>
      </c>
      <c r="H50">
        <v>2893.48</v>
      </c>
      <c r="I50">
        <v>4607.67</v>
      </c>
      <c r="J50">
        <v>4406.03</v>
      </c>
      <c r="K50">
        <v>3088.66</v>
      </c>
    </row>
    <row r="51" spans="1:11" x14ac:dyDescent="0.25">
      <c r="A51" s="3"/>
    </row>
    <row r="52" spans="1:11" x14ac:dyDescent="0.25">
      <c r="A52" s="3"/>
    </row>
    <row r="53" spans="1:11" x14ac:dyDescent="0.25">
      <c r="A53" s="3"/>
    </row>
    <row r="54" spans="1:11" x14ac:dyDescent="0.25">
      <c r="A54" s="3"/>
    </row>
    <row r="55" spans="1:11" x14ac:dyDescent="0.25">
      <c r="A55" s="1" t="s">
        <v>25</v>
      </c>
    </row>
    <row r="56" spans="1:11" s="6" customFormat="1" x14ac:dyDescent="0.25">
      <c r="A56" s="5" t="s">
        <v>23</v>
      </c>
      <c r="B56" s="4">
        <v>42460</v>
      </c>
      <c r="C56" s="4">
        <v>42825</v>
      </c>
      <c r="D56" s="4">
        <v>43190</v>
      </c>
      <c r="E56" s="4">
        <v>43555</v>
      </c>
      <c r="F56" s="4">
        <v>43921</v>
      </c>
      <c r="G56" s="4">
        <v>44286</v>
      </c>
      <c r="H56" s="4">
        <v>44651</v>
      </c>
      <c r="I56" s="4">
        <v>45016</v>
      </c>
      <c r="J56" s="4">
        <v>45382</v>
      </c>
      <c r="K56" s="4">
        <v>45747</v>
      </c>
    </row>
    <row r="57" spans="1:11" x14ac:dyDescent="0.25">
      <c r="A57" s="3" t="s">
        <v>10</v>
      </c>
      <c r="B57">
        <v>274.43</v>
      </c>
      <c r="C57">
        <v>274.51</v>
      </c>
      <c r="D57">
        <v>274.61</v>
      </c>
      <c r="E57">
        <v>274.64</v>
      </c>
      <c r="F57">
        <v>288.63</v>
      </c>
      <c r="G57">
        <v>288.64999999999998</v>
      </c>
      <c r="H57">
        <v>288.67</v>
      </c>
      <c r="I57">
        <v>288.69</v>
      </c>
      <c r="J57">
        <v>288.69</v>
      </c>
      <c r="K57">
        <v>294.68</v>
      </c>
    </row>
    <row r="58" spans="1:11" x14ac:dyDescent="0.25">
      <c r="A58" s="3" t="s">
        <v>11</v>
      </c>
      <c r="B58">
        <v>21671.200000000001</v>
      </c>
      <c r="C58">
        <v>24117.38</v>
      </c>
      <c r="D58">
        <v>26106.55</v>
      </c>
      <c r="E58">
        <v>33476.01</v>
      </c>
      <c r="F58">
        <v>38755.129999999997</v>
      </c>
      <c r="G58">
        <v>43886.03</v>
      </c>
      <c r="H58">
        <v>50146.6</v>
      </c>
      <c r="I58">
        <v>54035.85</v>
      </c>
      <c r="J58">
        <v>59938.79</v>
      </c>
      <c r="K58">
        <v>70412.09</v>
      </c>
    </row>
    <row r="59" spans="1:11" x14ac:dyDescent="0.25">
      <c r="A59" s="3" t="s">
        <v>35</v>
      </c>
      <c r="B59">
        <v>10615.99</v>
      </c>
      <c r="C59">
        <v>8474.49</v>
      </c>
      <c r="D59">
        <v>19480.22</v>
      </c>
      <c r="E59">
        <v>25337</v>
      </c>
      <c r="F59">
        <v>23018.959999999999</v>
      </c>
      <c r="G59">
        <v>21719.39</v>
      </c>
      <c r="H59">
        <v>11298.8</v>
      </c>
      <c r="I59">
        <v>11057.74</v>
      </c>
      <c r="J59">
        <v>11402.95</v>
      </c>
      <c r="K59">
        <v>24102.18</v>
      </c>
    </row>
    <row r="60" spans="1:11" x14ac:dyDescent="0.25">
      <c r="A60" s="3" t="s">
        <v>36</v>
      </c>
      <c r="B60">
        <v>8631.49</v>
      </c>
      <c r="C60">
        <v>9342.73</v>
      </c>
      <c r="D60">
        <v>11279.71</v>
      </c>
      <c r="E60">
        <v>17437.72</v>
      </c>
      <c r="F60">
        <v>17151.09</v>
      </c>
      <c r="G60">
        <v>20282.28</v>
      </c>
      <c r="H60">
        <v>22077.37</v>
      </c>
      <c r="I60">
        <v>25998.12</v>
      </c>
      <c r="J60">
        <v>29166.68</v>
      </c>
      <c r="K60">
        <v>38823.11</v>
      </c>
    </row>
    <row r="61" spans="1:11" s="1" customFormat="1" x14ac:dyDescent="0.25">
      <c r="A61" s="1" t="s">
        <v>12</v>
      </c>
      <c r="B61">
        <v>41193.11</v>
      </c>
      <c r="C61">
        <v>42209.11</v>
      </c>
      <c r="D61">
        <v>57141.09</v>
      </c>
      <c r="E61">
        <v>76525.37</v>
      </c>
      <c r="F61">
        <v>79213.81</v>
      </c>
      <c r="G61">
        <v>86176.35</v>
      </c>
      <c r="H61">
        <v>83811.44</v>
      </c>
      <c r="I61">
        <v>91380.4</v>
      </c>
      <c r="J61">
        <v>100797.11</v>
      </c>
      <c r="K61">
        <v>133632.06</v>
      </c>
    </row>
    <row r="62" spans="1:11" x14ac:dyDescent="0.25">
      <c r="A62" s="3" t="s">
        <v>13</v>
      </c>
      <c r="B62">
        <v>25309.42</v>
      </c>
      <c r="C62">
        <v>25903.75</v>
      </c>
      <c r="D62">
        <v>39715.300000000003</v>
      </c>
      <c r="E62">
        <v>56644.62</v>
      </c>
      <c r="F62">
        <v>57150.96</v>
      </c>
      <c r="G62">
        <v>55411.61</v>
      </c>
      <c r="H62">
        <v>55487.57</v>
      </c>
      <c r="I62">
        <v>59579</v>
      </c>
      <c r="J62">
        <v>62877.61</v>
      </c>
      <c r="K62">
        <v>94564.22</v>
      </c>
    </row>
    <row r="63" spans="1:11" x14ac:dyDescent="0.25">
      <c r="A63" s="3" t="s">
        <v>14</v>
      </c>
      <c r="B63">
        <v>1469.09</v>
      </c>
      <c r="C63">
        <v>921.48</v>
      </c>
      <c r="D63">
        <v>1511.21</v>
      </c>
      <c r="E63">
        <v>1153.32</v>
      </c>
      <c r="F63">
        <v>919.59</v>
      </c>
      <c r="G63">
        <v>1686.68</v>
      </c>
      <c r="H63">
        <v>4784.67</v>
      </c>
      <c r="I63">
        <v>4040.39</v>
      </c>
      <c r="J63">
        <v>6811.18</v>
      </c>
      <c r="K63">
        <v>6234.19</v>
      </c>
    </row>
    <row r="64" spans="1:11" x14ac:dyDescent="0.25">
      <c r="A64" s="3" t="s">
        <v>15</v>
      </c>
      <c r="B64">
        <v>5095.18</v>
      </c>
      <c r="C64">
        <v>6690.51</v>
      </c>
      <c r="D64">
        <v>5446.9</v>
      </c>
      <c r="E64">
        <v>2921.33</v>
      </c>
      <c r="F64">
        <v>5928.69</v>
      </c>
      <c r="G64">
        <v>12178.11</v>
      </c>
      <c r="H64">
        <v>6335.77</v>
      </c>
      <c r="I64">
        <v>7296.95</v>
      </c>
      <c r="J64">
        <v>8248.9500000000007</v>
      </c>
      <c r="K64">
        <v>5156.47</v>
      </c>
    </row>
    <row r="65" spans="1:11" x14ac:dyDescent="0.25">
      <c r="A65" s="3" t="s">
        <v>37</v>
      </c>
      <c r="B65">
        <v>9319.42</v>
      </c>
      <c r="C65">
        <v>8693.3700000000008</v>
      </c>
      <c r="D65">
        <v>10467.68</v>
      </c>
      <c r="E65">
        <v>15806.1</v>
      </c>
      <c r="F65">
        <v>15214.57</v>
      </c>
      <c r="G65">
        <v>16899.95</v>
      </c>
      <c r="H65">
        <v>17203.43</v>
      </c>
      <c r="I65">
        <v>20464.060000000001</v>
      </c>
      <c r="J65">
        <v>22859.37</v>
      </c>
      <c r="K65">
        <v>27677.18</v>
      </c>
    </row>
    <row r="66" spans="1:11" s="1" customFormat="1" x14ac:dyDescent="0.25">
      <c r="A66" s="1" t="s">
        <v>12</v>
      </c>
      <c r="B66">
        <v>41193.11</v>
      </c>
      <c r="C66">
        <v>42209.11</v>
      </c>
      <c r="D66">
        <v>57141.09</v>
      </c>
      <c r="E66">
        <v>76525.37</v>
      </c>
      <c r="F66">
        <v>79213.81</v>
      </c>
      <c r="G66">
        <v>86176.35</v>
      </c>
      <c r="H66">
        <v>83811.44</v>
      </c>
      <c r="I66">
        <v>91380.4</v>
      </c>
      <c r="J66">
        <v>100797.11</v>
      </c>
      <c r="K66">
        <v>133632.06</v>
      </c>
    </row>
    <row r="67" spans="1:11" s="3" customFormat="1" x14ac:dyDescent="0.25">
      <c r="A67" s="3" t="s">
        <v>42</v>
      </c>
      <c r="B67">
        <v>1928.21</v>
      </c>
      <c r="C67">
        <v>1757.09</v>
      </c>
      <c r="D67">
        <v>2220.63</v>
      </c>
      <c r="E67">
        <v>2787.03</v>
      </c>
      <c r="F67">
        <v>2383.2199999999998</v>
      </c>
      <c r="G67">
        <v>2571.73</v>
      </c>
      <c r="H67">
        <v>3071.61</v>
      </c>
      <c r="I67">
        <v>3867.02</v>
      </c>
      <c r="J67">
        <v>4278.16</v>
      </c>
      <c r="K67">
        <v>5890.25</v>
      </c>
    </row>
    <row r="68" spans="1:11" x14ac:dyDescent="0.25">
      <c r="A68" s="3" t="s">
        <v>29</v>
      </c>
      <c r="B68">
        <v>2454.58</v>
      </c>
      <c r="C68">
        <v>2400.64</v>
      </c>
      <c r="D68">
        <v>3267.59</v>
      </c>
      <c r="E68">
        <v>4098.96</v>
      </c>
      <c r="F68">
        <v>4183.3500000000004</v>
      </c>
      <c r="G68">
        <v>4017.97</v>
      </c>
      <c r="H68">
        <v>5595.58</v>
      </c>
      <c r="I68">
        <v>6611.83</v>
      </c>
      <c r="J68">
        <v>8329.74</v>
      </c>
      <c r="K68">
        <v>9562.98</v>
      </c>
    </row>
    <row r="69" spans="1:11" x14ac:dyDescent="0.25">
      <c r="A69" s="2" t="s">
        <v>51</v>
      </c>
      <c r="B69">
        <v>2266.96</v>
      </c>
      <c r="C69">
        <v>2248.7800000000002</v>
      </c>
      <c r="D69">
        <v>219.07</v>
      </c>
      <c r="E69">
        <v>739.68</v>
      </c>
      <c r="F69">
        <v>539.91</v>
      </c>
      <c r="G69">
        <v>2007.55</v>
      </c>
      <c r="H69">
        <v>359.18</v>
      </c>
      <c r="I69">
        <v>1149.5899999999999</v>
      </c>
      <c r="J69">
        <v>783.21</v>
      </c>
      <c r="K69">
        <v>1673.32</v>
      </c>
    </row>
    <row r="70" spans="1:11" x14ac:dyDescent="0.25">
      <c r="A70" s="2" t="s">
        <v>38</v>
      </c>
      <c r="B70">
        <v>274431377</v>
      </c>
      <c r="C70">
        <v>274507906</v>
      </c>
      <c r="D70">
        <v>274613985</v>
      </c>
      <c r="E70">
        <v>274642720</v>
      </c>
      <c r="F70">
        <v>288625105</v>
      </c>
      <c r="G70">
        <v>288653398</v>
      </c>
      <c r="H70">
        <v>288670847</v>
      </c>
      <c r="I70">
        <v>288686345</v>
      </c>
      <c r="J70">
        <v>288686345</v>
      </c>
      <c r="K70">
        <v>294677410</v>
      </c>
    </row>
    <row r="71" spans="1:11" x14ac:dyDescent="0.25">
      <c r="A71" s="2" t="s">
        <v>39</v>
      </c>
    </row>
    <row r="72" spans="1:11" x14ac:dyDescent="0.25">
      <c r="A72" s="2" t="s">
        <v>52</v>
      </c>
      <c r="B72">
        <v>10</v>
      </c>
      <c r="C72">
        <v>10</v>
      </c>
      <c r="D72">
        <v>10</v>
      </c>
      <c r="E72">
        <v>10</v>
      </c>
      <c r="F72">
        <v>10</v>
      </c>
      <c r="G72">
        <v>10</v>
      </c>
      <c r="H72">
        <v>10</v>
      </c>
      <c r="I72">
        <v>10</v>
      </c>
      <c r="J72">
        <v>10</v>
      </c>
      <c r="K72">
        <v>10</v>
      </c>
    </row>
    <row r="74" spans="1:11" x14ac:dyDescent="0.25">
      <c r="A74" s="3"/>
    </row>
    <row r="75" spans="1:11" x14ac:dyDescent="0.25">
      <c r="A75" s="3"/>
    </row>
    <row r="76" spans="1:11" x14ac:dyDescent="0.25">
      <c r="A76" s="3"/>
    </row>
    <row r="77" spans="1:11" x14ac:dyDescent="0.25">
      <c r="A77" s="3"/>
    </row>
    <row r="78" spans="1:11" x14ac:dyDescent="0.25">
      <c r="A78" s="3"/>
    </row>
    <row r="79" spans="1:11" x14ac:dyDescent="0.25">
      <c r="A79" s="3"/>
    </row>
    <row r="80" spans="1:11" x14ac:dyDescent="0.25">
      <c r="A80" s="1" t="s">
        <v>26</v>
      </c>
    </row>
    <row r="81" spans="1:11" s="6" customFormat="1" x14ac:dyDescent="0.25">
      <c r="A81" s="5" t="s">
        <v>23</v>
      </c>
      <c r="B81" s="4">
        <v>42460</v>
      </c>
      <c r="C81" s="4">
        <v>42825</v>
      </c>
      <c r="D81" s="4">
        <v>43190</v>
      </c>
      <c r="E81" s="4">
        <v>43555</v>
      </c>
      <c r="F81" s="4">
        <v>43921</v>
      </c>
      <c r="G81" s="4">
        <v>44286</v>
      </c>
      <c r="H81" s="4">
        <v>44651</v>
      </c>
      <c r="I81" s="4">
        <v>45016</v>
      </c>
      <c r="J81" s="4">
        <v>45382</v>
      </c>
      <c r="K81" s="4">
        <v>45747</v>
      </c>
    </row>
    <row r="82" spans="1:11" s="1" customFormat="1" x14ac:dyDescent="0.25">
      <c r="A82" s="3" t="s">
        <v>17</v>
      </c>
      <c r="B82">
        <v>4525.51</v>
      </c>
      <c r="C82">
        <v>5005.0200000000004</v>
      </c>
      <c r="D82">
        <v>3887.72</v>
      </c>
      <c r="E82">
        <v>5956.11</v>
      </c>
      <c r="F82">
        <v>8972.43</v>
      </c>
      <c r="G82">
        <v>12500.43</v>
      </c>
      <c r="H82">
        <v>9283.24</v>
      </c>
      <c r="I82">
        <v>9068.51</v>
      </c>
      <c r="J82">
        <v>10897.54</v>
      </c>
      <c r="K82">
        <v>10673.43</v>
      </c>
    </row>
    <row r="83" spans="1:11" s="3" customFormat="1" x14ac:dyDescent="0.25">
      <c r="A83" s="3" t="s">
        <v>18</v>
      </c>
      <c r="B83">
        <v>-3673.35</v>
      </c>
      <c r="C83">
        <v>-2501.44</v>
      </c>
      <c r="D83">
        <v>1865.72</v>
      </c>
      <c r="E83">
        <v>1165.18</v>
      </c>
      <c r="F83">
        <v>-4191.95</v>
      </c>
      <c r="G83">
        <v>-8856.15</v>
      </c>
      <c r="H83">
        <v>2256.54</v>
      </c>
      <c r="I83">
        <v>-7187.68</v>
      </c>
      <c r="J83">
        <v>-8788.68</v>
      </c>
      <c r="K83">
        <v>-15835.56</v>
      </c>
    </row>
    <row r="84" spans="1:11" s="3" customFormat="1" x14ac:dyDescent="0.25">
      <c r="A84" s="3" t="s">
        <v>19</v>
      </c>
      <c r="B84">
        <v>-844.02</v>
      </c>
      <c r="C84">
        <v>-2534.98</v>
      </c>
      <c r="D84">
        <v>-5735.05</v>
      </c>
      <c r="E84">
        <v>-6757.24</v>
      </c>
      <c r="F84">
        <v>-5075.88</v>
      </c>
      <c r="G84">
        <v>-4356.47</v>
      </c>
      <c r="H84">
        <v>-12497.93</v>
      </c>
      <c r="I84">
        <v>-1631</v>
      </c>
      <c r="J84">
        <v>-1925.65</v>
      </c>
      <c r="K84">
        <v>5075.76</v>
      </c>
    </row>
    <row r="85" spans="1:11" s="1" customFormat="1" x14ac:dyDescent="0.25">
      <c r="A85" s="3" t="s">
        <v>20</v>
      </c>
      <c r="B85">
        <v>8.14</v>
      </c>
      <c r="C85">
        <v>-31.4</v>
      </c>
      <c r="D85">
        <v>18.39</v>
      </c>
      <c r="E85">
        <v>364.05</v>
      </c>
      <c r="F85">
        <v>-295.39999999999998</v>
      </c>
      <c r="G85">
        <v>-712.19</v>
      </c>
      <c r="H85">
        <v>-958.15</v>
      </c>
      <c r="I85">
        <v>249.83</v>
      </c>
      <c r="J85">
        <v>183.21</v>
      </c>
      <c r="K85">
        <v>-86.37</v>
      </c>
    </row>
    <row r="86" spans="1:11" x14ac:dyDescent="0.25">
      <c r="A86" s="3"/>
    </row>
    <row r="87" spans="1:11" x14ac:dyDescent="0.25">
      <c r="A87" s="3"/>
    </row>
    <row r="88" spans="1:11" x14ac:dyDescent="0.25">
      <c r="A88" s="3"/>
    </row>
    <row r="89" spans="1:11" x14ac:dyDescent="0.25">
      <c r="A89" s="3"/>
    </row>
    <row r="90" spans="1:11" s="1" customFormat="1" x14ac:dyDescent="0.25">
      <c r="A90" s="1" t="s">
        <v>41</v>
      </c>
      <c r="B90">
        <v>3228.75</v>
      </c>
      <c r="C90">
        <v>3984.75</v>
      </c>
      <c r="D90">
        <v>3950</v>
      </c>
      <c r="E90">
        <v>3998.35</v>
      </c>
      <c r="F90">
        <v>3244.85</v>
      </c>
      <c r="G90">
        <v>6737.95</v>
      </c>
      <c r="H90">
        <v>6602.3</v>
      </c>
      <c r="I90">
        <v>7622.15</v>
      </c>
      <c r="J90">
        <v>9749.15</v>
      </c>
      <c r="K90">
        <v>11509.55</v>
      </c>
    </row>
    <row r="92" spans="1:11" s="1" customFormat="1" x14ac:dyDescent="0.25">
      <c r="A92" s="1" t="s">
        <v>40</v>
      </c>
    </row>
    <row r="93" spans="1:11" x14ac:dyDescent="0.25">
      <c r="A93" s="2" t="s">
        <v>53</v>
      </c>
      <c r="B93" s="7">
        <v>27.44</v>
      </c>
      <c r="C93" s="7">
        <v>27.45</v>
      </c>
      <c r="D93" s="7">
        <v>27.46</v>
      </c>
      <c r="E93" s="7">
        <v>27.46</v>
      </c>
      <c r="F93" s="7">
        <v>28.86</v>
      </c>
      <c r="G93" s="7">
        <v>28.87</v>
      </c>
      <c r="H93" s="7">
        <v>28.87</v>
      </c>
      <c r="I93" s="7">
        <v>28.87</v>
      </c>
      <c r="J93" s="7">
        <v>28.87</v>
      </c>
      <c r="K93" s="7">
        <v>29.47</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FB312-32AF-4C45-B7D0-4CE3AE7C600D}">
  <sheetPr>
    <tabColor rgb="FF002060"/>
  </sheetPr>
  <dimension ref="B5:Q114"/>
  <sheetViews>
    <sheetView showGridLines="0" zoomScale="80" zoomScaleNormal="80" workbookViewId="0"/>
  </sheetViews>
  <sheetFormatPr defaultRowHeight="15" x14ac:dyDescent="0.25"/>
  <cols>
    <col min="1" max="1" width="1.85546875" customWidth="1"/>
    <col min="2" max="2" width="15.7109375" bestFit="1" customWidth="1"/>
    <col min="3" max="3" width="12.28515625" customWidth="1"/>
    <col min="4" max="4" width="16" customWidth="1"/>
    <col min="6" max="6" width="12.28515625" bestFit="1" customWidth="1"/>
    <col min="7" max="7" width="15.28515625" bestFit="1" customWidth="1"/>
    <col min="9" max="9" width="20.85546875" bestFit="1" customWidth="1"/>
    <col min="10" max="10" width="12.7109375" bestFit="1" customWidth="1"/>
    <col min="11" max="11" width="14.5703125" bestFit="1" customWidth="1"/>
    <col min="12" max="13" width="12" bestFit="1" customWidth="1"/>
    <col min="14" max="14" width="13.42578125" bestFit="1" customWidth="1"/>
    <col min="15" max="15" width="12" bestFit="1" customWidth="1"/>
    <col min="16" max="16" width="12.7109375" bestFit="1" customWidth="1"/>
    <col min="17" max="17" width="12.5703125" bestFit="1" customWidth="1"/>
  </cols>
  <sheetData>
    <row r="5" spans="2:10" s="27" customFormat="1" x14ac:dyDescent="0.25">
      <c r="B5" s="53" t="s">
        <v>153</v>
      </c>
      <c r="C5" s="51"/>
      <c r="D5" s="51"/>
      <c r="E5" s="51"/>
      <c r="F5" s="51"/>
      <c r="G5" s="51"/>
      <c r="H5" s="51"/>
      <c r="I5" s="51"/>
      <c r="J5" s="51"/>
    </row>
    <row r="6" spans="2:10" s="27" customFormat="1" x14ac:dyDescent="0.25">
      <c r="B6" s="69"/>
    </row>
    <row r="7" spans="2:10" x14ac:dyDescent="0.25">
      <c r="B7" s="328" t="str">
        <f>WACC!B18&amp;" Returns"</f>
        <v>Shree Cement Returns</v>
      </c>
      <c r="C7" s="328"/>
      <c r="D7" s="328"/>
      <c r="F7" s="328" t="s">
        <v>151</v>
      </c>
      <c r="G7" s="328"/>
      <c r="I7" s="328" t="s">
        <v>152</v>
      </c>
      <c r="J7" s="328"/>
    </row>
    <row r="8" spans="2:10" s="27" customFormat="1" x14ac:dyDescent="0.25"/>
    <row r="9" spans="2:10" x14ac:dyDescent="0.25">
      <c r="B9" s="70" t="s">
        <v>148</v>
      </c>
      <c r="C9" s="71" t="s">
        <v>149</v>
      </c>
      <c r="D9" s="71" t="s">
        <v>150</v>
      </c>
      <c r="E9" s="15"/>
      <c r="F9" s="71" t="s">
        <v>149</v>
      </c>
      <c r="G9" s="71" t="s">
        <v>150</v>
      </c>
      <c r="I9" s="72" t="s">
        <v>154</v>
      </c>
      <c r="J9" s="14">
        <f>J34</f>
        <v>1.0994855575687337</v>
      </c>
    </row>
    <row r="10" spans="2:10" x14ac:dyDescent="0.25">
      <c r="B10" s="67">
        <v>45928</v>
      </c>
      <c r="C10" s="66">
        <v>6318</v>
      </c>
      <c r="F10" s="68">
        <v>24894.25</v>
      </c>
      <c r="I10" s="20" t="s">
        <v>155</v>
      </c>
      <c r="J10" s="77">
        <v>0.75</v>
      </c>
    </row>
    <row r="11" spans="2:10" x14ac:dyDescent="0.25">
      <c r="B11" s="67">
        <v>45921</v>
      </c>
      <c r="C11" s="66">
        <v>6347.5</v>
      </c>
      <c r="D11" s="32">
        <f>C11/C10-1</f>
        <v>4.6691991136436073E-3</v>
      </c>
      <c r="F11" s="68">
        <v>24654.7</v>
      </c>
      <c r="G11" s="32">
        <f>F11/F10-1</f>
        <v>-9.6227040380810758E-3</v>
      </c>
    </row>
    <row r="12" spans="2:10" x14ac:dyDescent="0.25">
      <c r="B12" s="67">
        <v>45914</v>
      </c>
      <c r="C12" s="66">
        <v>6862</v>
      </c>
      <c r="D12" s="32">
        <f t="shared" ref="D12:D75" si="0">C12/C11-1</f>
        <v>8.1055533674674995E-2</v>
      </c>
      <c r="F12" s="68">
        <v>25327.05</v>
      </c>
      <c r="G12" s="32">
        <f t="shared" ref="G12:G75" si="1">F12/F11-1</f>
        <v>2.7270662388915623E-2</v>
      </c>
      <c r="I12" s="20" t="s">
        <v>156</v>
      </c>
      <c r="J12" s="78">
        <v>1</v>
      </c>
    </row>
    <row r="13" spans="2:10" x14ac:dyDescent="0.25">
      <c r="B13" s="67">
        <v>45907</v>
      </c>
      <c r="C13" s="66">
        <v>6555</v>
      </c>
      <c r="D13" s="32">
        <f t="shared" si="0"/>
        <v>-4.4739143106965917E-2</v>
      </c>
      <c r="F13" s="68">
        <v>25114</v>
      </c>
      <c r="G13" s="32">
        <f t="shared" si="1"/>
        <v>-8.4119548072120187E-3</v>
      </c>
      <c r="I13" s="20" t="s">
        <v>157</v>
      </c>
      <c r="J13" s="77">
        <v>0.25</v>
      </c>
    </row>
    <row r="14" spans="2:10" x14ac:dyDescent="0.25">
      <c r="B14" s="67">
        <v>45900</v>
      </c>
      <c r="C14" s="66">
        <v>6634</v>
      </c>
      <c r="D14" s="32">
        <f t="shared" si="0"/>
        <v>1.2051868802440913E-2</v>
      </c>
      <c r="F14" s="68">
        <v>24741</v>
      </c>
      <c r="G14" s="32">
        <f t="shared" si="1"/>
        <v>-1.4852273632236956E-2</v>
      </c>
    </row>
    <row r="15" spans="2:10" x14ac:dyDescent="0.25">
      <c r="B15" s="67">
        <v>45893</v>
      </c>
      <c r="C15" s="66">
        <v>6946.5</v>
      </c>
      <c r="D15" s="32">
        <f t="shared" si="0"/>
        <v>4.7105818510702502E-2</v>
      </c>
      <c r="F15" s="68">
        <v>24426.85</v>
      </c>
      <c r="G15" s="32">
        <f t="shared" si="1"/>
        <v>-1.2697546582595698E-2</v>
      </c>
      <c r="I15" s="79" t="s">
        <v>158</v>
      </c>
      <c r="J15" s="80">
        <f>(J9*J10)+(J12*J13)</f>
        <v>1.0746141681765502</v>
      </c>
    </row>
    <row r="16" spans="2:10" x14ac:dyDescent="0.25">
      <c r="B16" s="67">
        <v>45886</v>
      </c>
      <c r="C16" s="66">
        <v>6841</v>
      </c>
      <c r="D16" s="32">
        <f t="shared" si="0"/>
        <v>-1.5187504498668347E-2</v>
      </c>
      <c r="F16" s="68">
        <v>24870.1</v>
      </c>
      <c r="G16" s="32">
        <f t="shared" si="1"/>
        <v>1.8146015552557904E-2</v>
      </c>
    </row>
    <row r="17" spans="2:17" x14ac:dyDescent="0.25">
      <c r="B17" s="67">
        <v>45879</v>
      </c>
      <c r="C17" s="66">
        <v>7001.5</v>
      </c>
      <c r="D17" s="32">
        <f t="shared" si="0"/>
        <v>2.346148223943878E-2</v>
      </c>
      <c r="F17" s="68">
        <v>24631.3</v>
      </c>
      <c r="G17" s="32">
        <f t="shared" si="1"/>
        <v>-9.6018914278591661E-3</v>
      </c>
      <c r="I17" t="s">
        <v>159</v>
      </c>
    </row>
    <row r="18" spans="2:17" ht="15.75" thickBot="1" x14ac:dyDescent="0.3">
      <c r="B18" s="67">
        <v>45872</v>
      </c>
      <c r="C18" s="66">
        <v>7051</v>
      </c>
      <c r="D18" s="32">
        <f t="shared" si="0"/>
        <v>7.0699135899450205E-3</v>
      </c>
      <c r="F18" s="68">
        <v>24363.3</v>
      </c>
      <c r="G18" s="32">
        <f t="shared" si="1"/>
        <v>-1.0880465099284198E-2</v>
      </c>
    </row>
    <row r="19" spans="2:17" x14ac:dyDescent="0.25">
      <c r="B19" s="67">
        <v>45865</v>
      </c>
      <c r="C19" s="66">
        <v>6681.5</v>
      </c>
      <c r="D19" s="32">
        <f t="shared" si="0"/>
        <v>-5.2403914338391755E-2</v>
      </c>
      <c r="F19" s="68">
        <v>24565.35</v>
      </c>
      <c r="G19" s="32">
        <f t="shared" si="1"/>
        <v>8.2932115107559046E-3</v>
      </c>
      <c r="I19" s="76" t="s">
        <v>160</v>
      </c>
      <c r="J19" s="76"/>
    </row>
    <row r="20" spans="2:17" x14ac:dyDescent="0.25">
      <c r="B20" s="67">
        <v>45858</v>
      </c>
      <c r="C20" s="66">
        <v>6479</v>
      </c>
      <c r="D20" s="32">
        <f t="shared" si="0"/>
        <v>-3.0307565666392255E-2</v>
      </c>
      <c r="F20" s="68">
        <v>24837</v>
      </c>
      <c r="G20" s="32">
        <f t="shared" si="1"/>
        <v>1.1058258889045103E-2</v>
      </c>
      <c r="I20" s="73" t="s">
        <v>161</v>
      </c>
      <c r="J20" s="73">
        <v>0.49206179786932314</v>
      </c>
    </row>
    <row r="21" spans="2:17" x14ac:dyDescent="0.25">
      <c r="B21" s="67">
        <v>45851</v>
      </c>
      <c r="C21" s="66">
        <v>6498</v>
      </c>
      <c r="D21" s="32">
        <f t="shared" si="0"/>
        <v>2.9325513196480912E-3</v>
      </c>
      <c r="F21" s="68">
        <v>24968.400000000001</v>
      </c>
      <c r="G21" s="32">
        <f t="shared" si="1"/>
        <v>5.2904940210170004E-3</v>
      </c>
      <c r="I21" s="73" t="s">
        <v>162</v>
      </c>
      <c r="J21" s="73">
        <v>0.2421248129223906</v>
      </c>
    </row>
    <row r="22" spans="2:17" x14ac:dyDescent="0.25">
      <c r="B22" s="67">
        <v>45844</v>
      </c>
      <c r="C22" s="66">
        <v>6447.5</v>
      </c>
      <c r="D22" s="32">
        <f t="shared" si="0"/>
        <v>-7.7716220375499967E-3</v>
      </c>
      <c r="F22" s="68">
        <v>25149.85</v>
      </c>
      <c r="G22" s="32">
        <f t="shared" si="1"/>
        <v>7.267185722753533E-3</v>
      </c>
      <c r="I22" s="73" t="s">
        <v>163</v>
      </c>
      <c r="J22" s="73">
        <v>0.23462109819884991</v>
      </c>
    </row>
    <row r="23" spans="2:17" x14ac:dyDescent="0.25">
      <c r="B23" s="67">
        <v>45837</v>
      </c>
      <c r="C23" s="66">
        <v>6252</v>
      </c>
      <c r="D23" s="32">
        <f t="shared" si="0"/>
        <v>-3.032183016673129E-2</v>
      </c>
      <c r="F23" s="68">
        <v>25461</v>
      </c>
      <c r="G23" s="32">
        <f t="shared" si="1"/>
        <v>1.2371843172026997E-2</v>
      </c>
      <c r="I23" s="73" t="s">
        <v>164</v>
      </c>
      <c r="J23" s="73">
        <v>3.398127559959644E-2</v>
      </c>
    </row>
    <row r="24" spans="2:17" ht="15.75" thickBot="1" x14ac:dyDescent="0.3">
      <c r="B24" s="67">
        <v>45830</v>
      </c>
      <c r="C24" s="66">
        <v>6336</v>
      </c>
      <c r="D24" s="32">
        <f t="shared" si="0"/>
        <v>1.3435700575815668E-2</v>
      </c>
      <c r="F24" s="68">
        <v>25637.8</v>
      </c>
      <c r="G24" s="32">
        <f t="shared" si="1"/>
        <v>6.9439534975059836E-3</v>
      </c>
      <c r="I24" s="74" t="s">
        <v>165</v>
      </c>
      <c r="J24" s="74">
        <v>103</v>
      </c>
    </row>
    <row r="25" spans="2:17" x14ac:dyDescent="0.25">
      <c r="B25" s="67">
        <v>45823</v>
      </c>
      <c r="C25" s="66">
        <v>5693.5</v>
      </c>
      <c r="D25" s="32">
        <f t="shared" si="0"/>
        <v>-0.10140467171717171</v>
      </c>
      <c r="F25" s="68">
        <v>25112.400000000001</v>
      </c>
      <c r="G25" s="32">
        <f t="shared" si="1"/>
        <v>-2.0493178041797622E-2</v>
      </c>
    </row>
    <row r="26" spans="2:17" ht="15.75" thickBot="1" x14ac:dyDescent="0.3">
      <c r="B26" s="67">
        <v>45816</v>
      </c>
      <c r="C26" s="66">
        <v>6082.5</v>
      </c>
      <c r="D26" s="32">
        <f t="shared" si="0"/>
        <v>6.8323526828839798E-2</v>
      </c>
      <c r="F26" s="68">
        <v>24718.6</v>
      </c>
      <c r="G26" s="32">
        <f t="shared" si="1"/>
        <v>-1.568149599401103E-2</v>
      </c>
      <c r="I26" t="s">
        <v>166</v>
      </c>
    </row>
    <row r="27" spans="2:17" x14ac:dyDescent="0.25">
      <c r="B27" s="67">
        <v>45809</v>
      </c>
      <c r="C27" s="66">
        <v>5876.5</v>
      </c>
      <c r="D27" s="32">
        <f t="shared" si="0"/>
        <v>-3.3867653103164863E-2</v>
      </c>
      <c r="F27" s="68">
        <v>25003.05</v>
      </c>
      <c r="G27" s="32">
        <f t="shared" si="1"/>
        <v>1.1507528743537332E-2</v>
      </c>
      <c r="I27" s="75"/>
      <c r="J27" s="75" t="s">
        <v>170</v>
      </c>
      <c r="K27" s="75" t="s">
        <v>171</v>
      </c>
      <c r="L27" s="75" t="s">
        <v>172</v>
      </c>
      <c r="M27" s="75" t="s">
        <v>173</v>
      </c>
      <c r="N27" s="75" t="s">
        <v>174</v>
      </c>
    </row>
    <row r="28" spans="2:17" x14ac:dyDescent="0.25">
      <c r="B28" s="67">
        <v>45802</v>
      </c>
      <c r="C28" s="66">
        <v>5497.5</v>
      </c>
      <c r="D28" s="32">
        <f t="shared" si="0"/>
        <v>-6.4494171700842373E-2</v>
      </c>
      <c r="F28" s="68">
        <v>24750.7</v>
      </c>
      <c r="G28" s="32">
        <f t="shared" si="1"/>
        <v>-1.0092768682220754E-2</v>
      </c>
      <c r="I28" s="73" t="s">
        <v>167</v>
      </c>
      <c r="J28" s="73">
        <v>1</v>
      </c>
      <c r="K28" s="73">
        <v>3.7259956071975853E-2</v>
      </c>
      <c r="L28" s="73">
        <v>3.7259956071975853E-2</v>
      </c>
      <c r="M28" s="73">
        <v>32.26732649667445</v>
      </c>
      <c r="N28" s="73">
        <v>1.300265737052536E-7</v>
      </c>
    </row>
    <row r="29" spans="2:17" x14ac:dyDescent="0.25">
      <c r="B29" s="67">
        <v>45795</v>
      </c>
      <c r="C29" s="66">
        <v>5108.5</v>
      </c>
      <c r="D29" s="32">
        <f t="shared" si="0"/>
        <v>-7.0759436107321494E-2</v>
      </c>
      <c r="F29" s="68">
        <v>24853.15</v>
      </c>
      <c r="G29" s="32">
        <f t="shared" si="1"/>
        <v>4.139276868937003E-3</v>
      </c>
      <c r="I29" s="73" t="s">
        <v>168</v>
      </c>
      <c r="J29" s="73">
        <v>101</v>
      </c>
      <c r="K29" s="73">
        <v>0.11662743622894856</v>
      </c>
      <c r="L29" s="73">
        <v>1.1547270913757283E-3</v>
      </c>
      <c r="M29" s="73"/>
      <c r="N29" s="73"/>
    </row>
    <row r="30" spans="2:17" ht="15.75" thickBot="1" x14ac:dyDescent="0.3">
      <c r="B30" s="67">
        <v>45788</v>
      </c>
      <c r="C30" s="66">
        <v>5251.5</v>
      </c>
      <c r="D30" s="32">
        <f t="shared" si="0"/>
        <v>2.799256141724582E-2</v>
      </c>
      <c r="F30" s="68">
        <v>25019.8</v>
      </c>
      <c r="G30" s="32">
        <f t="shared" si="1"/>
        <v>6.705387445856914E-3</v>
      </c>
      <c r="I30" s="74" t="s">
        <v>12</v>
      </c>
      <c r="J30" s="74">
        <v>102</v>
      </c>
      <c r="K30" s="74">
        <v>0.15388739230092441</v>
      </c>
      <c r="L30" s="74"/>
      <c r="M30" s="74"/>
      <c r="N30" s="74"/>
    </row>
    <row r="31" spans="2:17" ht="15.75" thickBot="1" x14ac:dyDescent="0.3">
      <c r="B31" s="67">
        <v>45781</v>
      </c>
      <c r="C31" s="66">
        <v>5108</v>
      </c>
      <c r="D31" s="32">
        <f t="shared" si="0"/>
        <v>-2.7325526040179016E-2</v>
      </c>
      <c r="F31" s="68">
        <v>24008</v>
      </c>
      <c r="G31" s="32">
        <f t="shared" si="1"/>
        <v>-4.0439971542538311E-2</v>
      </c>
    </row>
    <row r="32" spans="2:17" x14ac:dyDescent="0.25">
      <c r="B32" s="67">
        <v>45774</v>
      </c>
      <c r="C32" s="66">
        <v>5162</v>
      </c>
      <c r="D32" s="32">
        <f t="shared" si="0"/>
        <v>1.057165231010182E-2</v>
      </c>
      <c r="F32" s="68">
        <v>24346.7</v>
      </c>
      <c r="G32" s="32">
        <f t="shared" si="1"/>
        <v>1.4107797400866318E-2</v>
      </c>
      <c r="I32" s="75"/>
      <c r="J32" s="75" t="s">
        <v>175</v>
      </c>
      <c r="K32" s="75" t="s">
        <v>164</v>
      </c>
      <c r="L32" s="75" t="s">
        <v>176</v>
      </c>
      <c r="M32" s="75" t="s">
        <v>177</v>
      </c>
      <c r="N32" s="75" t="s">
        <v>178</v>
      </c>
      <c r="O32" s="75" t="s">
        <v>179</v>
      </c>
      <c r="P32" s="75" t="s">
        <v>180</v>
      </c>
      <c r="Q32" s="75" t="s">
        <v>181</v>
      </c>
    </row>
    <row r="33" spans="2:17" x14ac:dyDescent="0.25">
      <c r="B33" s="67">
        <v>45767</v>
      </c>
      <c r="C33" s="66">
        <v>5245.3</v>
      </c>
      <c r="D33" s="32">
        <f t="shared" si="0"/>
        <v>1.6137156141030617E-2</v>
      </c>
      <c r="F33" s="68">
        <v>24039.35</v>
      </c>
      <c r="G33" s="32">
        <f t="shared" si="1"/>
        <v>-1.2623887426222113E-2</v>
      </c>
      <c r="I33" s="73" t="s">
        <v>169</v>
      </c>
      <c r="J33" s="73">
        <v>-3.3860314786834625E-3</v>
      </c>
      <c r="K33" s="73">
        <v>3.3727397263765527E-3</v>
      </c>
      <c r="L33" s="73">
        <v>-1.003940936267024</v>
      </c>
      <c r="M33" s="73">
        <v>0.3178062774394198</v>
      </c>
      <c r="N33" s="73">
        <v>-1.0076639838796633E-2</v>
      </c>
      <c r="O33" s="73">
        <v>3.3045768814297075E-3</v>
      </c>
      <c r="P33" s="73">
        <v>-1.0076639838796633E-2</v>
      </c>
      <c r="Q33" s="73">
        <v>3.3045768814297075E-3</v>
      </c>
    </row>
    <row r="34" spans="2:17" ht="15.75" thickBot="1" x14ac:dyDescent="0.3">
      <c r="B34" s="67">
        <v>45760</v>
      </c>
      <c r="C34" s="66">
        <v>5060.8</v>
      </c>
      <c r="D34" s="32">
        <f t="shared" si="0"/>
        <v>-3.5174346557870884E-2</v>
      </c>
      <c r="F34" s="68">
        <v>23851.65</v>
      </c>
      <c r="G34" s="32">
        <f t="shared" si="1"/>
        <v>-7.8080314151587338E-3</v>
      </c>
      <c r="I34" s="74" t="s">
        <v>182</v>
      </c>
      <c r="J34" s="74">
        <v>1.0994855575687337</v>
      </c>
      <c r="K34" s="74">
        <v>0.19355662341175281</v>
      </c>
      <c r="L34" s="74">
        <v>5.6804336539277145</v>
      </c>
      <c r="M34" s="74">
        <v>1.3002657370524791E-7</v>
      </c>
      <c r="N34" s="74">
        <v>0.71552128287943706</v>
      </c>
      <c r="O34" s="74">
        <v>1.4834498322580303</v>
      </c>
      <c r="P34" s="74">
        <v>0.71552128287943706</v>
      </c>
      <c r="Q34" s="74">
        <v>1.4834498322580303</v>
      </c>
    </row>
    <row r="35" spans="2:17" x14ac:dyDescent="0.25">
      <c r="B35" s="67">
        <v>45753</v>
      </c>
      <c r="C35" s="66">
        <v>4957.45</v>
      </c>
      <c r="D35" s="32">
        <f t="shared" si="0"/>
        <v>-2.0421672462851759E-2</v>
      </c>
      <c r="F35" s="68">
        <v>22828.55</v>
      </c>
      <c r="G35" s="32">
        <f t="shared" si="1"/>
        <v>-4.2894307102443685E-2</v>
      </c>
    </row>
    <row r="36" spans="2:17" x14ac:dyDescent="0.25">
      <c r="B36" s="67">
        <v>45746</v>
      </c>
      <c r="C36" s="66">
        <v>4954.7</v>
      </c>
      <c r="D36" s="32">
        <f t="shared" si="0"/>
        <v>-5.5472067292661187E-4</v>
      </c>
      <c r="F36" s="68">
        <v>22904.45</v>
      </c>
      <c r="G36" s="32">
        <f t="shared" si="1"/>
        <v>3.3247840971064591E-3</v>
      </c>
    </row>
    <row r="37" spans="2:17" x14ac:dyDescent="0.25">
      <c r="B37" s="67">
        <v>45739</v>
      </c>
      <c r="C37" s="66">
        <v>4932.6499999999996</v>
      </c>
      <c r="D37" s="32">
        <f t="shared" si="0"/>
        <v>-4.4503198982784875E-3</v>
      </c>
      <c r="F37" s="68">
        <v>23519.35</v>
      </c>
      <c r="G37" s="32">
        <f t="shared" si="1"/>
        <v>2.6846311524616251E-2</v>
      </c>
    </row>
    <row r="38" spans="2:17" x14ac:dyDescent="0.25">
      <c r="B38" s="67">
        <v>45732</v>
      </c>
      <c r="C38" s="66">
        <v>4822.5</v>
      </c>
      <c r="D38" s="32">
        <f t="shared" si="0"/>
        <v>-2.2330795819691218E-2</v>
      </c>
      <c r="F38" s="68">
        <v>23350.400000000001</v>
      </c>
      <c r="G38" s="32">
        <f t="shared" si="1"/>
        <v>-7.1834468214468927E-3</v>
      </c>
    </row>
    <row r="39" spans="2:17" x14ac:dyDescent="0.25">
      <c r="B39" s="67">
        <v>45725</v>
      </c>
      <c r="C39" s="66">
        <v>4271.3</v>
      </c>
      <c r="D39" s="32">
        <f t="shared" si="0"/>
        <v>-0.11429756350440634</v>
      </c>
      <c r="F39" s="68">
        <v>22397.200000000001</v>
      </c>
      <c r="G39" s="32">
        <f t="shared" si="1"/>
        <v>-4.0821570508428162E-2</v>
      </c>
    </row>
    <row r="40" spans="2:17" x14ac:dyDescent="0.25">
      <c r="B40" s="67">
        <v>45718</v>
      </c>
      <c r="C40" s="66">
        <v>4421.55</v>
      </c>
      <c r="D40" s="32">
        <f t="shared" si="0"/>
        <v>3.5176644113033451E-2</v>
      </c>
      <c r="F40" s="68">
        <v>22552.5</v>
      </c>
      <c r="G40" s="32">
        <f t="shared" si="1"/>
        <v>6.9339024520922443E-3</v>
      </c>
    </row>
    <row r="41" spans="2:17" x14ac:dyDescent="0.25">
      <c r="B41" s="67">
        <v>45711</v>
      </c>
      <c r="C41" s="66">
        <v>4389.3500000000004</v>
      </c>
      <c r="D41" s="32">
        <f t="shared" si="0"/>
        <v>-7.2825140505026198E-3</v>
      </c>
      <c r="F41" s="68">
        <v>22124.7</v>
      </c>
      <c r="G41" s="32">
        <f t="shared" si="1"/>
        <v>-1.8969072164948475E-2</v>
      </c>
    </row>
    <row r="42" spans="2:17" x14ac:dyDescent="0.25">
      <c r="B42" s="67">
        <v>45704</v>
      </c>
      <c r="C42" s="66">
        <v>4580.1499999999996</v>
      </c>
      <c r="D42" s="32">
        <f t="shared" si="0"/>
        <v>4.3468850740997933E-2</v>
      </c>
      <c r="F42" s="68">
        <v>22795.9</v>
      </c>
      <c r="G42" s="32">
        <f t="shared" si="1"/>
        <v>3.0337134514818231E-2</v>
      </c>
    </row>
    <row r="43" spans="2:17" x14ac:dyDescent="0.25">
      <c r="B43" s="67">
        <v>45697</v>
      </c>
      <c r="C43" s="66">
        <v>4657.25</v>
      </c>
      <c r="D43" s="32">
        <f t="shared" si="0"/>
        <v>1.6833509819547565E-2</v>
      </c>
      <c r="F43" s="68">
        <v>22929.25</v>
      </c>
      <c r="G43" s="32">
        <f t="shared" si="1"/>
        <v>5.8497361367613188E-3</v>
      </c>
    </row>
    <row r="44" spans="2:17" x14ac:dyDescent="0.25">
      <c r="B44" s="67">
        <v>45690</v>
      </c>
      <c r="C44" s="66">
        <v>4879.7</v>
      </c>
      <c r="D44" s="32">
        <f t="shared" si="0"/>
        <v>4.7764238552794103E-2</v>
      </c>
      <c r="F44" s="68">
        <v>23559.95</v>
      </c>
      <c r="G44" s="32">
        <f t="shared" si="1"/>
        <v>2.7506351058146361E-2</v>
      </c>
    </row>
    <row r="45" spans="2:17" x14ac:dyDescent="0.25">
      <c r="B45" s="67">
        <v>45683</v>
      </c>
      <c r="C45" s="66">
        <v>4834.8500000000004</v>
      </c>
      <c r="D45" s="32">
        <f t="shared" si="0"/>
        <v>-9.1911387995162741E-3</v>
      </c>
      <c r="F45" s="68">
        <v>23508.400000000001</v>
      </c>
      <c r="G45" s="32">
        <f t="shared" si="1"/>
        <v>-2.188035203809835E-3</v>
      </c>
    </row>
    <row r="46" spans="2:17" x14ac:dyDescent="0.25">
      <c r="B46" s="67">
        <v>45676</v>
      </c>
      <c r="C46" s="66">
        <v>4755.8999999999996</v>
      </c>
      <c r="D46" s="32">
        <f t="shared" si="0"/>
        <v>-1.6329358718471298E-2</v>
      </c>
      <c r="F46" s="68">
        <v>23092.2</v>
      </c>
      <c r="G46" s="32">
        <f t="shared" si="1"/>
        <v>-1.7704309948784247E-2</v>
      </c>
    </row>
    <row r="47" spans="2:17" x14ac:dyDescent="0.25">
      <c r="B47" s="67">
        <v>45669</v>
      </c>
      <c r="C47" s="66">
        <v>4541.2</v>
      </c>
      <c r="D47" s="32">
        <f t="shared" si="0"/>
        <v>-4.5143926491305497E-2</v>
      </c>
      <c r="F47" s="68">
        <v>23203.200000000001</v>
      </c>
      <c r="G47" s="32">
        <f t="shared" si="1"/>
        <v>4.8068178865590117E-3</v>
      </c>
    </row>
    <row r="48" spans="2:17" x14ac:dyDescent="0.25">
      <c r="B48" s="67">
        <v>45662</v>
      </c>
      <c r="C48" s="66">
        <v>4543.55</v>
      </c>
      <c r="D48" s="32">
        <f t="shared" si="0"/>
        <v>5.1748436536613873E-4</v>
      </c>
      <c r="F48" s="68">
        <v>23431.5</v>
      </c>
      <c r="G48" s="32">
        <f t="shared" si="1"/>
        <v>9.8391601158460684E-3</v>
      </c>
    </row>
    <row r="49" spans="2:7" x14ac:dyDescent="0.25">
      <c r="B49" s="67">
        <v>45655</v>
      </c>
      <c r="C49" s="66">
        <v>4726.55</v>
      </c>
      <c r="D49" s="32">
        <f t="shared" si="0"/>
        <v>4.0276876011048568E-2</v>
      </c>
      <c r="F49" s="68">
        <v>24004.75</v>
      </c>
      <c r="G49" s="32">
        <f t="shared" si="1"/>
        <v>2.4464929688666981E-2</v>
      </c>
    </row>
    <row r="50" spans="2:7" x14ac:dyDescent="0.25">
      <c r="B50" s="67">
        <v>45648</v>
      </c>
      <c r="C50" s="66">
        <v>4572.45</v>
      </c>
      <c r="D50" s="32">
        <f t="shared" si="0"/>
        <v>-3.2603061429584024E-2</v>
      </c>
      <c r="F50" s="68">
        <v>23813.4</v>
      </c>
      <c r="G50" s="32">
        <f t="shared" si="1"/>
        <v>-7.9713390058216982E-3</v>
      </c>
    </row>
    <row r="51" spans="2:7" x14ac:dyDescent="0.25">
      <c r="B51" s="67">
        <v>45641</v>
      </c>
      <c r="C51" s="66">
        <v>4517.8</v>
      </c>
      <c r="D51" s="32">
        <f t="shared" si="0"/>
        <v>-1.1952016971207957E-2</v>
      </c>
      <c r="F51" s="68">
        <v>23587.5</v>
      </c>
      <c r="G51" s="32">
        <f t="shared" si="1"/>
        <v>-9.4862556375822082E-3</v>
      </c>
    </row>
    <row r="52" spans="2:7" x14ac:dyDescent="0.25">
      <c r="B52" s="67">
        <v>45634</v>
      </c>
      <c r="C52" s="66">
        <v>4749.1000000000004</v>
      </c>
      <c r="D52" s="32">
        <f t="shared" si="0"/>
        <v>5.1197485501792928E-2</v>
      </c>
      <c r="F52" s="68">
        <v>24768.3</v>
      </c>
      <c r="G52" s="32">
        <f t="shared" si="1"/>
        <v>5.0060413354531041E-2</v>
      </c>
    </row>
    <row r="53" spans="2:7" x14ac:dyDescent="0.25">
      <c r="B53" s="67">
        <v>45627</v>
      </c>
      <c r="C53" s="66">
        <v>4596.6499999999996</v>
      </c>
      <c r="D53" s="32">
        <f t="shared" si="0"/>
        <v>-3.2100819102566902E-2</v>
      </c>
      <c r="F53" s="68">
        <v>24677.8</v>
      </c>
      <c r="G53" s="32">
        <f t="shared" si="1"/>
        <v>-3.653864011660013E-3</v>
      </c>
    </row>
    <row r="54" spans="2:7" x14ac:dyDescent="0.25">
      <c r="B54" s="67">
        <v>45620</v>
      </c>
      <c r="C54" s="66">
        <v>4278.25</v>
      </c>
      <c r="D54" s="32">
        <f t="shared" si="0"/>
        <v>-6.9267836359087509E-2</v>
      </c>
      <c r="F54" s="68">
        <v>24131.1</v>
      </c>
      <c r="G54" s="32">
        <f t="shared" si="1"/>
        <v>-2.2153514494809179E-2</v>
      </c>
    </row>
    <row r="55" spans="2:7" x14ac:dyDescent="0.25">
      <c r="B55" s="67">
        <v>45613</v>
      </c>
      <c r="C55" s="66">
        <v>4135.8500000000004</v>
      </c>
      <c r="D55" s="32">
        <f t="shared" si="0"/>
        <v>-3.3284637410155971E-2</v>
      </c>
      <c r="F55" s="68">
        <v>23907.25</v>
      </c>
      <c r="G55" s="32">
        <f t="shared" si="1"/>
        <v>-9.2764109385812255E-3</v>
      </c>
    </row>
    <row r="56" spans="2:7" x14ac:dyDescent="0.25">
      <c r="B56" s="67">
        <v>45606</v>
      </c>
      <c r="C56" s="66">
        <v>3999.3</v>
      </c>
      <c r="D56" s="32">
        <f t="shared" si="0"/>
        <v>-3.3016187724409729E-2</v>
      </c>
      <c r="F56" s="68">
        <v>23532.7</v>
      </c>
      <c r="G56" s="32">
        <f t="shared" si="1"/>
        <v>-1.5666795637306663E-2</v>
      </c>
    </row>
    <row r="57" spans="2:7" x14ac:dyDescent="0.25">
      <c r="B57" s="67">
        <v>45599</v>
      </c>
      <c r="C57" s="66">
        <v>4081.3</v>
      </c>
      <c r="D57" s="32">
        <f t="shared" si="0"/>
        <v>2.0503588127922301E-2</v>
      </c>
      <c r="F57" s="68">
        <v>24148.2</v>
      </c>
      <c r="G57" s="32">
        <f t="shared" si="1"/>
        <v>2.6155094825498049E-2</v>
      </c>
    </row>
    <row r="58" spans="2:7" x14ac:dyDescent="0.25">
      <c r="B58" s="67">
        <v>45592</v>
      </c>
      <c r="C58" s="66">
        <v>4345.25</v>
      </c>
      <c r="D58" s="32">
        <f t="shared" si="0"/>
        <v>6.4673020851199414E-2</v>
      </c>
      <c r="F58" s="68">
        <v>24304.35</v>
      </c>
      <c r="G58" s="32">
        <f t="shared" si="1"/>
        <v>6.4663204710908584E-3</v>
      </c>
    </row>
    <row r="59" spans="2:7" x14ac:dyDescent="0.25">
      <c r="B59" s="67">
        <v>45585</v>
      </c>
      <c r="C59" s="66">
        <v>4105</v>
      </c>
      <c r="D59" s="32">
        <f t="shared" si="0"/>
        <v>-5.5290259478741111E-2</v>
      </c>
      <c r="F59" s="68">
        <v>24180.799999999999</v>
      </c>
      <c r="G59" s="32">
        <f t="shared" si="1"/>
        <v>-5.0834521392261189E-3</v>
      </c>
    </row>
    <row r="60" spans="2:7" x14ac:dyDescent="0.25">
      <c r="B60" s="67">
        <v>45578</v>
      </c>
      <c r="C60" s="66">
        <v>4302.7</v>
      </c>
      <c r="D60" s="32">
        <f t="shared" si="0"/>
        <v>4.8160779537149701E-2</v>
      </c>
      <c r="F60" s="68">
        <v>24854.05</v>
      </c>
      <c r="G60" s="32">
        <f t="shared" si="1"/>
        <v>2.7842337722490562E-2</v>
      </c>
    </row>
    <row r="61" spans="2:7" x14ac:dyDescent="0.25">
      <c r="B61" s="67">
        <v>45571</v>
      </c>
      <c r="C61" s="66">
        <v>4238.75</v>
      </c>
      <c r="D61" s="32">
        <f t="shared" si="0"/>
        <v>-1.4862760592186275E-2</v>
      </c>
      <c r="F61" s="68">
        <v>24964.25</v>
      </c>
      <c r="G61" s="32">
        <f t="shared" si="1"/>
        <v>4.4338850207512603E-3</v>
      </c>
    </row>
    <row r="62" spans="2:7" x14ac:dyDescent="0.25">
      <c r="B62" s="67">
        <v>45564</v>
      </c>
      <c r="C62" s="66">
        <v>4565.55</v>
      </c>
      <c r="D62" s="32">
        <f t="shared" si="0"/>
        <v>7.7098201120613385E-2</v>
      </c>
      <c r="F62" s="68">
        <v>25014.6</v>
      </c>
      <c r="G62" s="32">
        <f t="shared" si="1"/>
        <v>2.0168841443264363E-3</v>
      </c>
    </row>
    <row r="63" spans="2:7" x14ac:dyDescent="0.25">
      <c r="B63" s="67">
        <v>45557</v>
      </c>
      <c r="C63" s="66">
        <v>4636.25</v>
      </c>
      <c r="D63" s="32">
        <f t="shared" si="0"/>
        <v>1.548553843458067E-2</v>
      </c>
      <c r="F63" s="68">
        <v>26178.95</v>
      </c>
      <c r="G63" s="32">
        <f t="shared" si="1"/>
        <v>4.6546816659071233E-2</v>
      </c>
    </row>
    <row r="64" spans="2:7" x14ac:dyDescent="0.25">
      <c r="B64" s="67">
        <v>45550</v>
      </c>
      <c r="C64" s="66">
        <v>4632.7</v>
      </c>
      <c r="D64" s="32">
        <f t="shared" si="0"/>
        <v>-7.6570504179029886E-4</v>
      </c>
      <c r="F64" s="68">
        <v>25790.95</v>
      </c>
      <c r="G64" s="32">
        <f t="shared" si="1"/>
        <v>-1.4821068071866894E-2</v>
      </c>
    </row>
    <row r="65" spans="2:7" x14ac:dyDescent="0.25">
      <c r="B65" s="67">
        <v>45543</v>
      </c>
      <c r="C65" s="66">
        <v>4766.3999999999996</v>
      </c>
      <c r="D65" s="32">
        <f t="shared" si="0"/>
        <v>2.8860060008202515E-2</v>
      </c>
      <c r="F65" s="68">
        <v>25356.5</v>
      </c>
      <c r="G65" s="32">
        <f t="shared" si="1"/>
        <v>-1.684505611464493E-2</v>
      </c>
    </row>
    <row r="66" spans="2:7" x14ac:dyDescent="0.25">
      <c r="B66" s="67">
        <v>45536</v>
      </c>
      <c r="C66" s="66">
        <v>4697.95</v>
      </c>
      <c r="D66" s="32">
        <f t="shared" si="0"/>
        <v>-1.4360943269553506E-2</v>
      </c>
      <c r="F66" s="68">
        <v>24852.15</v>
      </c>
      <c r="G66" s="32">
        <f t="shared" si="1"/>
        <v>-1.9890363417664036E-2</v>
      </c>
    </row>
    <row r="67" spans="2:7" x14ac:dyDescent="0.25">
      <c r="B67" s="67">
        <v>45529</v>
      </c>
      <c r="C67" s="66">
        <v>4453.8999999999996</v>
      </c>
      <c r="D67" s="32">
        <f t="shared" si="0"/>
        <v>-5.1948190168052077E-2</v>
      </c>
      <c r="F67" s="68">
        <v>25235.9</v>
      </c>
      <c r="G67" s="32">
        <f t="shared" si="1"/>
        <v>1.544131996628062E-2</v>
      </c>
    </row>
    <row r="68" spans="2:7" x14ac:dyDescent="0.25">
      <c r="B68" s="67">
        <v>45522</v>
      </c>
      <c r="C68" s="66">
        <v>4393.3500000000004</v>
      </c>
      <c r="D68" s="32">
        <f t="shared" si="0"/>
        <v>-1.3594827005545485E-2</v>
      </c>
      <c r="F68" s="68">
        <v>24823.15</v>
      </c>
      <c r="G68" s="32">
        <f t="shared" si="1"/>
        <v>-1.6355667917530181E-2</v>
      </c>
    </row>
    <row r="69" spans="2:7" x14ac:dyDescent="0.25">
      <c r="B69" s="67">
        <v>45515</v>
      </c>
      <c r="C69" s="66">
        <v>4239.95</v>
      </c>
      <c r="D69" s="32">
        <f t="shared" si="0"/>
        <v>-3.4916407752626277E-2</v>
      </c>
      <c r="F69" s="68">
        <v>24541.15</v>
      </c>
      <c r="G69" s="32">
        <f t="shared" si="1"/>
        <v>-1.1360363209342861E-2</v>
      </c>
    </row>
    <row r="70" spans="2:7" x14ac:dyDescent="0.25">
      <c r="B70" s="67">
        <v>45508</v>
      </c>
      <c r="C70" s="66">
        <v>4240.2</v>
      </c>
      <c r="D70" s="32">
        <f t="shared" si="0"/>
        <v>5.8962959468944476E-5</v>
      </c>
      <c r="F70" s="68">
        <v>24367.5</v>
      </c>
      <c r="G70" s="32">
        <f t="shared" si="1"/>
        <v>-7.0758705276647849E-3</v>
      </c>
    </row>
    <row r="71" spans="2:7" x14ac:dyDescent="0.25">
      <c r="B71" s="67">
        <v>45501</v>
      </c>
      <c r="C71" s="66">
        <v>4284.6000000000004</v>
      </c>
      <c r="D71" s="32">
        <f t="shared" si="0"/>
        <v>1.0471204188481797E-2</v>
      </c>
      <c r="F71" s="68">
        <v>24717.7</v>
      </c>
      <c r="G71" s="32">
        <f t="shared" si="1"/>
        <v>1.4371601518415877E-2</v>
      </c>
    </row>
    <row r="72" spans="2:7" x14ac:dyDescent="0.25">
      <c r="B72" s="67">
        <v>45494</v>
      </c>
      <c r="C72" s="66">
        <v>4387.6499999999996</v>
      </c>
      <c r="D72" s="32">
        <f t="shared" si="0"/>
        <v>2.4051253325864552E-2</v>
      </c>
      <c r="F72" s="68">
        <v>24834.85</v>
      </c>
      <c r="G72" s="32">
        <f t="shared" si="1"/>
        <v>4.7395186445340354E-3</v>
      </c>
    </row>
    <row r="73" spans="2:7" x14ac:dyDescent="0.25">
      <c r="B73" s="67">
        <v>45487</v>
      </c>
      <c r="C73" s="66">
        <v>4284.55</v>
      </c>
      <c r="D73" s="32">
        <f t="shared" si="0"/>
        <v>-2.3497772155937513E-2</v>
      </c>
      <c r="F73" s="68">
        <v>24530.9</v>
      </c>
      <c r="G73" s="32">
        <f t="shared" si="1"/>
        <v>-1.2238849842056476E-2</v>
      </c>
    </row>
    <row r="74" spans="2:7" x14ac:dyDescent="0.25">
      <c r="B74" s="67">
        <v>45480</v>
      </c>
      <c r="C74" s="66">
        <v>4339.3999999999996</v>
      </c>
      <c r="D74" s="32">
        <f t="shared" si="0"/>
        <v>1.2801811158698051E-2</v>
      </c>
      <c r="F74" s="68">
        <v>24502.15</v>
      </c>
      <c r="G74" s="32">
        <f t="shared" si="1"/>
        <v>-1.1719912436967128E-3</v>
      </c>
    </row>
    <row r="75" spans="2:7" x14ac:dyDescent="0.25">
      <c r="B75" s="67">
        <v>45473</v>
      </c>
      <c r="C75" s="66">
        <v>4212.8500000000004</v>
      </c>
      <c r="D75" s="32">
        <f t="shared" si="0"/>
        <v>-2.916301792874576E-2</v>
      </c>
      <c r="F75" s="68">
        <v>24323.85</v>
      </c>
      <c r="G75" s="32">
        <f t="shared" si="1"/>
        <v>-7.2769124342150215E-3</v>
      </c>
    </row>
    <row r="76" spans="2:7" x14ac:dyDescent="0.25">
      <c r="B76" s="67">
        <v>45466</v>
      </c>
      <c r="C76" s="66">
        <v>4383.79</v>
      </c>
      <c r="D76" s="32">
        <f t="shared" ref="D76:D113" si="2">C76/C75-1</f>
        <v>4.0575857198808407E-2</v>
      </c>
      <c r="F76" s="68">
        <v>24010.6</v>
      </c>
      <c r="G76" s="32">
        <f t="shared" ref="G76:G113" si="3">F76/F75-1</f>
        <v>-1.2878306682535867E-2</v>
      </c>
    </row>
    <row r="77" spans="2:7" x14ac:dyDescent="0.25">
      <c r="B77" s="67">
        <v>45459</v>
      </c>
      <c r="C77" s="66">
        <v>4254.8500000000004</v>
      </c>
      <c r="D77" s="32">
        <f t="shared" si="2"/>
        <v>-2.9412905271465895E-2</v>
      </c>
      <c r="F77" s="68">
        <v>23501.1</v>
      </c>
      <c r="G77" s="32">
        <f t="shared" si="3"/>
        <v>-2.1219794590722429E-2</v>
      </c>
    </row>
    <row r="78" spans="2:7" x14ac:dyDescent="0.25">
      <c r="B78" s="67">
        <v>45452</v>
      </c>
      <c r="C78" s="66">
        <v>4321.57</v>
      </c>
      <c r="D78" s="32">
        <f t="shared" si="2"/>
        <v>1.5680928822402462E-2</v>
      </c>
      <c r="F78" s="68">
        <v>23465.599999999999</v>
      </c>
      <c r="G78" s="32">
        <f t="shared" si="3"/>
        <v>-1.5105675904532045E-3</v>
      </c>
    </row>
    <row r="79" spans="2:7" x14ac:dyDescent="0.25">
      <c r="B79" s="67">
        <v>45445</v>
      </c>
      <c r="C79" s="66">
        <v>4182.13</v>
      </c>
      <c r="D79" s="32">
        <f t="shared" si="2"/>
        <v>-3.2266051458150535E-2</v>
      </c>
      <c r="F79" s="68">
        <v>23290.15</v>
      </c>
      <c r="G79" s="32">
        <f t="shared" si="3"/>
        <v>-7.4769023591980677E-3</v>
      </c>
    </row>
    <row r="80" spans="2:7" x14ac:dyDescent="0.25">
      <c r="B80" s="67">
        <v>45438</v>
      </c>
      <c r="C80" s="66">
        <v>3867.66</v>
      </c>
      <c r="D80" s="32">
        <f t="shared" si="2"/>
        <v>-7.519374098844378E-2</v>
      </c>
      <c r="F80" s="68">
        <v>22530.7</v>
      </c>
      <c r="G80" s="32">
        <f t="shared" si="3"/>
        <v>-3.2608205614820029E-2</v>
      </c>
    </row>
    <row r="81" spans="2:7" x14ac:dyDescent="0.25">
      <c r="B81" s="67">
        <v>45431</v>
      </c>
      <c r="C81" s="66">
        <v>3985.72</v>
      </c>
      <c r="D81" s="32">
        <f t="shared" si="2"/>
        <v>3.0524916874802743E-2</v>
      </c>
      <c r="F81" s="68">
        <v>22957.1</v>
      </c>
      <c r="G81" s="32">
        <f t="shared" si="3"/>
        <v>1.8925288606212787E-2</v>
      </c>
    </row>
    <row r="82" spans="2:7" x14ac:dyDescent="0.25">
      <c r="B82" s="67">
        <v>45424</v>
      </c>
      <c r="C82" s="66">
        <v>3892.08</v>
      </c>
      <c r="D82" s="32">
        <f t="shared" si="2"/>
        <v>-2.3493873127063636E-2</v>
      </c>
      <c r="F82" s="68">
        <v>22466.1</v>
      </c>
      <c r="G82" s="32">
        <f t="shared" si="3"/>
        <v>-2.1387718832082458E-2</v>
      </c>
    </row>
    <row r="83" spans="2:7" x14ac:dyDescent="0.25">
      <c r="B83" s="67">
        <v>45417</v>
      </c>
      <c r="C83" s="66">
        <v>3836.34</v>
      </c>
      <c r="D83" s="32">
        <f t="shared" si="2"/>
        <v>-1.4321391132761874E-2</v>
      </c>
      <c r="F83" s="68">
        <v>22055.200000000001</v>
      </c>
      <c r="G83" s="32">
        <f t="shared" si="3"/>
        <v>-1.8289778822314418E-2</v>
      </c>
    </row>
    <row r="84" spans="2:7" x14ac:dyDescent="0.25">
      <c r="B84" s="67">
        <v>45410</v>
      </c>
      <c r="C84" s="66">
        <v>3972.68</v>
      </c>
      <c r="D84" s="32">
        <f t="shared" si="2"/>
        <v>3.5539081520407301E-2</v>
      </c>
      <c r="F84" s="68">
        <v>22475.85</v>
      </c>
      <c r="G84" s="32">
        <f t="shared" si="3"/>
        <v>1.9072599659037293E-2</v>
      </c>
    </row>
    <row r="85" spans="2:7" x14ac:dyDescent="0.25">
      <c r="B85" s="67">
        <v>45403</v>
      </c>
      <c r="C85" s="66">
        <v>4067.77</v>
      </c>
      <c r="D85" s="32">
        <f t="shared" si="2"/>
        <v>2.3935982762266272E-2</v>
      </c>
      <c r="F85" s="68">
        <v>22419.95</v>
      </c>
      <c r="G85" s="32">
        <f t="shared" si="3"/>
        <v>-2.4871139467471659E-3</v>
      </c>
    </row>
    <row r="86" spans="2:7" x14ac:dyDescent="0.25">
      <c r="B86" s="67">
        <v>45396</v>
      </c>
      <c r="C86" s="66">
        <v>4146.58</v>
      </c>
      <c r="D86" s="32">
        <f t="shared" si="2"/>
        <v>1.9374251739896708E-2</v>
      </c>
      <c r="F86" s="68">
        <v>22147</v>
      </c>
      <c r="G86" s="32">
        <f t="shared" si="3"/>
        <v>-1.2174425009868428E-2</v>
      </c>
    </row>
    <row r="87" spans="2:7" x14ac:dyDescent="0.25">
      <c r="B87" s="67">
        <v>45389</v>
      </c>
      <c r="C87" s="66">
        <v>4275.67</v>
      </c>
      <c r="D87" s="32">
        <f t="shared" si="2"/>
        <v>3.113167960102059E-2</v>
      </c>
      <c r="F87" s="68">
        <v>22519.4</v>
      </c>
      <c r="G87" s="32">
        <f t="shared" si="3"/>
        <v>1.6814918499119536E-2</v>
      </c>
    </row>
    <row r="88" spans="2:7" x14ac:dyDescent="0.25">
      <c r="B88" s="67">
        <v>45382</v>
      </c>
      <c r="C88" s="66">
        <v>4353.63</v>
      </c>
      <c r="D88" s="32">
        <f t="shared" si="2"/>
        <v>1.8233399677711315E-2</v>
      </c>
      <c r="F88" s="68">
        <v>22513.7</v>
      </c>
      <c r="G88" s="32">
        <f t="shared" si="3"/>
        <v>-2.5311509187642134E-4</v>
      </c>
    </row>
    <row r="89" spans="2:7" x14ac:dyDescent="0.25">
      <c r="B89" s="67">
        <v>45375</v>
      </c>
      <c r="C89" s="66">
        <v>4071.32</v>
      </c>
      <c r="D89" s="32">
        <f t="shared" si="2"/>
        <v>-6.4844738758231601E-2</v>
      </c>
      <c r="F89" s="68">
        <v>22326.9</v>
      </c>
      <c r="G89" s="32">
        <f t="shared" si="3"/>
        <v>-8.2971701674979803E-3</v>
      </c>
    </row>
    <row r="90" spans="2:7" x14ac:dyDescent="0.25">
      <c r="B90" s="67">
        <v>45368</v>
      </c>
      <c r="C90" s="66">
        <v>4098.7299999999996</v>
      </c>
      <c r="D90" s="32">
        <f t="shared" si="2"/>
        <v>6.7324602340270712E-3</v>
      </c>
      <c r="F90" s="68">
        <v>22096.75</v>
      </c>
      <c r="G90" s="32">
        <f t="shared" si="3"/>
        <v>-1.0308193255669229E-2</v>
      </c>
    </row>
    <row r="91" spans="2:7" x14ac:dyDescent="0.25">
      <c r="B91" s="67">
        <v>45361</v>
      </c>
      <c r="C91" s="66">
        <v>4065.32</v>
      </c>
      <c r="D91" s="32">
        <f t="shared" si="2"/>
        <v>-8.1513054043568234E-3</v>
      </c>
      <c r="F91" s="68">
        <v>22023.35</v>
      </c>
      <c r="G91" s="32">
        <f t="shared" si="3"/>
        <v>-3.3217554617761547E-3</v>
      </c>
    </row>
    <row r="92" spans="2:7" x14ac:dyDescent="0.25">
      <c r="B92" s="67">
        <v>45354</v>
      </c>
      <c r="C92" s="66">
        <v>4257.54</v>
      </c>
      <c r="D92" s="32">
        <f t="shared" si="2"/>
        <v>4.7282870721123915E-2</v>
      </c>
      <c r="F92" s="68">
        <v>22493.55</v>
      </c>
      <c r="G92" s="32">
        <f t="shared" si="3"/>
        <v>2.1350067087886337E-2</v>
      </c>
    </row>
    <row r="93" spans="2:7" x14ac:dyDescent="0.25">
      <c r="B93" s="67">
        <v>45347</v>
      </c>
      <c r="C93" s="66">
        <v>4495.66</v>
      </c>
      <c r="D93" s="32">
        <f t="shared" si="2"/>
        <v>5.5929010649342192E-2</v>
      </c>
      <c r="F93" s="68">
        <v>22338.75</v>
      </c>
      <c r="G93" s="32">
        <f t="shared" si="3"/>
        <v>-6.8819728322118134E-3</v>
      </c>
    </row>
    <row r="94" spans="2:7" x14ac:dyDescent="0.25">
      <c r="B94" s="67">
        <v>45340</v>
      </c>
      <c r="C94" s="66">
        <v>4338.5</v>
      </c>
      <c r="D94" s="32">
        <f t="shared" si="2"/>
        <v>-3.495815964730431E-2</v>
      </c>
      <c r="F94" s="68">
        <v>22212.7</v>
      </c>
      <c r="G94" s="32">
        <f t="shared" si="3"/>
        <v>-5.6426612948351496E-3</v>
      </c>
    </row>
    <row r="95" spans="2:7" x14ac:dyDescent="0.25">
      <c r="B95" s="67">
        <v>45333</v>
      </c>
      <c r="C95" s="66">
        <v>4205.91</v>
      </c>
      <c r="D95" s="32">
        <f t="shared" si="2"/>
        <v>-3.0561253889593187E-2</v>
      </c>
      <c r="F95" s="68">
        <v>22040.7</v>
      </c>
      <c r="G95" s="32">
        <f t="shared" si="3"/>
        <v>-7.7433180117680855E-3</v>
      </c>
    </row>
    <row r="96" spans="2:7" x14ac:dyDescent="0.25">
      <c r="B96" s="67">
        <v>45326</v>
      </c>
      <c r="C96" s="66">
        <v>4226.2299999999996</v>
      </c>
      <c r="D96" s="32">
        <f t="shared" si="2"/>
        <v>4.8312969131529826E-3</v>
      </c>
      <c r="F96" s="68">
        <v>21782.5</v>
      </c>
      <c r="G96" s="32">
        <f t="shared" si="3"/>
        <v>-1.1714691457167858E-2</v>
      </c>
    </row>
    <row r="97" spans="2:7" x14ac:dyDescent="0.25">
      <c r="B97" s="67">
        <v>45319</v>
      </c>
      <c r="C97" s="66">
        <v>4361.0200000000004</v>
      </c>
      <c r="D97" s="32">
        <f t="shared" si="2"/>
        <v>3.1893673557757296E-2</v>
      </c>
      <c r="F97" s="68">
        <v>21853.8</v>
      </c>
      <c r="G97" s="32">
        <f t="shared" si="3"/>
        <v>3.273269826695735E-3</v>
      </c>
    </row>
    <row r="98" spans="2:7" x14ac:dyDescent="0.25">
      <c r="B98" s="67">
        <v>45312</v>
      </c>
      <c r="C98" s="66">
        <v>4162.51</v>
      </c>
      <c r="D98" s="32">
        <f t="shared" si="2"/>
        <v>-4.5519167534200711E-2</v>
      </c>
      <c r="F98" s="68">
        <v>21352.6</v>
      </c>
      <c r="G98" s="32">
        <f t="shared" si="3"/>
        <v>-2.2934226541837188E-2</v>
      </c>
    </row>
    <row r="99" spans="2:7" x14ac:dyDescent="0.25">
      <c r="B99" s="67">
        <v>45305</v>
      </c>
      <c r="C99" s="66">
        <v>4048.44</v>
      </c>
      <c r="D99" s="32">
        <f t="shared" si="2"/>
        <v>-2.7404138368436359E-2</v>
      </c>
      <c r="F99" s="68">
        <v>21622.400000000001</v>
      </c>
      <c r="G99" s="32">
        <f t="shared" si="3"/>
        <v>1.2635463596939234E-2</v>
      </c>
    </row>
    <row r="100" spans="2:7" x14ac:dyDescent="0.25">
      <c r="B100" s="67">
        <v>45298</v>
      </c>
      <c r="C100" s="66">
        <v>4043.15</v>
      </c>
      <c r="D100" s="32">
        <f t="shared" si="2"/>
        <v>-1.3066761518016889E-3</v>
      </c>
      <c r="F100" s="68">
        <v>21894.55</v>
      </c>
      <c r="G100" s="32">
        <f t="shared" si="3"/>
        <v>1.2586484386561958E-2</v>
      </c>
    </row>
    <row r="101" spans="2:7" x14ac:dyDescent="0.25">
      <c r="B101" s="67">
        <v>45291</v>
      </c>
      <c r="C101" s="66">
        <v>3925.94</v>
      </c>
      <c r="D101" s="32">
        <f t="shared" si="2"/>
        <v>-2.8989772825643412E-2</v>
      </c>
      <c r="F101" s="68">
        <v>21710.799999999999</v>
      </c>
      <c r="G101" s="32">
        <f t="shared" si="3"/>
        <v>-8.3924995033010097E-3</v>
      </c>
    </row>
    <row r="102" spans="2:7" x14ac:dyDescent="0.25">
      <c r="B102" s="67">
        <v>45284</v>
      </c>
      <c r="C102" s="66">
        <v>3783.76</v>
      </c>
      <c r="D102" s="32">
        <f t="shared" si="2"/>
        <v>-3.6215530548098007E-2</v>
      </c>
      <c r="F102" s="68">
        <v>21731.4</v>
      </c>
      <c r="G102" s="32">
        <f t="shared" si="3"/>
        <v>9.4883652375776784E-4</v>
      </c>
    </row>
    <row r="103" spans="2:7" x14ac:dyDescent="0.25">
      <c r="B103" s="67">
        <v>45277</v>
      </c>
      <c r="C103" s="66">
        <v>3777.71</v>
      </c>
      <c r="D103" s="32">
        <f t="shared" si="2"/>
        <v>-1.5989386218999702E-3</v>
      </c>
      <c r="F103" s="68">
        <v>21349.4</v>
      </c>
      <c r="G103" s="32">
        <f t="shared" si="3"/>
        <v>-1.7578250825993735E-2</v>
      </c>
    </row>
    <row r="104" spans="2:7" x14ac:dyDescent="0.25">
      <c r="B104" s="67">
        <v>45270</v>
      </c>
      <c r="C104" s="66">
        <v>3917.2</v>
      </c>
      <c r="D104" s="32">
        <f t="shared" si="2"/>
        <v>3.6924485998131029E-2</v>
      </c>
      <c r="F104" s="68">
        <v>21456.65</v>
      </c>
      <c r="G104" s="32">
        <f t="shared" si="3"/>
        <v>5.023560381087977E-3</v>
      </c>
    </row>
    <row r="105" spans="2:7" x14ac:dyDescent="0.25">
      <c r="B105" s="67">
        <v>45263</v>
      </c>
      <c r="C105" s="66">
        <v>3793.55</v>
      </c>
      <c r="D105" s="32">
        <f t="shared" si="2"/>
        <v>-3.1565914428673403E-2</v>
      </c>
      <c r="F105" s="68">
        <v>20969.400000000001</v>
      </c>
      <c r="G105" s="32">
        <f t="shared" si="3"/>
        <v>-2.2708577527246754E-2</v>
      </c>
    </row>
    <row r="106" spans="2:7" x14ac:dyDescent="0.25">
      <c r="B106" s="67">
        <v>45256</v>
      </c>
      <c r="C106" s="66">
        <v>3657.16</v>
      </c>
      <c r="D106" s="32">
        <f t="shared" si="2"/>
        <v>-3.5953130972308345E-2</v>
      </c>
      <c r="F106" s="68">
        <v>20267.900000000001</v>
      </c>
      <c r="G106" s="32">
        <f t="shared" si="3"/>
        <v>-3.3453508445639879E-2</v>
      </c>
    </row>
    <row r="107" spans="2:7" x14ac:dyDescent="0.25">
      <c r="B107" s="67">
        <v>45249</v>
      </c>
      <c r="C107" s="66">
        <v>3523.87</v>
      </c>
      <c r="D107" s="32">
        <f t="shared" si="2"/>
        <v>-3.6446313532905283E-2</v>
      </c>
      <c r="F107" s="68">
        <v>19794.7</v>
      </c>
      <c r="G107" s="32">
        <f t="shared" si="3"/>
        <v>-2.3347263406667706E-2</v>
      </c>
    </row>
    <row r="108" spans="2:7" x14ac:dyDescent="0.25">
      <c r="B108" s="67">
        <v>45242</v>
      </c>
      <c r="C108" s="66">
        <v>3504.99</v>
      </c>
      <c r="D108" s="32">
        <f t="shared" si="2"/>
        <v>-5.3577458873341754E-3</v>
      </c>
      <c r="F108" s="68">
        <v>19731.8</v>
      </c>
      <c r="G108" s="32">
        <f t="shared" si="3"/>
        <v>-3.1776182513502116E-3</v>
      </c>
    </row>
    <row r="109" spans="2:7" x14ac:dyDescent="0.25">
      <c r="B109" s="67">
        <v>45235</v>
      </c>
      <c r="C109" s="66">
        <v>3459.39</v>
      </c>
      <c r="D109" s="32">
        <f t="shared" si="2"/>
        <v>-1.3010022853132241E-2</v>
      </c>
      <c r="F109" s="68">
        <v>19425.349999999999</v>
      </c>
      <c r="G109" s="32">
        <f t="shared" si="3"/>
        <v>-1.5530767593427863E-2</v>
      </c>
    </row>
    <row r="110" spans="2:7" x14ac:dyDescent="0.25">
      <c r="B110" s="67">
        <v>45228</v>
      </c>
      <c r="C110" s="66">
        <v>3127.94</v>
      </c>
      <c r="D110" s="32">
        <f t="shared" si="2"/>
        <v>-9.5811689344075024E-2</v>
      </c>
      <c r="F110" s="68">
        <v>19230.599999999999</v>
      </c>
      <c r="G110" s="32">
        <f t="shared" si="3"/>
        <v>-1.0025559385030358E-2</v>
      </c>
    </row>
    <row r="111" spans="2:7" x14ac:dyDescent="0.25">
      <c r="B111" s="67">
        <v>45221</v>
      </c>
      <c r="C111" s="66">
        <v>3072.45</v>
      </c>
      <c r="D111" s="32">
        <f t="shared" si="2"/>
        <v>-1.7740110104413898E-2</v>
      </c>
      <c r="F111" s="68">
        <v>19047.25</v>
      </c>
      <c r="G111" s="32">
        <f t="shared" si="3"/>
        <v>-9.5342839016983039E-3</v>
      </c>
    </row>
    <row r="112" spans="2:7" x14ac:dyDescent="0.25">
      <c r="B112" s="67">
        <v>45214</v>
      </c>
      <c r="C112" s="66">
        <v>3297.73</v>
      </c>
      <c r="D112" s="32">
        <f t="shared" si="2"/>
        <v>7.3322592719165636E-2</v>
      </c>
      <c r="F112" s="68">
        <v>19542.650000000001</v>
      </c>
      <c r="G112" s="32">
        <f t="shared" si="3"/>
        <v>2.6009003924451157E-2</v>
      </c>
    </row>
    <row r="113" spans="2:7" x14ac:dyDescent="0.25">
      <c r="B113" s="67">
        <v>45207</v>
      </c>
      <c r="C113" s="66">
        <v>3246.2</v>
      </c>
      <c r="D113" s="32">
        <f t="shared" si="2"/>
        <v>-1.5625900240468504E-2</v>
      </c>
      <c r="F113" s="68">
        <v>19751.05</v>
      </c>
      <c r="G113" s="32">
        <f t="shared" si="3"/>
        <v>1.0663855720692839E-2</v>
      </c>
    </row>
    <row r="114" spans="2:7" x14ac:dyDescent="0.25">
      <c r="C114" s="66"/>
    </row>
  </sheetData>
  <mergeCells count="3">
    <mergeCell ref="B7:D7"/>
    <mergeCell ref="F7:G7"/>
    <mergeCell ref="I7:J7"/>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EDCF2-2F03-4604-8475-6AD6755F52A4}">
  <sheetPr>
    <tabColor rgb="FF002060"/>
  </sheetPr>
  <dimension ref="B5:Q114"/>
  <sheetViews>
    <sheetView showGridLines="0" zoomScale="80" zoomScaleNormal="80" workbookViewId="0">
      <selection activeCell="B9" sqref="B9"/>
    </sheetView>
  </sheetViews>
  <sheetFormatPr defaultRowHeight="15" x14ac:dyDescent="0.25"/>
  <cols>
    <col min="1" max="1" width="1.85546875" customWidth="1"/>
    <col min="2" max="2" width="15.7109375" bestFit="1" customWidth="1"/>
    <col min="3" max="3" width="12.28515625" customWidth="1"/>
    <col min="4" max="4" width="16" customWidth="1"/>
    <col min="6" max="6" width="12.28515625" bestFit="1" customWidth="1"/>
    <col min="7" max="7" width="15.28515625" bestFit="1" customWidth="1"/>
    <col min="9" max="9" width="20.85546875" bestFit="1" customWidth="1"/>
    <col min="10" max="10" width="12.7109375" bestFit="1" customWidth="1"/>
    <col min="11" max="11" width="14.5703125" bestFit="1" customWidth="1"/>
    <col min="12" max="13" width="12" bestFit="1" customWidth="1"/>
    <col min="14" max="14" width="13.42578125" bestFit="1" customWidth="1"/>
    <col min="15" max="15" width="12" bestFit="1" customWidth="1"/>
    <col min="16" max="16" width="12.7109375" bestFit="1" customWidth="1"/>
    <col min="17" max="17" width="12.5703125" bestFit="1" customWidth="1"/>
  </cols>
  <sheetData>
    <row r="5" spans="2:10" s="27" customFormat="1" x14ac:dyDescent="0.25">
      <c r="B5" s="53" t="s">
        <v>153</v>
      </c>
      <c r="C5" s="51"/>
      <c r="D5" s="51"/>
      <c r="E5" s="51"/>
      <c r="F5" s="51"/>
      <c r="G5" s="51"/>
      <c r="H5" s="51"/>
      <c r="I5" s="51"/>
      <c r="J5" s="51"/>
    </row>
    <row r="6" spans="2:10" s="27" customFormat="1" x14ac:dyDescent="0.25">
      <c r="B6" s="69"/>
    </row>
    <row r="7" spans="2:10" x14ac:dyDescent="0.25">
      <c r="B7" s="328" t="str">
        <f>WACC!B18&amp;" Returns"</f>
        <v>Shree Cement Returns</v>
      </c>
      <c r="C7" s="328"/>
      <c r="D7" s="328"/>
      <c r="F7" s="328" t="s">
        <v>151</v>
      </c>
      <c r="G7" s="328"/>
      <c r="I7" s="328" t="s">
        <v>152</v>
      </c>
      <c r="J7" s="328"/>
    </row>
    <row r="8" spans="2:10" s="27" customFormat="1" x14ac:dyDescent="0.25"/>
    <row r="9" spans="2:10" x14ac:dyDescent="0.25">
      <c r="B9" s="70" t="s">
        <v>148</v>
      </c>
      <c r="C9" s="71" t="s">
        <v>149</v>
      </c>
      <c r="D9" s="71" t="s">
        <v>150</v>
      </c>
      <c r="E9" s="15"/>
      <c r="F9" s="71" t="s">
        <v>149</v>
      </c>
      <c r="G9" s="71" t="s">
        <v>150</v>
      </c>
      <c r="I9" s="72" t="s">
        <v>154</v>
      </c>
      <c r="J9" s="14">
        <f>J34</f>
        <v>0.80764538070758396</v>
      </c>
    </row>
    <row r="10" spans="2:10" x14ac:dyDescent="0.25">
      <c r="B10" s="67">
        <v>45928</v>
      </c>
      <c r="C10" s="66">
        <v>29180</v>
      </c>
      <c r="F10" s="68">
        <v>24894.25</v>
      </c>
      <c r="I10" s="20" t="s">
        <v>155</v>
      </c>
      <c r="J10" s="77">
        <v>0.75</v>
      </c>
    </row>
    <row r="11" spans="2:10" x14ac:dyDescent="0.25">
      <c r="B11" s="67">
        <v>45921</v>
      </c>
      <c r="C11" s="66">
        <v>28910</v>
      </c>
      <c r="D11" s="32">
        <f>C11/C10-1</f>
        <v>-9.2529129540781518E-3</v>
      </c>
      <c r="F11" s="68">
        <v>24654.7</v>
      </c>
      <c r="G11" s="32">
        <f>F11/F10-1</f>
        <v>-9.6227040380810758E-3</v>
      </c>
    </row>
    <row r="12" spans="2:10" x14ac:dyDescent="0.25">
      <c r="B12" s="67">
        <v>45914</v>
      </c>
      <c r="C12" s="66">
        <v>29880</v>
      </c>
      <c r="D12" s="32">
        <f t="shared" ref="D12:D75" si="0">C12/C11-1</f>
        <v>3.3552404012452408E-2</v>
      </c>
      <c r="F12" s="68">
        <v>25327.05</v>
      </c>
      <c r="G12" s="32">
        <f t="shared" ref="G12:G75" si="1">F12/F11-1</f>
        <v>2.7270662388915623E-2</v>
      </c>
      <c r="I12" s="20" t="s">
        <v>156</v>
      </c>
      <c r="J12" s="78">
        <v>1</v>
      </c>
    </row>
    <row r="13" spans="2:10" x14ac:dyDescent="0.25">
      <c r="B13" s="67">
        <v>45907</v>
      </c>
      <c r="C13" s="66">
        <v>29580</v>
      </c>
      <c r="D13" s="32">
        <f t="shared" si="0"/>
        <v>-1.0040160642570295E-2</v>
      </c>
      <c r="F13" s="68">
        <v>25114</v>
      </c>
      <c r="G13" s="32">
        <f t="shared" si="1"/>
        <v>-8.4119548072120187E-3</v>
      </c>
      <c r="I13" s="20" t="s">
        <v>157</v>
      </c>
      <c r="J13" s="77">
        <v>0.25</v>
      </c>
    </row>
    <row r="14" spans="2:10" x14ac:dyDescent="0.25">
      <c r="B14" s="67">
        <v>45900</v>
      </c>
      <c r="C14" s="66">
        <v>30040</v>
      </c>
      <c r="D14" s="32">
        <f t="shared" si="0"/>
        <v>1.5551048005409074E-2</v>
      </c>
      <c r="F14" s="68">
        <v>24741</v>
      </c>
      <c r="G14" s="32">
        <f t="shared" si="1"/>
        <v>-1.4852273632236956E-2</v>
      </c>
    </row>
    <row r="15" spans="2:10" x14ac:dyDescent="0.25">
      <c r="B15" s="67">
        <v>45893</v>
      </c>
      <c r="C15" s="66">
        <v>29275</v>
      </c>
      <c r="D15" s="32">
        <f t="shared" si="0"/>
        <v>-2.5466045272969362E-2</v>
      </c>
      <c r="F15" s="68">
        <v>24426.85</v>
      </c>
      <c r="G15" s="32">
        <f t="shared" si="1"/>
        <v>-1.2697546582595698E-2</v>
      </c>
      <c r="I15" s="79" t="s">
        <v>158</v>
      </c>
      <c r="J15" s="80">
        <f>(J9*J10)+(J12*J13)</f>
        <v>0.85573403553068794</v>
      </c>
    </row>
    <row r="16" spans="2:10" x14ac:dyDescent="0.25">
      <c r="B16" s="67">
        <v>45886</v>
      </c>
      <c r="C16" s="66">
        <v>30005</v>
      </c>
      <c r="D16" s="32">
        <f t="shared" si="0"/>
        <v>2.4935952177626008E-2</v>
      </c>
      <c r="F16" s="68">
        <v>24870.1</v>
      </c>
      <c r="G16" s="32">
        <f t="shared" si="1"/>
        <v>1.8146015552557904E-2</v>
      </c>
    </row>
    <row r="17" spans="2:17" x14ac:dyDescent="0.25">
      <c r="B17" s="67">
        <v>45879</v>
      </c>
      <c r="C17" s="66">
        <v>30400</v>
      </c>
      <c r="D17" s="32">
        <f t="shared" si="0"/>
        <v>1.3164472587902099E-2</v>
      </c>
      <c r="F17" s="68">
        <v>24631.3</v>
      </c>
      <c r="G17" s="32">
        <f t="shared" si="1"/>
        <v>-9.6018914278591661E-3</v>
      </c>
      <c r="I17" t="s">
        <v>159</v>
      </c>
    </row>
    <row r="18" spans="2:17" ht="15.75" thickBot="1" x14ac:dyDescent="0.3">
      <c r="B18" s="67">
        <v>45872</v>
      </c>
      <c r="C18" s="66">
        <v>30415</v>
      </c>
      <c r="D18" s="32">
        <f t="shared" si="0"/>
        <v>4.9342105263150415E-4</v>
      </c>
      <c r="F18" s="68">
        <v>24363.3</v>
      </c>
      <c r="G18" s="32">
        <f t="shared" si="1"/>
        <v>-1.0880465099284198E-2</v>
      </c>
    </row>
    <row r="19" spans="2:17" x14ac:dyDescent="0.25">
      <c r="B19" s="67">
        <v>45865</v>
      </c>
      <c r="C19" s="66">
        <v>30675</v>
      </c>
      <c r="D19" s="32">
        <f t="shared" si="0"/>
        <v>8.5484136117046639E-3</v>
      </c>
      <c r="F19" s="68">
        <v>24565.35</v>
      </c>
      <c r="G19" s="32">
        <f t="shared" si="1"/>
        <v>8.2932115107559046E-3</v>
      </c>
      <c r="I19" s="76" t="s">
        <v>160</v>
      </c>
      <c r="J19" s="76"/>
    </row>
    <row r="20" spans="2:17" x14ac:dyDescent="0.25">
      <c r="B20" s="67">
        <v>45858</v>
      </c>
      <c r="C20" s="66">
        <v>30950</v>
      </c>
      <c r="D20" s="32">
        <f t="shared" si="0"/>
        <v>8.9649551752242207E-3</v>
      </c>
      <c r="F20" s="68">
        <v>24837</v>
      </c>
      <c r="G20" s="32">
        <f t="shared" si="1"/>
        <v>1.1058258889045103E-2</v>
      </c>
      <c r="I20" s="73" t="s">
        <v>161</v>
      </c>
      <c r="J20" s="73">
        <v>0.43772361705348628</v>
      </c>
    </row>
    <row r="21" spans="2:17" x14ac:dyDescent="0.25">
      <c r="B21" s="67">
        <v>45851</v>
      </c>
      <c r="C21" s="66">
        <v>30790</v>
      </c>
      <c r="D21" s="32">
        <f t="shared" si="0"/>
        <v>-5.1696284329564302E-3</v>
      </c>
      <c r="F21" s="68">
        <v>24968.400000000001</v>
      </c>
      <c r="G21" s="32">
        <f t="shared" si="1"/>
        <v>5.2904940210170004E-3</v>
      </c>
      <c r="I21" s="73" t="s">
        <v>162</v>
      </c>
      <c r="J21" s="73">
        <v>0.19160196492638712</v>
      </c>
    </row>
    <row r="22" spans="2:17" x14ac:dyDescent="0.25">
      <c r="B22" s="67">
        <v>45844</v>
      </c>
      <c r="C22" s="66">
        <v>31210</v>
      </c>
      <c r="D22" s="32">
        <f t="shared" si="0"/>
        <v>1.3640792465086093E-2</v>
      </c>
      <c r="F22" s="68">
        <v>25149.85</v>
      </c>
      <c r="G22" s="32">
        <f t="shared" si="1"/>
        <v>7.267185722753533E-3</v>
      </c>
      <c r="I22" s="73" t="s">
        <v>163</v>
      </c>
      <c r="J22" s="73">
        <v>0.18359802398506422</v>
      </c>
    </row>
    <row r="23" spans="2:17" x14ac:dyDescent="0.25">
      <c r="B23" s="67">
        <v>45837</v>
      </c>
      <c r="C23" s="66">
        <v>31315</v>
      </c>
      <c r="D23" s="32">
        <f t="shared" si="0"/>
        <v>3.3643063120794015E-3</v>
      </c>
      <c r="F23" s="68">
        <v>25461</v>
      </c>
      <c r="G23" s="32">
        <f t="shared" si="1"/>
        <v>1.2371843172026997E-2</v>
      </c>
      <c r="I23" s="73" t="s">
        <v>164</v>
      </c>
      <c r="J23" s="73">
        <v>2.8980395776017014E-2</v>
      </c>
    </row>
    <row r="24" spans="2:17" ht="15.75" thickBot="1" x14ac:dyDescent="0.3">
      <c r="B24" s="67">
        <v>45830</v>
      </c>
      <c r="C24" s="66">
        <v>31030</v>
      </c>
      <c r="D24" s="32">
        <f t="shared" si="0"/>
        <v>-9.1010697748682423E-3</v>
      </c>
      <c r="F24" s="68">
        <v>25637.8</v>
      </c>
      <c r="G24" s="32">
        <f t="shared" si="1"/>
        <v>6.9439534975059836E-3</v>
      </c>
      <c r="I24" s="74" t="s">
        <v>165</v>
      </c>
      <c r="J24" s="74">
        <v>103</v>
      </c>
    </row>
    <row r="25" spans="2:17" x14ac:dyDescent="0.25">
      <c r="B25" s="67">
        <v>45823</v>
      </c>
      <c r="C25" s="66">
        <v>28875</v>
      </c>
      <c r="D25" s="32">
        <f t="shared" si="0"/>
        <v>-6.9448920399613256E-2</v>
      </c>
      <c r="F25" s="68">
        <v>25112.400000000001</v>
      </c>
      <c r="G25" s="32">
        <f t="shared" si="1"/>
        <v>-2.0493178041797622E-2</v>
      </c>
    </row>
    <row r="26" spans="2:17" ht="15.75" thickBot="1" x14ac:dyDescent="0.3">
      <c r="B26" s="67">
        <v>45816</v>
      </c>
      <c r="C26" s="66">
        <v>29610</v>
      </c>
      <c r="D26" s="32">
        <f t="shared" si="0"/>
        <v>2.5454545454545396E-2</v>
      </c>
      <c r="F26" s="68">
        <v>24718.6</v>
      </c>
      <c r="G26" s="32">
        <f t="shared" si="1"/>
        <v>-1.568149599401103E-2</v>
      </c>
      <c r="I26" t="s">
        <v>166</v>
      </c>
    </row>
    <row r="27" spans="2:17" x14ac:dyDescent="0.25">
      <c r="B27" s="67">
        <v>45809</v>
      </c>
      <c r="C27" s="66">
        <v>29600</v>
      </c>
      <c r="D27" s="32">
        <f t="shared" si="0"/>
        <v>-3.3772374197904576E-4</v>
      </c>
      <c r="F27" s="68">
        <v>25003.05</v>
      </c>
      <c r="G27" s="32">
        <f t="shared" si="1"/>
        <v>1.1507528743537332E-2</v>
      </c>
      <c r="I27" s="75"/>
      <c r="J27" s="75" t="s">
        <v>170</v>
      </c>
      <c r="K27" s="75" t="s">
        <v>171</v>
      </c>
      <c r="L27" s="75" t="s">
        <v>172</v>
      </c>
      <c r="M27" s="75" t="s">
        <v>173</v>
      </c>
      <c r="N27" s="75" t="s">
        <v>174</v>
      </c>
    </row>
    <row r="28" spans="2:17" x14ac:dyDescent="0.25">
      <c r="B28" s="67">
        <v>45802</v>
      </c>
      <c r="C28" s="66">
        <v>29595</v>
      </c>
      <c r="D28" s="32">
        <f t="shared" si="0"/>
        <v>-1.6891891891890332E-4</v>
      </c>
      <c r="F28" s="68">
        <v>24750.7</v>
      </c>
      <c r="G28" s="32">
        <f t="shared" si="1"/>
        <v>-1.0092768682220754E-2</v>
      </c>
      <c r="I28" s="73" t="s">
        <v>167</v>
      </c>
      <c r="J28" s="73">
        <v>1</v>
      </c>
      <c r="K28" s="73">
        <v>2.0105029168237032E-2</v>
      </c>
      <c r="L28" s="73">
        <v>2.0105029168237032E-2</v>
      </c>
      <c r="M28" s="73">
        <v>23.938453110914502</v>
      </c>
      <c r="N28" s="73">
        <v>3.769609034527158E-6</v>
      </c>
    </row>
    <row r="29" spans="2:17" x14ac:dyDescent="0.25">
      <c r="B29" s="67">
        <v>45795</v>
      </c>
      <c r="C29" s="66">
        <v>31495</v>
      </c>
      <c r="D29" s="32">
        <f t="shared" si="0"/>
        <v>6.4200033789491462E-2</v>
      </c>
      <c r="F29" s="68">
        <v>24853.15</v>
      </c>
      <c r="G29" s="32">
        <f t="shared" si="1"/>
        <v>4.139276868937003E-3</v>
      </c>
      <c r="I29" s="73" t="s">
        <v>168</v>
      </c>
      <c r="J29" s="73">
        <v>101</v>
      </c>
      <c r="K29" s="73">
        <v>8.4826197272793058E-2</v>
      </c>
      <c r="L29" s="73">
        <v>8.3986333933458478E-4</v>
      </c>
      <c r="M29" s="73"/>
      <c r="N29" s="73"/>
    </row>
    <row r="30" spans="2:17" ht="15.75" thickBot="1" x14ac:dyDescent="0.3">
      <c r="B30" s="67">
        <v>45788</v>
      </c>
      <c r="C30" s="66">
        <v>31615</v>
      </c>
      <c r="D30" s="32">
        <f t="shared" si="0"/>
        <v>3.8101285918399341E-3</v>
      </c>
      <c r="F30" s="68">
        <v>25019.8</v>
      </c>
      <c r="G30" s="32">
        <f t="shared" si="1"/>
        <v>6.705387445856914E-3</v>
      </c>
      <c r="I30" s="74" t="s">
        <v>12</v>
      </c>
      <c r="J30" s="74">
        <v>102</v>
      </c>
      <c r="K30" s="74">
        <v>0.10493122644103009</v>
      </c>
      <c r="L30" s="74"/>
      <c r="M30" s="74"/>
      <c r="N30" s="74"/>
    </row>
    <row r="31" spans="2:17" ht="15.75" thickBot="1" x14ac:dyDescent="0.3">
      <c r="B31" s="67">
        <v>45781</v>
      </c>
      <c r="C31" s="66">
        <v>29230</v>
      </c>
      <c r="D31" s="32">
        <f t="shared" si="0"/>
        <v>-7.5438873952237917E-2</v>
      </c>
      <c r="F31" s="68">
        <v>24008</v>
      </c>
      <c r="G31" s="32">
        <f t="shared" si="1"/>
        <v>-4.0439971542538311E-2</v>
      </c>
    </row>
    <row r="32" spans="2:17" x14ac:dyDescent="0.25">
      <c r="B32" s="67">
        <v>45774</v>
      </c>
      <c r="C32" s="66">
        <v>29335</v>
      </c>
      <c r="D32" s="32">
        <f t="shared" si="0"/>
        <v>3.5921997947314654E-3</v>
      </c>
      <c r="F32" s="68">
        <v>24346.7</v>
      </c>
      <c r="G32" s="32">
        <f t="shared" si="1"/>
        <v>1.4107797400866318E-2</v>
      </c>
      <c r="I32" s="75"/>
      <c r="J32" s="75" t="s">
        <v>175</v>
      </c>
      <c r="K32" s="75" t="s">
        <v>164</v>
      </c>
      <c r="L32" s="75" t="s">
        <v>176</v>
      </c>
      <c r="M32" s="75" t="s">
        <v>177</v>
      </c>
      <c r="N32" s="75" t="s">
        <v>178</v>
      </c>
      <c r="O32" s="75" t="s">
        <v>179</v>
      </c>
      <c r="P32" s="75" t="s">
        <v>180</v>
      </c>
      <c r="Q32" s="75" t="s">
        <v>181</v>
      </c>
    </row>
    <row r="33" spans="2:17" x14ac:dyDescent="0.25">
      <c r="B33" s="67">
        <v>45767</v>
      </c>
      <c r="C33" s="66">
        <v>30540</v>
      </c>
      <c r="D33" s="32">
        <f t="shared" si="0"/>
        <v>4.1077211522072554E-2</v>
      </c>
      <c r="F33" s="68">
        <v>24039.35</v>
      </c>
      <c r="G33" s="32">
        <f t="shared" si="1"/>
        <v>-1.2623887426222113E-2</v>
      </c>
      <c r="I33" s="73" t="s">
        <v>169</v>
      </c>
      <c r="J33" s="73">
        <v>1.392248600557472E-3</v>
      </c>
      <c r="K33" s="73">
        <v>2.8763879635244952E-3</v>
      </c>
      <c r="L33" s="73">
        <v>0.48402670926613189</v>
      </c>
      <c r="M33" s="73">
        <v>0.62941478299317022</v>
      </c>
      <c r="N33" s="73">
        <v>-4.3137313792144033E-3</v>
      </c>
      <c r="O33" s="73">
        <v>7.0982285803293478E-3</v>
      </c>
      <c r="P33" s="73">
        <v>-4.3137313792144033E-3</v>
      </c>
      <c r="Q33" s="73">
        <v>7.0982285803293478E-3</v>
      </c>
    </row>
    <row r="34" spans="2:17" ht="15.75" thickBot="1" x14ac:dyDescent="0.3">
      <c r="B34" s="67">
        <v>45760</v>
      </c>
      <c r="C34" s="66">
        <v>31000</v>
      </c>
      <c r="D34" s="32">
        <f t="shared" si="0"/>
        <v>1.5062213490504295E-2</v>
      </c>
      <c r="F34" s="68">
        <v>23851.65</v>
      </c>
      <c r="G34" s="32">
        <f t="shared" si="1"/>
        <v>-7.8080314151587338E-3</v>
      </c>
      <c r="I34" s="74" t="s">
        <v>182</v>
      </c>
      <c r="J34" s="74">
        <v>0.80764538070758396</v>
      </c>
      <c r="K34" s="74">
        <v>0.1650717182497026</v>
      </c>
      <c r="L34" s="74">
        <v>4.8926938501110504</v>
      </c>
      <c r="M34" s="74">
        <v>3.7696090345271855E-6</v>
      </c>
      <c r="N34" s="74">
        <v>0.48018749550449646</v>
      </c>
      <c r="O34" s="74">
        <v>1.1351032659106715</v>
      </c>
      <c r="P34" s="74">
        <v>0.48018749550449646</v>
      </c>
      <c r="Q34" s="74">
        <v>1.1351032659106715</v>
      </c>
    </row>
    <row r="35" spans="2:17" x14ac:dyDescent="0.25">
      <c r="B35" s="67">
        <v>45753</v>
      </c>
      <c r="C35" s="66">
        <v>30107.95</v>
      </c>
      <c r="D35" s="32">
        <f t="shared" si="0"/>
        <v>-2.8775806451612929E-2</v>
      </c>
      <c r="F35" s="68">
        <v>22828.55</v>
      </c>
      <c r="G35" s="32">
        <f t="shared" si="1"/>
        <v>-4.2894307102443685E-2</v>
      </c>
    </row>
    <row r="36" spans="2:17" x14ac:dyDescent="0.25">
      <c r="B36" s="67">
        <v>45746</v>
      </c>
      <c r="C36" s="66">
        <v>30694.5</v>
      </c>
      <c r="D36" s="32">
        <f t="shared" si="0"/>
        <v>1.9481565500141906E-2</v>
      </c>
      <c r="F36" s="68">
        <v>22904.45</v>
      </c>
      <c r="G36" s="32">
        <f t="shared" si="1"/>
        <v>3.3247840971064591E-3</v>
      </c>
    </row>
    <row r="37" spans="2:17" x14ac:dyDescent="0.25">
      <c r="B37" s="67">
        <v>45739</v>
      </c>
      <c r="C37" s="66">
        <v>30502.95</v>
      </c>
      <c r="D37" s="32">
        <f t="shared" si="0"/>
        <v>-6.2405316913453079E-3</v>
      </c>
      <c r="F37" s="68">
        <v>23519.35</v>
      </c>
      <c r="G37" s="32">
        <f t="shared" si="1"/>
        <v>2.6846311524616251E-2</v>
      </c>
    </row>
    <row r="38" spans="2:17" x14ac:dyDescent="0.25">
      <c r="B38" s="67">
        <v>45732</v>
      </c>
      <c r="C38" s="66">
        <v>28987.4</v>
      </c>
      <c r="D38" s="32">
        <f t="shared" si="0"/>
        <v>-4.9685358301410187E-2</v>
      </c>
      <c r="F38" s="68">
        <v>23350.400000000001</v>
      </c>
      <c r="G38" s="32">
        <f t="shared" si="1"/>
        <v>-7.1834468214468927E-3</v>
      </c>
    </row>
    <row r="39" spans="2:17" x14ac:dyDescent="0.25">
      <c r="B39" s="67">
        <v>45725</v>
      </c>
      <c r="C39" s="66">
        <v>27495.15</v>
      </c>
      <c r="D39" s="32">
        <f t="shared" si="0"/>
        <v>-5.1479263404099695E-2</v>
      </c>
      <c r="F39" s="68">
        <v>22397.200000000001</v>
      </c>
      <c r="G39" s="32">
        <f t="shared" si="1"/>
        <v>-4.0821570508428162E-2</v>
      </c>
    </row>
    <row r="40" spans="2:17" x14ac:dyDescent="0.25">
      <c r="B40" s="67">
        <v>45718</v>
      </c>
      <c r="C40" s="66">
        <v>27985.200000000001</v>
      </c>
      <c r="D40" s="32">
        <f t="shared" si="0"/>
        <v>1.7823143354373405E-2</v>
      </c>
      <c r="F40" s="68">
        <v>22552.5</v>
      </c>
      <c r="G40" s="32">
        <f t="shared" si="1"/>
        <v>6.9339024520922443E-3</v>
      </c>
    </row>
    <row r="41" spans="2:17" x14ac:dyDescent="0.25">
      <c r="B41" s="67">
        <v>45711</v>
      </c>
      <c r="C41" s="66">
        <v>27284</v>
      </c>
      <c r="D41" s="32">
        <f t="shared" si="0"/>
        <v>-2.5056101082000515E-2</v>
      </c>
      <c r="F41" s="68">
        <v>22124.7</v>
      </c>
      <c r="G41" s="32">
        <f t="shared" si="1"/>
        <v>-1.8969072164948475E-2</v>
      </c>
    </row>
    <row r="42" spans="2:17" x14ac:dyDescent="0.25">
      <c r="B42" s="67">
        <v>45704</v>
      </c>
      <c r="C42" s="66">
        <v>28405.7</v>
      </c>
      <c r="D42" s="32">
        <f t="shared" si="0"/>
        <v>4.1112007037091391E-2</v>
      </c>
      <c r="F42" s="68">
        <v>22795.9</v>
      </c>
      <c r="G42" s="32">
        <f t="shared" si="1"/>
        <v>3.0337134514818231E-2</v>
      </c>
    </row>
    <row r="43" spans="2:17" x14ac:dyDescent="0.25">
      <c r="B43" s="67">
        <v>45697</v>
      </c>
      <c r="C43" s="66">
        <v>28556.05</v>
      </c>
      <c r="D43" s="32">
        <f t="shared" si="0"/>
        <v>5.2929517667228421E-3</v>
      </c>
      <c r="F43" s="68">
        <v>22929.25</v>
      </c>
      <c r="G43" s="32">
        <f t="shared" si="1"/>
        <v>5.8497361367613188E-3</v>
      </c>
    </row>
    <row r="44" spans="2:17" x14ac:dyDescent="0.25">
      <c r="B44" s="67">
        <v>45690</v>
      </c>
      <c r="C44" s="66">
        <v>28249.1</v>
      </c>
      <c r="D44" s="32">
        <f t="shared" si="0"/>
        <v>-1.0749035668448537E-2</v>
      </c>
      <c r="F44" s="68">
        <v>23559.95</v>
      </c>
      <c r="G44" s="32">
        <f t="shared" si="1"/>
        <v>2.7506351058146361E-2</v>
      </c>
    </row>
    <row r="45" spans="2:17" x14ac:dyDescent="0.25">
      <c r="B45" s="67">
        <v>45683</v>
      </c>
      <c r="C45" s="66">
        <v>27795.9</v>
      </c>
      <c r="D45" s="32">
        <f t="shared" si="0"/>
        <v>-1.6042988980179751E-2</v>
      </c>
      <c r="F45" s="68">
        <v>23508.400000000001</v>
      </c>
      <c r="G45" s="32">
        <f t="shared" si="1"/>
        <v>-2.188035203809835E-3</v>
      </c>
    </row>
    <row r="46" spans="2:17" x14ac:dyDescent="0.25">
      <c r="B46" s="67">
        <v>45676</v>
      </c>
      <c r="C46" s="66">
        <v>25783.15</v>
      </c>
      <c r="D46" s="32">
        <f t="shared" si="0"/>
        <v>-7.2411758568709739E-2</v>
      </c>
      <c r="F46" s="68">
        <v>23092.2</v>
      </c>
      <c r="G46" s="32">
        <f t="shared" si="1"/>
        <v>-1.7704309948784247E-2</v>
      </c>
    </row>
    <row r="47" spans="2:17" x14ac:dyDescent="0.25">
      <c r="B47" s="67">
        <v>45669</v>
      </c>
      <c r="C47" s="66">
        <v>25315.45</v>
      </c>
      <c r="D47" s="32">
        <f t="shared" si="0"/>
        <v>-1.8139754064185332E-2</v>
      </c>
      <c r="F47" s="68">
        <v>23203.200000000001</v>
      </c>
      <c r="G47" s="32">
        <f t="shared" si="1"/>
        <v>4.8068178865590117E-3</v>
      </c>
    </row>
    <row r="48" spans="2:17" x14ac:dyDescent="0.25">
      <c r="B48" s="67">
        <v>45662</v>
      </c>
      <c r="C48" s="66">
        <v>25738.3</v>
      </c>
      <c r="D48" s="32">
        <f t="shared" si="0"/>
        <v>1.6703238536150744E-2</v>
      </c>
      <c r="F48" s="68">
        <v>23431.5</v>
      </c>
      <c r="G48" s="32">
        <f t="shared" si="1"/>
        <v>9.8391601158460684E-3</v>
      </c>
    </row>
    <row r="49" spans="2:7" x14ac:dyDescent="0.25">
      <c r="B49" s="67">
        <v>45655</v>
      </c>
      <c r="C49" s="66">
        <v>26096.25</v>
      </c>
      <c r="D49" s="32">
        <f t="shared" si="0"/>
        <v>1.3907289914252274E-2</v>
      </c>
      <c r="F49" s="68">
        <v>24004.75</v>
      </c>
      <c r="G49" s="32">
        <f t="shared" si="1"/>
        <v>2.4464929688666981E-2</v>
      </c>
    </row>
    <row r="50" spans="2:7" x14ac:dyDescent="0.25">
      <c r="B50" s="67">
        <v>45648</v>
      </c>
      <c r="C50" s="66">
        <v>26049</v>
      </c>
      <c r="D50" s="32">
        <f t="shared" si="0"/>
        <v>-1.8106049719787132E-3</v>
      </c>
      <c r="F50" s="68">
        <v>23813.4</v>
      </c>
      <c r="G50" s="32">
        <f t="shared" si="1"/>
        <v>-7.9713390058216982E-3</v>
      </c>
    </row>
    <row r="51" spans="2:7" x14ac:dyDescent="0.25">
      <c r="B51" s="67">
        <v>45641</v>
      </c>
      <c r="C51" s="66">
        <v>27063.5</v>
      </c>
      <c r="D51" s="32">
        <f t="shared" si="0"/>
        <v>3.8945832853468421E-2</v>
      </c>
      <c r="F51" s="68">
        <v>23587.5</v>
      </c>
      <c r="G51" s="32">
        <f t="shared" si="1"/>
        <v>-9.4862556375822082E-3</v>
      </c>
    </row>
    <row r="52" spans="2:7" x14ac:dyDescent="0.25">
      <c r="B52" s="67">
        <v>45634</v>
      </c>
      <c r="C52" s="66">
        <v>27591.45</v>
      </c>
      <c r="D52" s="32">
        <f t="shared" si="0"/>
        <v>1.9507824191253853E-2</v>
      </c>
      <c r="F52" s="68">
        <v>24768.3</v>
      </c>
      <c r="G52" s="32">
        <f t="shared" si="1"/>
        <v>5.0060413354531041E-2</v>
      </c>
    </row>
    <row r="53" spans="2:7" x14ac:dyDescent="0.25">
      <c r="B53" s="67">
        <v>45627</v>
      </c>
      <c r="C53" s="66">
        <v>27076.65</v>
      </c>
      <c r="D53" s="32">
        <f t="shared" si="0"/>
        <v>-1.8657953822651563E-2</v>
      </c>
      <c r="F53" s="68">
        <v>24677.8</v>
      </c>
      <c r="G53" s="32">
        <f t="shared" si="1"/>
        <v>-3.653864011660013E-3</v>
      </c>
    </row>
    <row r="54" spans="2:7" x14ac:dyDescent="0.25">
      <c r="B54" s="67">
        <v>45620</v>
      </c>
      <c r="C54" s="66">
        <v>26076.45</v>
      </c>
      <c r="D54" s="32">
        <f t="shared" si="0"/>
        <v>-3.6939577089484921E-2</v>
      </c>
      <c r="F54" s="68">
        <v>24131.1</v>
      </c>
      <c r="G54" s="32">
        <f t="shared" si="1"/>
        <v>-2.2153514494809179E-2</v>
      </c>
    </row>
    <row r="55" spans="2:7" x14ac:dyDescent="0.25">
      <c r="B55" s="67">
        <v>45613</v>
      </c>
      <c r="C55" s="66">
        <v>24794.75</v>
      </c>
      <c r="D55" s="32">
        <f t="shared" si="0"/>
        <v>-4.9151629151974352E-2</v>
      </c>
      <c r="F55" s="68">
        <v>23907.25</v>
      </c>
      <c r="G55" s="32">
        <f t="shared" si="1"/>
        <v>-9.2764109385812255E-3</v>
      </c>
    </row>
    <row r="56" spans="2:7" x14ac:dyDescent="0.25">
      <c r="B56" s="67">
        <v>45606</v>
      </c>
      <c r="C56" s="66">
        <v>24091.7</v>
      </c>
      <c r="D56" s="32">
        <f t="shared" si="0"/>
        <v>-2.8354792849292654E-2</v>
      </c>
      <c r="F56" s="68">
        <v>23532.7</v>
      </c>
      <c r="G56" s="32">
        <f t="shared" si="1"/>
        <v>-1.5666795637306663E-2</v>
      </c>
    </row>
    <row r="57" spans="2:7" x14ac:dyDescent="0.25">
      <c r="B57" s="67">
        <v>45599</v>
      </c>
      <c r="C57" s="66">
        <v>24533</v>
      </c>
      <c r="D57" s="32">
        <f t="shared" si="0"/>
        <v>1.831751184017727E-2</v>
      </c>
      <c r="F57" s="68">
        <v>24148.2</v>
      </c>
      <c r="G57" s="32">
        <f t="shared" si="1"/>
        <v>2.6155094825498049E-2</v>
      </c>
    </row>
    <row r="58" spans="2:7" x14ac:dyDescent="0.25">
      <c r="B58" s="67">
        <v>45592</v>
      </c>
      <c r="C58" s="66">
        <v>25241.05</v>
      </c>
      <c r="D58" s="32">
        <f t="shared" si="0"/>
        <v>2.8861125830514034E-2</v>
      </c>
      <c r="F58" s="68">
        <v>24304.35</v>
      </c>
      <c r="G58" s="32">
        <f t="shared" si="1"/>
        <v>6.4663204710908584E-3</v>
      </c>
    </row>
    <row r="59" spans="2:7" x14ac:dyDescent="0.25">
      <c r="B59" s="67">
        <v>45585</v>
      </c>
      <c r="C59" s="66">
        <v>24956.799999999999</v>
      </c>
      <c r="D59" s="32">
        <f t="shared" si="0"/>
        <v>-1.1261417413301E-2</v>
      </c>
      <c r="F59" s="68">
        <v>24180.799999999999</v>
      </c>
      <c r="G59" s="32">
        <f t="shared" si="1"/>
        <v>-5.0834521392261189E-3</v>
      </c>
    </row>
    <row r="60" spans="2:7" x14ac:dyDescent="0.25">
      <c r="B60" s="67">
        <v>45578</v>
      </c>
      <c r="C60" s="66">
        <v>24325.25</v>
      </c>
      <c r="D60" s="32">
        <f t="shared" si="0"/>
        <v>-2.5305728298499752E-2</v>
      </c>
      <c r="F60" s="68">
        <v>24854.05</v>
      </c>
      <c r="G60" s="32">
        <f t="shared" si="1"/>
        <v>2.7842337722490562E-2</v>
      </c>
    </row>
    <row r="61" spans="2:7" x14ac:dyDescent="0.25">
      <c r="B61" s="67">
        <v>45571</v>
      </c>
      <c r="C61" s="66">
        <v>24337.05</v>
      </c>
      <c r="D61" s="32">
        <f t="shared" si="0"/>
        <v>4.8509265064078377E-4</v>
      </c>
      <c r="F61" s="68">
        <v>24964.25</v>
      </c>
      <c r="G61" s="32">
        <f t="shared" si="1"/>
        <v>4.4338850207512603E-3</v>
      </c>
    </row>
    <row r="62" spans="2:7" x14ac:dyDescent="0.25">
      <c r="B62" s="67">
        <v>45564</v>
      </c>
      <c r="C62" s="66">
        <v>26034.2</v>
      </c>
      <c r="D62" s="32">
        <f t="shared" si="0"/>
        <v>6.9735239069649069E-2</v>
      </c>
      <c r="F62" s="68">
        <v>25014.6</v>
      </c>
      <c r="G62" s="32">
        <f t="shared" si="1"/>
        <v>2.0168841443264363E-3</v>
      </c>
    </row>
    <row r="63" spans="2:7" x14ac:dyDescent="0.25">
      <c r="B63" s="67">
        <v>45557</v>
      </c>
      <c r="C63" s="66">
        <v>26247.9</v>
      </c>
      <c r="D63" s="32">
        <f t="shared" si="0"/>
        <v>8.2084335220595772E-3</v>
      </c>
      <c r="F63" s="68">
        <v>26178.95</v>
      </c>
      <c r="G63" s="32">
        <f t="shared" si="1"/>
        <v>4.6546816659071233E-2</v>
      </c>
    </row>
    <row r="64" spans="2:7" x14ac:dyDescent="0.25">
      <c r="B64" s="67">
        <v>45550</v>
      </c>
      <c r="C64" s="66">
        <v>25141.7</v>
      </c>
      <c r="D64" s="32">
        <f t="shared" si="0"/>
        <v>-4.2144323926866512E-2</v>
      </c>
      <c r="F64" s="68">
        <v>25790.95</v>
      </c>
      <c r="G64" s="32">
        <f t="shared" si="1"/>
        <v>-1.4821068071866894E-2</v>
      </c>
    </row>
    <row r="65" spans="2:7" x14ac:dyDescent="0.25">
      <c r="B65" s="67">
        <v>45543</v>
      </c>
      <c r="C65" s="66">
        <v>25883.1</v>
      </c>
      <c r="D65" s="32">
        <f t="shared" si="0"/>
        <v>2.9488857157630388E-2</v>
      </c>
      <c r="F65" s="68">
        <v>25356.5</v>
      </c>
      <c r="G65" s="32">
        <f t="shared" si="1"/>
        <v>-1.684505611464493E-2</v>
      </c>
    </row>
    <row r="66" spans="2:7" x14ac:dyDescent="0.25">
      <c r="B66" s="67">
        <v>45536</v>
      </c>
      <c r="C66" s="66">
        <v>25610.45</v>
      </c>
      <c r="D66" s="32">
        <f t="shared" si="0"/>
        <v>-1.0533900498781001E-2</v>
      </c>
      <c r="F66" s="68">
        <v>24852.15</v>
      </c>
      <c r="G66" s="32">
        <f t="shared" si="1"/>
        <v>-1.9890363417664036E-2</v>
      </c>
    </row>
    <row r="67" spans="2:7" x14ac:dyDescent="0.25">
      <c r="B67" s="67">
        <v>45529</v>
      </c>
      <c r="C67" s="66">
        <v>25482</v>
      </c>
      <c r="D67" s="32">
        <f t="shared" si="0"/>
        <v>-5.0155307696663209E-3</v>
      </c>
      <c r="F67" s="68">
        <v>25235.9</v>
      </c>
      <c r="G67" s="32">
        <f t="shared" si="1"/>
        <v>1.544131996628062E-2</v>
      </c>
    </row>
    <row r="68" spans="2:7" x14ac:dyDescent="0.25">
      <c r="B68" s="67">
        <v>45522</v>
      </c>
      <c r="C68" s="66">
        <v>24706.05</v>
      </c>
      <c r="D68" s="32">
        <f t="shared" si="0"/>
        <v>-3.045090652225102E-2</v>
      </c>
      <c r="F68" s="68">
        <v>24823.15</v>
      </c>
      <c r="G68" s="32">
        <f t="shared" si="1"/>
        <v>-1.6355667917530181E-2</v>
      </c>
    </row>
    <row r="69" spans="2:7" x14ac:dyDescent="0.25">
      <c r="B69" s="67">
        <v>45515</v>
      </c>
      <c r="C69" s="66">
        <v>24642.85</v>
      </c>
      <c r="D69" s="32">
        <f t="shared" si="0"/>
        <v>-2.5580778797096304E-3</v>
      </c>
      <c r="F69" s="68">
        <v>24541.15</v>
      </c>
      <c r="G69" s="32">
        <f t="shared" si="1"/>
        <v>-1.1360363209342861E-2</v>
      </c>
    </row>
    <row r="70" spans="2:7" x14ac:dyDescent="0.25">
      <c r="B70" s="67">
        <v>45508</v>
      </c>
      <c r="C70" s="66">
        <v>24296.6</v>
      </c>
      <c r="D70" s="32">
        <f t="shared" si="0"/>
        <v>-1.4050728710356175E-2</v>
      </c>
      <c r="F70" s="68">
        <v>24367.5</v>
      </c>
      <c r="G70" s="32">
        <f t="shared" si="1"/>
        <v>-7.0758705276647849E-3</v>
      </c>
    </row>
    <row r="71" spans="2:7" x14ac:dyDescent="0.25">
      <c r="B71" s="67">
        <v>45501</v>
      </c>
      <c r="C71" s="66">
        <v>27295.35</v>
      </c>
      <c r="D71" s="32">
        <f t="shared" si="0"/>
        <v>0.12342261880263083</v>
      </c>
      <c r="F71" s="68">
        <v>24717.7</v>
      </c>
      <c r="G71" s="32">
        <f t="shared" si="1"/>
        <v>1.4371601518415877E-2</v>
      </c>
    </row>
    <row r="72" spans="2:7" x14ac:dyDescent="0.25">
      <c r="B72" s="67">
        <v>45494</v>
      </c>
      <c r="C72" s="66">
        <v>27566.75</v>
      </c>
      <c r="D72" s="32">
        <f t="shared" si="0"/>
        <v>9.9430855438746857E-3</v>
      </c>
      <c r="F72" s="68">
        <v>24834.85</v>
      </c>
      <c r="G72" s="32">
        <f t="shared" si="1"/>
        <v>4.7395186445340354E-3</v>
      </c>
    </row>
    <row r="73" spans="2:7" x14ac:dyDescent="0.25">
      <c r="B73" s="67">
        <v>45487</v>
      </c>
      <c r="C73" s="66">
        <v>27284.15</v>
      </c>
      <c r="D73" s="32">
        <f t="shared" si="0"/>
        <v>-1.0251480497338261E-2</v>
      </c>
      <c r="F73" s="68">
        <v>24530.9</v>
      </c>
      <c r="G73" s="32">
        <f t="shared" si="1"/>
        <v>-1.2238849842056476E-2</v>
      </c>
    </row>
    <row r="74" spans="2:7" x14ac:dyDescent="0.25">
      <c r="B74" s="67">
        <v>45480</v>
      </c>
      <c r="C74" s="66">
        <v>27665.5</v>
      </c>
      <c r="D74" s="32">
        <f t="shared" si="0"/>
        <v>1.3976979308499615E-2</v>
      </c>
      <c r="F74" s="68">
        <v>24502.15</v>
      </c>
      <c r="G74" s="32">
        <f t="shared" si="1"/>
        <v>-1.1719912436967128E-3</v>
      </c>
    </row>
    <row r="75" spans="2:7" x14ac:dyDescent="0.25">
      <c r="B75" s="67">
        <v>45473</v>
      </c>
      <c r="C75" s="66">
        <v>27528.7</v>
      </c>
      <c r="D75" s="32">
        <f t="shared" si="0"/>
        <v>-4.9447868283601926E-3</v>
      </c>
      <c r="F75" s="68">
        <v>24323.85</v>
      </c>
      <c r="G75" s="32">
        <f t="shared" si="1"/>
        <v>-7.2769124342150215E-3</v>
      </c>
    </row>
    <row r="76" spans="2:7" x14ac:dyDescent="0.25">
      <c r="B76" s="67">
        <v>45466</v>
      </c>
      <c r="C76" s="66">
        <v>27870.400000000001</v>
      </c>
      <c r="D76" s="32">
        <f t="shared" ref="D76:D113" si="2">C76/C75-1</f>
        <v>1.2412500408664373E-2</v>
      </c>
      <c r="F76" s="68">
        <v>24010.6</v>
      </c>
      <c r="G76" s="32">
        <f t="shared" ref="G76:G113" si="3">F76/F75-1</f>
        <v>-1.2878306682535867E-2</v>
      </c>
    </row>
    <row r="77" spans="2:7" x14ac:dyDescent="0.25">
      <c r="B77" s="67">
        <v>45459</v>
      </c>
      <c r="C77" s="66">
        <v>27403.8</v>
      </c>
      <c r="D77" s="32">
        <f t="shared" si="2"/>
        <v>-1.6741776221367521E-2</v>
      </c>
      <c r="F77" s="68">
        <v>23501.1</v>
      </c>
      <c r="G77" s="32">
        <f t="shared" si="3"/>
        <v>-2.1219794590722429E-2</v>
      </c>
    </row>
    <row r="78" spans="2:7" x14ac:dyDescent="0.25">
      <c r="B78" s="67">
        <v>45452</v>
      </c>
      <c r="C78" s="66">
        <v>27538</v>
      </c>
      <c r="D78" s="32">
        <f t="shared" si="2"/>
        <v>4.8971310548171498E-3</v>
      </c>
      <c r="F78" s="68">
        <v>23465.599999999999</v>
      </c>
      <c r="G78" s="32">
        <f t="shared" si="3"/>
        <v>-1.5105675904532045E-3</v>
      </c>
    </row>
    <row r="79" spans="2:7" x14ac:dyDescent="0.25">
      <c r="B79" s="67">
        <v>45445</v>
      </c>
      <c r="C79" s="66">
        <v>26077.5</v>
      </c>
      <c r="D79" s="32">
        <f t="shared" si="2"/>
        <v>-5.3035805069358677E-2</v>
      </c>
      <c r="F79" s="68">
        <v>23290.15</v>
      </c>
      <c r="G79" s="32">
        <f t="shared" si="3"/>
        <v>-7.4769023591980677E-3</v>
      </c>
    </row>
    <row r="80" spans="2:7" x14ac:dyDescent="0.25">
      <c r="B80" s="67">
        <v>45438</v>
      </c>
      <c r="C80" s="66">
        <v>24680.6</v>
      </c>
      <c r="D80" s="32">
        <f t="shared" si="2"/>
        <v>-5.3567251461988374E-2</v>
      </c>
      <c r="F80" s="68">
        <v>22530.7</v>
      </c>
      <c r="G80" s="32">
        <f t="shared" si="3"/>
        <v>-3.2608205614820029E-2</v>
      </c>
    </row>
    <row r="81" spans="2:7" x14ac:dyDescent="0.25">
      <c r="B81" s="67">
        <v>45431</v>
      </c>
      <c r="C81" s="66">
        <v>25456.45</v>
      </c>
      <c r="D81" s="32">
        <f t="shared" si="2"/>
        <v>3.143562150028778E-2</v>
      </c>
      <c r="F81" s="68">
        <v>22957.1</v>
      </c>
      <c r="G81" s="32">
        <f t="shared" si="3"/>
        <v>1.8925288606212787E-2</v>
      </c>
    </row>
    <row r="82" spans="2:7" x14ac:dyDescent="0.25">
      <c r="B82" s="67">
        <v>45424</v>
      </c>
      <c r="C82" s="66">
        <v>26305.8</v>
      </c>
      <c r="D82" s="32">
        <f t="shared" si="2"/>
        <v>3.3364825024698952E-2</v>
      </c>
      <c r="F82" s="68">
        <v>22466.1</v>
      </c>
      <c r="G82" s="32">
        <f t="shared" si="3"/>
        <v>-2.1387718832082458E-2</v>
      </c>
    </row>
    <row r="83" spans="2:7" x14ac:dyDescent="0.25">
      <c r="B83" s="67">
        <v>45417</v>
      </c>
      <c r="C83" s="66">
        <v>25661.25</v>
      </c>
      <c r="D83" s="32">
        <f t="shared" si="2"/>
        <v>-2.4502201035513038E-2</v>
      </c>
      <c r="F83" s="68">
        <v>22055.200000000001</v>
      </c>
      <c r="G83" s="32">
        <f t="shared" si="3"/>
        <v>-1.8289778822314418E-2</v>
      </c>
    </row>
    <row r="84" spans="2:7" x14ac:dyDescent="0.25">
      <c r="B84" s="67">
        <v>45410</v>
      </c>
      <c r="C84" s="66">
        <v>25746.55</v>
      </c>
      <c r="D84" s="32">
        <f t="shared" si="2"/>
        <v>3.3240781333723213E-3</v>
      </c>
      <c r="F84" s="68">
        <v>22475.85</v>
      </c>
      <c r="G84" s="32">
        <f t="shared" si="3"/>
        <v>1.9072599659037293E-2</v>
      </c>
    </row>
    <row r="85" spans="2:7" x14ac:dyDescent="0.25">
      <c r="B85" s="67">
        <v>45403</v>
      </c>
      <c r="C85" s="66">
        <v>24140.5</v>
      </c>
      <c r="D85" s="32">
        <f t="shared" si="2"/>
        <v>-6.2379231392167056E-2</v>
      </c>
      <c r="F85" s="68">
        <v>22419.95</v>
      </c>
      <c r="G85" s="32">
        <f t="shared" si="3"/>
        <v>-2.4871139467471659E-3</v>
      </c>
    </row>
    <row r="86" spans="2:7" x14ac:dyDescent="0.25">
      <c r="B86" s="67">
        <v>45396</v>
      </c>
      <c r="C86" s="66">
        <v>24368.75</v>
      </c>
      <c r="D86" s="32">
        <f t="shared" si="2"/>
        <v>9.4550651394957885E-3</v>
      </c>
      <c r="F86" s="68">
        <v>22147</v>
      </c>
      <c r="G86" s="32">
        <f t="shared" si="3"/>
        <v>-1.2174425009868428E-2</v>
      </c>
    </row>
    <row r="87" spans="2:7" x14ac:dyDescent="0.25">
      <c r="B87" s="67">
        <v>45389</v>
      </c>
      <c r="C87" s="66">
        <v>25491.15</v>
      </c>
      <c r="D87" s="32">
        <f t="shared" si="2"/>
        <v>4.605898948448317E-2</v>
      </c>
      <c r="F87" s="68">
        <v>22519.4</v>
      </c>
      <c r="G87" s="32">
        <f t="shared" si="3"/>
        <v>1.6814918499119536E-2</v>
      </c>
    </row>
    <row r="88" spans="2:7" x14ac:dyDescent="0.25">
      <c r="B88" s="67">
        <v>45382</v>
      </c>
      <c r="C88" s="66">
        <v>25811.05</v>
      </c>
      <c r="D88" s="32">
        <f t="shared" si="2"/>
        <v>1.2549453437761704E-2</v>
      </c>
      <c r="F88" s="68">
        <v>22513.7</v>
      </c>
      <c r="G88" s="32">
        <f t="shared" si="3"/>
        <v>-2.5311509187642134E-4</v>
      </c>
    </row>
    <row r="89" spans="2:7" x14ac:dyDescent="0.25">
      <c r="B89" s="67">
        <v>45375</v>
      </c>
      <c r="C89" s="66">
        <v>25682.85</v>
      </c>
      <c r="D89" s="32">
        <f t="shared" si="2"/>
        <v>-4.9668649667488074E-3</v>
      </c>
      <c r="F89" s="68">
        <v>22326.9</v>
      </c>
      <c r="G89" s="32">
        <f t="shared" si="3"/>
        <v>-8.2971701674979803E-3</v>
      </c>
    </row>
    <row r="90" spans="2:7" x14ac:dyDescent="0.25">
      <c r="B90" s="67">
        <v>45368</v>
      </c>
      <c r="C90" s="66">
        <v>25366.05</v>
      </c>
      <c r="D90" s="32">
        <f t="shared" si="2"/>
        <v>-1.2335079634853585E-2</v>
      </c>
      <c r="F90" s="68">
        <v>22096.75</v>
      </c>
      <c r="G90" s="32">
        <f t="shared" si="3"/>
        <v>-1.0308193255669229E-2</v>
      </c>
    </row>
    <row r="91" spans="2:7" x14ac:dyDescent="0.25">
      <c r="B91" s="67">
        <v>45361</v>
      </c>
      <c r="C91" s="66">
        <v>25070.45</v>
      </c>
      <c r="D91" s="32">
        <f t="shared" si="2"/>
        <v>-1.1653371336885265E-2</v>
      </c>
      <c r="F91" s="68">
        <v>22023.35</v>
      </c>
      <c r="G91" s="32">
        <f t="shared" si="3"/>
        <v>-3.3217554617761547E-3</v>
      </c>
    </row>
    <row r="92" spans="2:7" x14ac:dyDescent="0.25">
      <c r="B92" s="67">
        <v>45354</v>
      </c>
      <c r="C92" s="66">
        <v>24705.9</v>
      </c>
      <c r="D92" s="32">
        <f t="shared" si="2"/>
        <v>-1.4541023396069885E-2</v>
      </c>
      <c r="F92" s="68">
        <v>22493.55</v>
      </c>
      <c r="G92" s="32">
        <f t="shared" si="3"/>
        <v>2.1350067087886337E-2</v>
      </c>
    </row>
    <row r="93" spans="2:7" x14ac:dyDescent="0.25">
      <c r="B93" s="67">
        <v>45347</v>
      </c>
      <c r="C93" s="66">
        <v>25637.8</v>
      </c>
      <c r="D93" s="32">
        <f t="shared" si="2"/>
        <v>3.7719734962093909E-2</v>
      </c>
      <c r="F93" s="68">
        <v>22338.75</v>
      </c>
      <c r="G93" s="32">
        <f t="shared" si="3"/>
        <v>-6.8819728322118134E-3</v>
      </c>
    </row>
    <row r="94" spans="2:7" x14ac:dyDescent="0.25">
      <c r="B94" s="67">
        <v>45340</v>
      </c>
      <c r="C94" s="66">
        <v>26489.65</v>
      </c>
      <c r="D94" s="32">
        <f t="shared" si="2"/>
        <v>3.3226329872298122E-2</v>
      </c>
      <c r="F94" s="68">
        <v>22212.7</v>
      </c>
      <c r="G94" s="32">
        <f t="shared" si="3"/>
        <v>-5.6426612948351496E-3</v>
      </c>
    </row>
    <row r="95" spans="2:7" x14ac:dyDescent="0.25">
      <c r="B95" s="67">
        <v>45333</v>
      </c>
      <c r="C95" s="66">
        <v>26298</v>
      </c>
      <c r="D95" s="32">
        <f t="shared" si="2"/>
        <v>-7.2349011783847672E-3</v>
      </c>
      <c r="F95" s="68">
        <v>22040.7</v>
      </c>
      <c r="G95" s="32">
        <f t="shared" si="3"/>
        <v>-7.7433180117680855E-3</v>
      </c>
    </row>
    <row r="96" spans="2:7" x14ac:dyDescent="0.25">
      <c r="B96" s="67">
        <v>45326</v>
      </c>
      <c r="C96" s="66">
        <v>27630.1</v>
      </c>
      <c r="D96" s="32">
        <f t="shared" si="2"/>
        <v>5.065404213248148E-2</v>
      </c>
      <c r="F96" s="68">
        <v>21782.5</v>
      </c>
      <c r="G96" s="32">
        <f t="shared" si="3"/>
        <v>-1.1714691457167858E-2</v>
      </c>
    </row>
    <row r="97" spans="2:7" x14ac:dyDescent="0.25">
      <c r="B97" s="67">
        <v>45319</v>
      </c>
      <c r="C97" s="66">
        <v>28453.95</v>
      </c>
      <c r="D97" s="32">
        <f t="shared" si="2"/>
        <v>2.9817119735361164E-2</v>
      </c>
      <c r="F97" s="68">
        <v>21853.8</v>
      </c>
      <c r="G97" s="32">
        <f t="shared" si="3"/>
        <v>3.273269826695735E-3</v>
      </c>
    </row>
    <row r="98" spans="2:7" x14ac:dyDescent="0.25">
      <c r="B98" s="67">
        <v>45312</v>
      </c>
      <c r="C98" s="66">
        <v>27948.799999999999</v>
      </c>
      <c r="D98" s="32">
        <f t="shared" si="2"/>
        <v>-1.7753246912994514E-2</v>
      </c>
      <c r="F98" s="68">
        <v>21352.6</v>
      </c>
      <c r="G98" s="32">
        <f t="shared" si="3"/>
        <v>-2.2934226541837188E-2</v>
      </c>
    </row>
    <row r="99" spans="2:7" x14ac:dyDescent="0.25">
      <c r="B99" s="67">
        <v>45305</v>
      </c>
      <c r="C99" s="66">
        <v>26649.5</v>
      </c>
      <c r="D99" s="32">
        <f t="shared" si="2"/>
        <v>-4.6488579116097939E-2</v>
      </c>
      <c r="F99" s="68">
        <v>21622.400000000001</v>
      </c>
      <c r="G99" s="32">
        <f t="shared" si="3"/>
        <v>1.2635463596939234E-2</v>
      </c>
    </row>
    <row r="100" spans="2:7" x14ac:dyDescent="0.25">
      <c r="B100" s="67">
        <v>45298</v>
      </c>
      <c r="C100" s="66">
        <v>26874</v>
      </c>
      <c r="D100" s="32">
        <f t="shared" si="2"/>
        <v>8.4241730614083021E-3</v>
      </c>
      <c r="F100" s="68">
        <v>21894.55</v>
      </c>
      <c r="G100" s="32">
        <f t="shared" si="3"/>
        <v>1.2586484386561958E-2</v>
      </c>
    </row>
    <row r="101" spans="2:7" x14ac:dyDescent="0.25">
      <c r="B101" s="67">
        <v>45291</v>
      </c>
      <c r="C101" s="66">
        <v>27023.3</v>
      </c>
      <c r="D101" s="32">
        <f t="shared" si="2"/>
        <v>5.5555555555555358E-3</v>
      </c>
      <c r="F101" s="68">
        <v>21710.799999999999</v>
      </c>
      <c r="G101" s="32">
        <f t="shared" si="3"/>
        <v>-8.3924995033010097E-3</v>
      </c>
    </row>
    <row r="102" spans="2:7" x14ac:dyDescent="0.25">
      <c r="B102" s="67">
        <v>45284</v>
      </c>
      <c r="C102" s="66">
        <v>28653.3</v>
      </c>
      <c r="D102" s="32">
        <f t="shared" si="2"/>
        <v>6.031831789603781E-2</v>
      </c>
      <c r="F102" s="68">
        <v>21731.4</v>
      </c>
      <c r="G102" s="32">
        <f t="shared" si="3"/>
        <v>9.4883652375776784E-4</v>
      </c>
    </row>
    <row r="103" spans="2:7" x14ac:dyDescent="0.25">
      <c r="B103" s="67">
        <v>45277</v>
      </c>
      <c r="C103" s="66">
        <v>28186.55</v>
      </c>
      <c r="D103" s="32">
        <f t="shared" si="2"/>
        <v>-1.6289572230772764E-2</v>
      </c>
      <c r="F103" s="68">
        <v>21349.4</v>
      </c>
      <c r="G103" s="32">
        <f t="shared" si="3"/>
        <v>-1.7578250825993735E-2</v>
      </c>
    </row>
    <row r="104" spans="2:7" x14ac:dyDescent="0.25">
      <c r="B104" s="67">
        <v>45270</v>
      </c>
      <c r="C104" s="66">
        <v>28758.9</v>
      </c>
      <c r="D104" s="32">
        <f t="shared" si="2"/>
        <v>2.0305784141727345E-2</v>
      </c>
      <c r="F104" s="68">
        <v>21456.65</v>
      </c>
      <c r="G104" s="32">
        <f t="shared" si="3"/>
        <v>5.023560381087977E-3</v>
      </c>
    </row>
    <row r="105" spans="2:7" x14ac:dyDescent="0.25">
      <c r="B105" s="67">
        <v>45263</v>
      </c>
      <c r="C105" s="66">
        <v>27670.25</v>
      </c>
      <c r="D105" s="32">
        <f t="shared" si="2"/>
        <v>-3.7854368560689133E-2</v>
      </c>
      <c r="F105" s="68">
        <v>20969.400000000001</v>
      </c>
      <c r="G105" s="32">
        <f t="shared" si="3"/>
        <v>-2.2708577527246754E-2</v>
      </c>
    </row>
    <row r="106" spans="2:7" x14ac:dyDescent="0.25">
      <c r="B106" s="67">
        <v>45256</v>
      </c>
      <c r="C106" s="66">
        <v>27026.55</v>
      </c>
      <c r="D106" s="32">
        <f t="shared" si="2"/>
        <v>-2.3263252048680516E-2</v>
      </c>
      <c r="F106" s="68">
        <v>20267.900000000001</v>
      </c>
      <c r="G106" s="32">
        <f t="shared" si="3"/>
        <v>-3.3453508445639879E-2</v>
      </c>
    </row>
    <row r="107" spans="2:7" x14ac:dyDescent="0.25">
      <c r="B107" s="67">
        <v>45249</v>
      </c>
      <c r="C107" s="66">
        <v>25645.4</v>
      </c>
      <c r="D107" s="32">
        <f t="shared" si="2"/>
        <v>-5.110345197592725E-2</v>
      </c>
      <c r="F107" s="68">
        <v>19794.7</v>
      </c>
      <c r="G107" s="32">
        <f t="shared" si="3"/>
        <v>-2.3347263406667706E-2</v>
      </c>
    </row>
    <row r="108" spans="2:7" x14ac:dyDescent="0.25">
      <c r="B108" s="67">
        <v>45242</v>
      </c>
      <c r="C108" s="66">
        <v>26199.8</v>
      </c>
      <c r="D108" s="32">
        <f t="shared" si="2"/>
        <v>2.1617911984215477E-2</v>
      </c>
      <c r="F108" s="68">
        <v>19731.8</v>
      </c>
      <c r="G108" s="32">
        <f t="shared" si="3"/>
        <v>-3.1776182513502116E-3</v>
      </c>
    </row>
    <row r="109" spans="2:7" x14ac:dyDescent="0.25">
      <c r="B109" s="67">
        <v>45235</v>
      </c>
      <c r="C109" s="66">
        <v>26358.5</v>
      </c>
      <c r="D109" s="32">
        <f t="shared" si="2"/>
        <v>6.0572981473141496E-3</v>
      </c>
      <c r="F109" s="68">
        <v>19425.349999999999</v>
      </c>
      <c r="G109" s="32">
        <f t="shared" si="3"/>
        <v>-1.5530767593427863E-2</v>
      </c>
    </row>
    <row r="110" spans="2:7" x14ac:dyDescent="0.25">
      <c r="B110" s="67">
        <v>45228</v>
      </c>
      <c r="C110" s="66">
        <v>25957.85</v>
      </c>
      <c r="D110" s="32">
        <f t="shared" si="2"/>
        <v>-1.5200030350740801E-2</v>
      </c>
      <c r="F110" s="68">
        <v>19230.599999999999</v>
      </c>
      <c r="G110" s="32">
        <f t="shared" si="3"/>
        <v>-1.0025559385030358E-2</v>
      </c>
    </row>
    <row r="111" spans="2:7" x14ac:dyDescent="0.25">
      <c r="B111" s="67">
        <v>45221</v>
      </c>
      <c r="C111" s="66">
        <v>25514.5</v>
      </c>
      <c r="D111" s="32">
        <f t="shared" si="2"/>
        <v>-1.7079611755210777E-2</v>
      </c>
      <c r="F111" s="68">
        <v>19047.25</v>
      </c>
      <c r="G111" s="32">
        <f t="shared" si="3"/>
        <v>-9.5342839016983039E-3</v>
      </c>
    </row>
    <row r="112" spans="2:7" x14ac:dyDescent="0.25">
      <c r="B112" s="67">
        <v>45214</v>
      </c>
      <c r="C112" s="66">
        <v>26084.65</v>
      </c>
      <c r="D112" s="32">
        <f t="shared" si="2"/>
        <v>2.2346116913911862E-2</v>
      </c>
      <c r="F112" s="68">
        <v>19542.650000000001</v>
      </c>
      <c r="G112" s="32">
        <f t="shared" si="3"/>
        <v>2.6009003924451157E-2</v>
      </c>
    </row>
    <row r="113" spans="2:7" x14ac:dyDescent="0.25">
      <c r="B113" s="67">
        <v>45207</v>
      </c>
      <c r="C113" s="66">
        <v>26851.15</v>
      </c>
      <c r="D113" s="32">
        <f t="shared" si="2"/>
        <v>2.9385098132426624E-2</v>
      </c>
      <c r="F113" s="68">
        <v>19751.05</v>
      </c>
      <c r="G113" s="32">
        <f t="shared" si="3"/>
        <v>1.0663855720692839E-2</v>
      </c>
    </row>
    <row r="114" spans="2:7" x14ac:dyDescent="0.25">
      <c r="C114" s="66"/>
    </row>
  </sheetData>
  <mergeCells count="3">
    <mergeCell ref="B7:D7"/>
    <mergeCell ref="F7:G7"/>
    <mergeCell ref="I7:J7"/>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486CE-C5F7-468A-A610-0827A706E575}">
  <sheetPr>
    <tabColor rgb="FF002060"/>
  </sheetPr>
  <dimension ref="B5:Q113"/>
  <sheetViews>
    <sheetView showGridLines="0" zoomScale="80" zoomScaleNormal="80" workbookViewId="0">
      <selection activeCell="B7" sqref="B7:D7"/>
    </sheetView>
  </sheetViews>
  <sheetFormatPr defaultRowHeight="15" x14ac:dyDescent="0.25"/>
  <cols>
    <col min="1" max="1" width="1.85546875" customWidth="1"/>
    <col min="2" max="2" width="15.7109375" bestFit="1" customWidth="1"/>
    <col min="3" max="3" width="12.28515625" customWidth="1"/>
    <col min="4" max="4" width="16" customWidth="1"/>
    <col min="6" max="6" width="12.28515625" bestFit="1" customWidth="1"/>
    <col min="7" max="7" width="15.28515625" bestFit="1" customWidth="1"/>
    <col min="9" max="9" width="20.85546875" bestFit="1" customWidth="1"/>
    <col min="10" max="10" width="12.7109375" bestFit="1" customWidth="1"/>
    <col min="11" max="11" width="14.5703125" bestFit="1" customWidth="1"/>
    <col min="12" max="13" width="12" bestFit="1" customWidth="1"/>
    <col min="14" max="14" width="13.42578125" bestFit="1" customWidth="1"/>
    <col min="15" max="15" width="12" bestFit="1" customWidth="1"/>
    <col min="16" max="16" width="12.7109375" bestFit="1" customWidth="1"/>
    <col min="17" max="17" width="12.5703125" bestFit="1" customWidth="1"/>
  </cols>
  <sheetData>
    <row r="5" spans="2:10" s="27" customFormat="1" x14ac:dyDescent="0.25">
      <c r="B5" s="53" t="s">
        <v>153</v>
      </c>
      <c r="C5" s="51"/>
      <c r="D5" s="51"/>
      <c r="E5" s="51"/>
      <c r="F5" s="51"/>
      <c r="G5" s="51"/>
      <c r="H5" s="51"/>
      <c r="I5" s="51"/>
      <c r="J5" s="51"/>
    </row>
    <row r="6" spans="2:10" s="27" customFormat="1" x14ac:dyDescent="0.25">
      <c r="B6" s="69"/>
    </row>
    <row r="7" spans="2:10" x14ac:dyDescent="0.25">
      <c r="B7" s="328" t="str">
        <f>WACC!B17&amp;" Returns"</f>
        <v>Ambuja Cements Returns</v>
      </c>
      <c r="C7" s="328"/>
      <c r="D7" s="328"/>
      <c r="F7" s="328" t="s">
        <v>151</v>
      </c>
      <c r="G7" s="328"/>
      <c r="I7" s="328" t="s">
        <v>152</v>
      </c>
      <c r="J7" s="328"/>
    </row>
    <row r="8" spans="2:10" s="27" customFormat="1" x14ac:dyDescent="0.25"/>
    <row r="9" spans="2:10" x14ac:dyDescent="0.25">
      <c r="B9" s="70" t="s">
        <v>148</v>
      </c>
      <c r="C9" s="71" t="s">
        <v>149</v>
      </c>
      <c r="D9" s="71" t="s">
        <v>150</v>
      </c>
      <c r="E9" s="15"/>
      <c r="F9" s="71" t="s">
        <v>149</v>
      </c>
      <c r="G9" s="71" t="s">
        <v>150</v>
      </c>
      <c r="I9" s="72" t="s">
        <v>154</v>
      </c>
      <c r="J9" s="14">
        <f>J34</f>
        <v>1.0716281188018857</v>
      </c>
    </row>
    <row r="10" spans="2:10" x14ac:dyDescent="0.25">
      <c r="B10" s="67">
        <v>45928</v>
      </c>
      <c r="C10" s="68">
        <v>576.15</v>
      </c>
      <c r="F10" s="68">
        <v>24894.25</v>
      </c>
      <c r="I10" s="20" t="s">
        <v>155</v>
      </c>
      <c r="J10" s="77">
        <v>0.75</v>
      </c>
    </row>
    <row r="11" spans="2:10" x14ac:dyDescent="0.25">
      <c r="B11" s="67">
        <v>45921</v>
      </c>
      <c r="C11" s="68">
        <v>565.20000000000005</v>
      </c>
      <c r="D11" s="32">
        <f>C11/C10-1</f>
        <v>-1.9005467326216996E-2</v>
      </c>
      <c r="F11" s="68">
        <v>24654.7</v>
      </c>
      <c r="G11" s="32">
        <f>F11/F10-1</f>
        <v>-9.6227040380810758E-3</v>
      </c>
    </row>
    <row r="12" spans="2:10" x14ac:dyDescent="0.25">
      <c r="B12" s="67">
        <v>45914</v>
      </c>
      <c r="C12" s="68">
        <v>582.45000000000005</v>
      </c>
      <c r="D12" s="32">
        <f t="shared" ref="D12:D75" si="0">C12/C11-1</f>
        <v>3.0520169851379952E-2</v>
      </c>
      <c r="F12" s="68">
        <v>25327.05</v>
      </c>
      <c r="G12" s="32">
        <f t="shared" ref="G12:G75" si="1">F12/F11-1</f>
        <v>2.7270662388915623E-2</v>
      </c>
      <c r="I12" s="20" t="s">
        <v>156</v>
      </c>
      <c r="J12" s="78">
        <v>1</v>
      </c>
    </row>
    <row r="13" spans="2:10" x14ac:dyDescent="0.25">
      <c r="B13" s="67">
        <v>45907</v>
      </c>
      <c r="C13" s="68">
        <v>560.54999999999995</v>
      </c>
      <c r="D13" s="32">
        <f t="shared" si="0"/>
        <v>-3.759979397373181E-2</v>
      </c>
      <c r="F13" s="68">
        <v>25114</v>
      </c>
      <c r="G13" s="32">
        <f t="shared" si="1"/>
        <v>-8.4119548072120187E-3</v>
      </c>
      <c r="I13" s="20" t="s">
        <v>157</v>
      </c>
      <c r="J13" s="77">
        <v>0.25</v>
      </c>
    </row>
    <row r="14" spans="2:10" x14ac:dyDescent="0.25">
      <c r="B14" s="67">
        <v>45900</v>
      </c>
      <c r="C14" s="68">
        <v>566.70000000000005</v>
      </c>
      <c r="D14" s="32">
        <f t="shared" si="0"/>
        <v>1.0971367407011101E-2</v>
      </c>
      <c r="F14" s="68">
        <v>24741</v>
      </c>
      <c r="G14" s="32">
        <f t="shared" si="1"/>
        <v>-1.4852273632236956E-2</v>
      </c>
    </row>
    <row r="15" spans="2:10" x14ac:dyDescent="0.25">
      <c r="B15" s="67">
        <v>45893</v>
      </c>
      <c r="C15" s="68">
        <v>563.20000000000005</v>
      </c>
      <c r="D15" s="32">
        <f t="shared" si="0"/>
        <v>-6.1761072878065981E-3</v>
      </c>
      <c r="F15" s="68">
        <v>24426.85</v>
      </c>
      <c r="G15" s="32">
        <f t="shared" si="1"/>
        <v>-1.2697546582595698E-2</v>
      </c>
      <c r="I15" s="79" t="s">
        <v>158</v>
      </c>
      <c r="J15" s="80">
        <f>(J9*J10)+(J12*J13)</f>
        <v>1.0537210891014142</v>
      </c>
    </row>
    <row r="16" spans="2:10" x14ac:dyDescent="0.25">
      <c r="B16" s="67">
        <v>45886</v>
      </c>
      <c r="C16" s="68">
        <v>577.15</v>
      </c>
      <c r="D16" s="32">
        <f t="shared" si="0"/>
        <v>2.4769176136363535E-2</v>
      </c>
      <c r="F16" s="68">
        <v>24870.1</v>
      </c>
      <c r="G16" s="32">
        <f t="shared" si="1"/>
        <v>1.8146015552557904E-2</v>
      </c>
    </row>
    <row r="17" spans="2:17" x14ac:dyDescent="0.25">
      <c r="B17" s="67">
        <v>45879</v>
      </c>
      <c r="C17" s="68">
        <v>578.04999999999995</v>
      </c>
      <c r="D17" s="32">
        <f t="shared" si="0"/>
        <v>1.5593866412544344E-3</v>
      </c>
      <c r="F17" s="68">
        <v>24631.3</v>
      </c>
      <c r="G17" s="32">
        <f t="shared" si="1"/>
        <v>-9.6018914278591661E-3</v>
      </c>
      <c r="I17" t="s">
        <v>159</v>
      </c>
    </row>
    <row r="18" spans="2:17" ht="15.75" thickBot="1" x14ac:dyDescent="0.3">
      <c r="B18" s="67">
        <v>45872</v>
      </c>
      <c r="C18" s="68">
        <v>580</v>
      </c>
      <c r="D18" s="32">
        <f t="shared" si="0"/>
        <v>3.3734106046190426E-3</v>
      </c>
      <c r="F18" s="68">
        <v>24363.3</v>
      </c>
      <c r="G18" s="32">
        <f t="shared" si="1"/>
        <v>-1.0880465099284198E-2</v>
      </c>
    </row>
    <row r="19" spans="2:17" x14ac:dyDescent="0.25">
      <c r="B19" s="67">
        <v>45865</v>
      </c>
      <c r="C19" s="68">
        <v>607.95000000000005</v>
      </c>
      <c r="D19" s="32">
        <f t="shared" si="0"/>
        <v>4.8189655172413914E-2</v>
      </c>
      <c r="F19" s="68">
        <v>24565.35</v>
      </c>
      <c r="G19" s="32">
        <f t="shared" si="1"/>
        <v>8.2932115107559046E-3</v>
      </c>
      <c r="I19" s="76" t="s">
        <v>160</v>
      </c>
      <c r="J19" s="76"/>
    </row>
    <row r="20" spans="2:17" x14ac:dyDescent="0.25">
      <c r="B20" s="67">
        <v>45858</v>
      </c>
      <c r="C20" s="68">
        <v>613.1</v>
      </c>
      <c r="D20" s="32">
        <f t="shared" si="0"/>
        <v>8.4710913726457893E-3</v>
      </c>
      <c r="F20" s="68">
        <v>24837</v>
      </c>
      <c r="G20" s="32">
        <f t="shared" si="1"/>
        <v>1.1058258889045103E-2</v>
      </c>
      <c r="I20" s="73" t="s">
        <v>161</v>
      </c>
      <c r="J20" s="73">
        <v>0.50260007100774251</v>
      </c>
    </row>
    <row r="21" spans="2:17" x14ac:dyDescent="0.25">
      <c r="B21" s="67">
        <v>45851</v>
      </c>
      <c r="C21" s="68">
        <v>596.70000000000005</v>
      </c>
      <c r="D21" s="32">
        <f t="shared" si="0"/>
        <v>-2.6749306801500561E-2</v>
      </c>
      <c r="F21" s="68">
        <v>24968.400000000001</v>
      </c>
      <c r="G21" s="32">
        <f t="shared" si="1"/>
        <v>5.2904940210170004E-3</v>
      </c>
      <c r="I21" s="73" t="s">
        <v>162</v>
      </c>
      <c r="J21" s="73">
        <v>0.25260683137698781</v>
      </c>
    </row>
    <row r="22" spans="2:17" x14ac:dyDescent="0.25">
      <c r="B22" s="67">
        <v>45844</v>
      </c>
      <c r="C22" s="68">
        <v>587.15</v>
      </c>
      <c r="D22" s="32">
        <f t="shared" si="0"/>
        <v>-1.6004692475280802E-2</v>
      </c>
      <c r="F22" s="68">
        <v>25149.85</v>
      </c>
      <c r="G22" s="32">
        <f t="shared" si="1"/>
        <v>7.267185722753533E-3</v>
      </c>
      <c r="I22" s="73" t="s">
        <v>163</v>
      </c>
      <c r="J22" s="73">
        <v>0.24520689901438375</v>
      </c>
    </row>
    <row r="23" spans="2:17" x14ac:dyDescent="0.25">
      <c r="B23" s="67">
        <v>45837</v>
      </c>
      <c r="C23" s="68">
        <v>595.75</v>
      </c>
      <c r="D23" s="32">
        <f t="shared" si="0"/>
        <v>1.4647023758835198E-2</v>
      </c>
      <c r="F23" s="68">
        <v>25461</v>
      </c>
      <c r="G23" s="32">
        <f t="shared" si="1"/>
        <v>1.2371843172026997E-2</v>
      </c>
      <c r="I23" s="73" t="s">
        <v>164</v>
      </c>
      <c r="J23" s="73">
        <v>3.2200830320742758E-2</v>
      </c>
    </row>
    <row r="24" spans="2:17" ht="15.75" thickBot="1" x14ac:dyDescent="0.3">
      <c r="B24" s="67">
        <v>45830</v>
      </c>
      <c r="C24" s="68">
        <v>574.95000000000005</v>
      </c>
      <c r="D24" s="32">
        <f t="shared" si="0"/>
        <v>-3.4913973982375057E-2</v>
      </c>
      <c r="F24" s="68">
        <v>25637.8</v>
      </c>
      <c r="G24" s="32">
        <f t="shared" si="1"/>
        <v>6.9439534975059836E-3</v>
      </c>
      <c r="I24" s="74" t="s">
        <v>165</v>
      </c>
      <c r="J24" s="74">
        <v>103</v>
      </c>
    </row>
    <row r="25" spans="2:17" x14ac:dyDescent="0.25">
      <c r="B25" s="67">
        <v>45823</v>
      </c>
      <c r="C25" s="68">
        <v>533.45000000000005</v>
      </c>
      <c r="D25" s="32">
        <f t="shared" si="0"/>
        <v>-7.2180189581702803E-2</v>
      </c>
      <c r="F25" s="68">
        <v>25112.400000000001</v>
      </c>
      <c r="G25" s="32">
        <f t="shared" si="1"/>
        <v>-2.0493178041797622E-2</v>
      </c>
    </row>
    <row r="26" spans="2:17" ht="15.75" thickBot="1" x14ac:dyDescent="0.3">
      <c r="B26" s="67">
        <v>45816</v>
      </c>
      <c r="C26" s="68">
        <v>542.5</v>
      </c>
      <c r="D26" s="32">
        <f t="shared" si="0"/>
        <v>1.6965038897740925E-2</v>
      </c>
      <c r="F26" s="68">
        <v>24718.6</v>
      </c>
      <c r="G26" s="32">
        <f t="shared" si="1"/>
        <v>-1.568149599401103E-2</v>
      </c>
      <c r="I26" t="s">
        <v>166</v>
      </c>
    </row>
    <row r="27" spans="2:17" x14ac:dyDescent="0.25">
      <c r="B27" s="67">
        <v>45809</v>
      </c>
      <c r="C27" s="68">
        <v>555.15</v>
      </c>
      <c r="D27" s="32">
        <f t="shared" si="0"/>
        <v>2.3317972350230365E-2</v>
      </c>
      <c r="F27" s="68">
        <v>25003.05</v>
      </c>
      <c r="G27" s="32">
        <f t="shared" si="1"/>
        <v>1.1507528743537332E-2</v>
      </c>
      <c r="I27" s="75"/>
      <c r="J27" s="75" t="s">
        <v>170</v>
      </c>
      <c r="K27" s="75" t="s">
        <v>171</v>
      </c>
      <c r="L27" s="75" t="s">
        <v>172</v>
      </c>
      <c r="M27" s="75" t="s">
        <v>173</v>
      </c>
      <c r="N27" s="75" t="s">
        <v>174</v>
      </c>
    </row>
    <row r="28" spans="2:17" x14ac:dyDescent="0.25">
      <c r="B28" s="67">
        <v>45802</v>
      </c>
      <c r="C28" s="68">
        <v>553.5</v>
      </c>
      <c r="D28" s="32">
        <f t="shared" si="0"/>
        <v>-2.9721696838691525E-3</v>
      </c>
      <c r="F28" s="68">
        <v>24750.7</v>
      </c>
      <c r="G28" s="32">
        <f t="shared" si="1"/>
        <v>-1.0092768682220754E-2</v>
      </c>
      <c r="I28" s="73" t="s">
        <v>167</v>
      </c>
      <c r="J28" s="73">
        <v>1</v>
      </c>
      <c r="K28" s="73">
        <v>3.5395779575078903E-2</v>
      </c>
      <c r="L28" s="73">
        <v>3.5395779575078903E-2</v>
      </c>
      <c r="M28" s="73">
        <v>34.136370307051557</v>
      </c>
      <c r="N28" s="73">
        <v>6.3097537867999952E-8</v>
      </c>
    </row>
    <row r="29" spans="2:17" x14ac:dyDescent="0.25">
      <c r="B29" s="67">
        <v>45795</v>
      </c>
      <c r="C29" s="68">
        <v>570.9</v>
      </c>
      <c r="D29" s="32">
        <f t="shared" si="0"/>
        <v>3.1436314363143536E-2</v>
      </c>
      <c r="F29" s="68">
        <v>24853.15</v>
      </c>
      <c r="G29" s="32">
        <f t="shared" si="1"/>
        <v>4.139276868937003E-3</v>
      </c>
      <c r="I29" s="73" t="s">
        <v>168</v>
      </c>
      <c r="J29" s="73">
        <v>101</v>
      </c>
      <c r="K29" s="73">
        <v>0.10472624080787189</v>
      </c>
      <c r="L29" s="73">
        <v>1.0368934733452663E-3</v>
      </c>
      <c r="M29" s="73"/>
      <c r="N29" s="73"/>
    </row>
    <row r="30" spans="2:17" ht="15.75" thickBot="1" x14ac:dyDescent="0.3">
      <c r="B30" s="67">
        <v>45788</v>
      </c>
      <c r="C30" s="68">
        <v>563.5</v>
      </c>
      <c r="D30" s="32">
        <f t="shared" si="0"/>
        <v>-1.2961989840602484E-2</v>
      </c>
      <c r="F30" s="68">
        <v>25019.8</v>
      </c>
      <c r="G30" s="32">
        <f t="shared" si="1"/>
        <v>6.705387445856914E-3</v>
      </c>
      <c r="I30" s="74" t="s">
        <v>12</v>
      </c>
      <c r="J30" s="74">
        <v>102</v>
      </c>
      <c r="K30" s="74">
        <v>0.1401220203829508</v>
      </c>
      <c r="L30" s="74"/>
      <c r="M30" s="74"/>
      <c r="N30" s="74"/>
    </row>
    <row r="31" spans="2:17" ht="15.75" thickBot="1" x14ac:dyDescent="0.3">
      <c r="B31" s="67">
        <v>45781</v>
      </c>
      <c r="C31" s="68">
        <v>527.45000000000005</v>
      </c>
      <c r="D31" s="32">
        <f t="shared" si="0"/>
        <v>-6.3975155279503038E-2</v>
      </c>
      <c r="F31" s="68">
        <v>24008</v>
      </c>
      <c r="G31" s="32">
        <f t="shared" si="1"/>
        <v>-4.0439971542538311E-2</v>
      </c>
    </row>
    <row r="32" spans="2:17" x14ac:dyDescent="0.25">
      <c r="B32" s="67">
        <v>45774</v>
      </c>
      <c r="C32" s="68">
        <v>531.70000000000005</v>
      </c>
      <c r="D32" s="32">
        <f t="shared" si="0"/>
        <v>8.0576357948620725E-3</v>
      </c>
      <c r="F32" s="68">
        <v>24346.7</v>
      </c>
      <c r="G32" s="32">
        <f t="shared" si="1"/>
        <v>1.4107797400866318E-2</v>
      </c>
      <c r="I32" s="75"/>
      <c r="J32" s="75" t="s">
        <v>175</v>
      </c>
      <c r="K32" s="75" t="s">
        <v>164</v>
      </c>
      <c r="L32" s="75" t="s">
        <v>176</v>
      </c>
      <c r="M32" s="75" t="s">
        <v>177</v>
      </c>
      <c r="N32" s="75" t="s">
        <v>178</v>
      </c>
      <c r="O32" s="75" t="s">
        <v>179</v>
      </c>
      <c r="P32" s="75" t="s">
        <v>180</v>
      </c>
      <c r="Q32" s="75" t="s">
        <v>181</v>
      </c>
    </row>
    <row r="33" spans="2:17" x14ac:dyDescent="0.25">
      <c r="B33" s="67">
        <v>45767</v>
      </c>
      <c r="C33" s="68">
        <v>548.70000000000005</v>
      </c>
      <c r="D33" s="32">
        <f t="shared" si="0"/>
        <v>3.1972917058491701E-2</v>
      </c>
      <c r="F33" s="68">
        <v>24039.35</v>
      </c>
      <c r="G33" s="32">
        <f t="shared" si="1"/>
        <v>-1.2623887426222113E-2</v>
      </c>
      <c r="I33" s="73" t="s">
        <v>169</v>
      </c>
      <c r="J33" s="73">
        <v>3.1477339022399956E-4</v>
      </c>
      <c r="K33" s="73">
        <v>3.1960253913001879E-3</v>
      </c>
      <c r="L33" s="73">
        <v>9.8489014223990673E-2</v>
      </c>
      <c r="M33" s="73">
        <v>0.9217391970577048</v>
      </c>
      <c r="N33" s="73">
        <v>-6.0252812647315001E-3</v>
      </c>
      <c r="O33" s="73">
        <v>6.6548280451794997E-3</v>
      </c>
      <c r="P33" s="73">
        <v>-6.0252812647315001E-3</v>
      </c>
      <c r="Q33" s="73">
        <v>6.6548280451794997E-3</v>
      </c>
    </row>
    <row r="34" spans="2:17" ht="15.75" thickBot="1" x14ac:dyDescent="0.3">
      <c r="B34" s="67">
        <v>45760</v>
      </c>
      <c r="C34" s="68">
        <v>569.79999999999995</v>
      </c>
      <c r="D34" s="32">
        <f t="shared" si="0"/>
        <v>3.8454528886458839E-2</v>
      </c>
      <c r="F34" s="68">
        <v>23851.65</v>
      </c>
      <c r="G34" s="32">
        <f t="shared" si="1"/>
        <v>-7.8080314151587338E-3</v>
      </c>
      <c r="I34" s="74" t="s">
        <v>182</v>
      </c>
      <c r="J34" s="74">
        <v>1.0716281188018857</v>
      </c>
      <c r="K34" s="74">
        <v>0.18341524495365846</v>
      </c>
      <c r="L34" s="74">
        <v>5.842633850161377</v>
      </c>
      <c r="M34" s="74">
        <v>6.3097537867999952E-8</v>
      </c>
      <c r="N34" s="74">
        <v>0.70778161097261694</v>
      </c>
      <c r="O34" s="74">
        <v>1.4354746266311544</v>
      </c>
      <c r="P34" s="74">
        <v>0.70778161097261694</v>
      </c>
      <c r="Q34" s="74">
        <v>1.4354746266311544</v>
      </c>
    </row>
    <row r="35" spans="2:17" x14ac:dyDescent="0.25">
      <c r="B35" s="67">
        <v>45753</v>
      </c>
      <c r="C35" s="68">
        <v>548.65</v>
      </c>
      <c r="D35" s="32">
        <f t="shared" si="0"/>
        <v>-3.711828711828713E-2</v>
      </c>
      <c r="F35" s="68">
        <v>22828.55</v>
      </c>
      <c r="G35" s="32">
        <f t="shared" si="1"/>
        <v>-4.2894307102443685E-2</v>
      </c>
    </row>
    <row r="36" spans="2:17" x14ac:dyDescent="0.25">
      <c r="B36" s="67">
        <v>45746</v>
      </c>
      <c r="C36" s="68">
        <v>528.20000000000005</v>
      </c>
      <c r="D36" s="32">
        <f t="shared" si="0"/>
        <v>-3.7273307208602779E-2</v>
      </c>
      <c r="F36" s="68">
        <v>22904.45</v>
      </c>
      <c r="G36" s="32">
        <f t="shared" si="1"/>
        <v>3.3247840971064591E-3</v>
      </c>
    </row>
    <row r="37" spans="2:17" x14ac:dyDescent="0.25">
      <c r="B37" s="67">
        <v>45739</v>
      </c>
      <c r="C37" s="68">
        <v>538.35</v>
      </c>
      <c r="D37" s="32">
        <f t="shared" si="0"/>
        <v>1.9216205982582224E-2</v>
      </c>
      <c r="F37" s="68">
        <v>23519.35</v>
      </c>
      <c r="G37" s="32">
        <f t="shared" si="1"/>
        <v>2.6846311524616251E-2</v>
      </c>
    </row>
    <row r="38" spans="2:17" x14ac:dyDescent="0.25">
      <c r="B38" s="67">
        <v>45732</v>
      </c>
      <c r="C38" s="68">
        <v>514.5</v>
      </c>
      <c r="D38" s="32">
        <f t="shared" si="0"/>
        <v>-4.4302033992755674E-2</v>
      </c>
      <c r="F38" s="68">
        <v>23350.400000000001</v>
      </c>
      <c r="G38" s="32">
        <f t="shared" si="1"/>
        <v>-7.1834468214468927E-3</v>
      </c>
    </row>
    <row r="39" spans="2:17" x14ac:dyDescent="0.25">
      <c r="B39" s="67">
        <v>45725</v>
      </c>
      <c r="C39" s="68">
        <v>485.8</v>
      </c>
      <c r="D39" s="32">
        <f t="shared" si="0"/>
        <v>-5.5782312925169997E-2</v>
      </c>
      <c r="F39" s="68">
        <v>22397.200000000001</v>
      </c>
      <c r="G39" s="32">
        <f t="shared" si="1"/>
        <v>-4.0821570508428162E-2</v>
      </c>
    </row>
    <row r="40" spans="2:17" x14ac:dyDescent="0.25">
      <c r="B40" s="67">
        <v>45718</v>
      </c>
      <c r="C40" s="68">
        <v>499.8</v>
      </c>
      <c r="D40" s="32">
        <f t="shared" si="0"/>
        <v>2.8818443804034644E-2</v>
      </c>
      <c r="F40" s="68">
        <v>22552.5</v>
      </c>
      <c r="G40" s="32">
        <f t="shared" si="1"/>
        <v>6.9339024520922443E-3</v>
      </c>
    </row>
    <row r="41" spans="2:17" x14ac:dyDescent="0.25">
      <c r="B41" s="67">
        <v>45711</v>
      </c>
      <c r="C41" s="68">
        <v>464.95</v>
      </c>
      <c r="D41" s="32">
        <f t="shared" si="0"/>
        <v>-6.9727891156462607E-2</v>
      </c>
      <c r="F41" s="68">
        <v>22124.7</v>
      </c>
      <c r="G41" s="32">
        <f t="shared" si="1"/>
        <v>-1.8969072164948475E-2</v>
      </c>
    </row>
    <row r="42" spans="2:17" x14ac:dyDescent="0.25">
      <c r="B42" s="67">
        <v>45704</v>
      </c>
      <c r="C42" s="68">
        <v>481.95</v>
      </c>
      <c r="D42" s="32">
        <f t="shared" si="0"/>
        <v>3.6563071297988969E-2</v>
      </c>
      <c r="F42" s="68">
        <v>22795.9</v>
      </c>
      <c r="G42" s="32">
        <f t="shared" si="1"/>
        <v>3.0337134514818231E-2</v>
      </c>
    </row>
    <row r="43" spans="2:17" x14ac:dyDescent="0.25">
      <c r="B43" s="67">
        <v>45697</v>
      </c>
      <c r="C43" s="68">
        <v>489.5</v>
      </c>
      <c r="D43" s="32">
        <f t="shared" si="0"/>
        <v>1.5665525469447106E-2</v>
      </c>
      <c r="F43" s="68">
        <v>22929.25</v>
      </c>
      <c r="G43" s="32">
        <f t="shared" si="1"/>
        <v>5.8497361367613188E-3</v>
      </c>
    </row>
    <row r="44" spans="2:17" x14ac:dyDescent="0.25">
      <c r="B44" s="67">
        <v>45690</v>
      </c>
      <c r="C44" s="68">
        <v>512.75</v>
      </c>
      <c r="D44" s="32">
        <f t="shared" si="0"/>
        <v>4.7497446373850893E-2</v>
      </c>
      <c r="F44" s="68">
        <v>23559.95</v>
      </c>
      <c r="G44" s="32">
        <f t="shared" si="1"/>
        <v>2.7506351058146361E-2</v>
      </c>
    </row>
    <row r="45" spans="2:17" x14ac:dyDescent="0.25">
      <c r="B45" s="67">
        <v>45683</v>
      </c>
      <c r="C45" s="68">
        <v>512.79999999999995</v>
      </c>
      <c r="D45" s="32">
        <f t="shared" si="0"/>
        <v>9.7513408093607978E-5</v>
      </c>
      <c r="F45" s="68">
        <v>23508.400000000001</v>
      </c>
      <c r="G45" s="32">
        <f t="shared" si="1"/>
        <v>-2.188035203809835E-3</v>
      </c>
    </row>
    <row r="46" spans="2:17" x14ac:dyDescent="0.25">
      <c r="B46" s="67">
        <v>45676</v>
      </c>
      <c r="C46" s="68">
        <v>551.79999999999995</v>
      </c>
      <c r="D46" s="32">
        <f t="shared" si="0"/>
        <v>7.6053042121684955E-2</v>
      </c>
      <c r="F46" s="68">
        <v>23092.2</v>
      </c>
      <c r="G46" s="32">
        <f t="shared" si="1"/>
        <v>-1.7704309948784247E-2</v>
      </c>
    </row>
    <row r="47" spans="2:17" x14ac:dyDescent="0.25">
      <c r="B47" s="67">
        <v>45669</v>
      </c>
      <c r="C47" s="68">
        <v>536.25</v>
      </c>
      <c r="D47" s="32">
        <f t="shared" si="0"/>
        <v>-2.8180500181224977E-2</v>
      </c>
      <c r="F47" s="68">
        <v>23203.200000000001</v>
      </c>
      <c r="G47" s="32">
        <f t="shared" si="1"/>
        <v>4.8068178865590117E-3</v>
      </c>
    </row>
    <row r="48" spans="2:17" x14ac:dyDescent="0.25">
      <c r="B48" s="67">
        <v>45662</v>
      </c>
      <c r="C48" s="68">
        <v>511.25</v>
      </c>
      <c r="D48" s="32">
        <f t="shared" si="0"/>
        <v>-4.6620046620046596E-2</v>
      </c>
      <c r="F48" s="68">
        <v>23431.5</v>
      </c>
      <c r="G48" s="32">
        <f t="shared" si="1"/>
        <v>9.8391601158460684E-3</v>
      </c>
    </row>
    <row r="49" spans="2:7" x14ac:dyDescent="0.25">
      <c r="B49" s="67">
        <v>45655</v>
      </c>
      <c r="C49" s="68">
        <v>548.70000000000005</v>
      </c>
      <c r="D49" s="32">
        <f t="shared" si="0"/>
        <v>7.325183374083144E-2</v>
      </c>
      <c r="F49" s="68">
        <v>24004.75</v>
      </c>
      <c r="G49" s="32">
        <f t="shared" si="1"/>
        <v>2.4464929688666981E-2</v>
      </c>
    </row>
    <row r="50" spans="2:7" x14ac:dyDescent="0.25">
      <c r="B50" s="67">
        <v>45648</v>
      </c>
      <c r="C50" s="68">
        <v>547.95000000000005</v>
      </c>
      <c r="D50" s="32">
        <f t="shared" si="0"/>
        <v>-1.3668671405139277E-3</v>
      </c>
      <c r="F50" s="68">
        <v>23813.4</v>
      </c>
      <c r="G50" s="32">
        <f t="shared" si="1"/>
        <v>-7.9713390058216982E-3</v>
      </c>
    </row>
    <row r="51" spans="2:7" x14ac:dyDescent="0.25">
      <c r="B51" s="67">
        <v>45641</v>
      </c>
      <c r="C51" s="68">
        <v>548.79999999999995</v>
      </c>
      <c r="D51" s="32">
        <f t="shared" si="0"/>
        <v>1.5512364266812018E-3</v>
      </c>
      <c r="F51" s="68">
        <v>23587.5</v>
      </c>
      <c r="G51" s="32">
        <f t="shared" si="1"/>
        <v>-9.4862556375822082E-3</v>
      </c>
    </row>
    <row r="52" spans="2:7" x14ac:dyDescent="0.25">
      <c r="B52" s="67">
        <v>45634</v>
      </c>
      <c r="C52" s="68">
        <v>572.75</v>
      </c>
      <c r="D52" s="32">
        <f t="shared" si="0"/>
        <v>4.3640670553936056E-2</v>
      </c>
      <c r="F52" s="68">
        <v>24768.3</v>
      </c>
      <c r="G52" s="32">
        <f t="shared" si="1"/>
        <v>5.0060413354531041E-2</v>
      </c>
    </row>
    <row r="53" spans="2:7" x14ac:dyDescent="0.25">
      <c r="B53" s="67">
        <v>45627</v>
      </c>
      <c r="C53" s="68">
        <v>565.29999999999995</v>
      </c>
      <c r="D53" s="32">
        <f t="shared" si="0"/>
        <v>-1.3007420340462761E-2</v>
      </c>
      <c r="F53" s="68">
        <v>24677.8</v>
      </c>
      <c r="G53" s="32">
        <f t="shared" si="1"/>
        <v>-3.653864011660013E-3</v>
      </c>
    </row>
    <row r="54" spans="2:7" x14ac:dyDescent="0.25">
      <c r="B54" s="67">
        <v>45620</v>
      </c>
      <c r="C54" s="68">
        <v>531.5</v>
      </c>
      <c r="D54" s="32">
        <f t="shared" si="0"/>
        <v>-5.9791261277197916E-2</v>
      </c>
      <c r="F54" s="68">
        <v>24131.1</v>
      </c>
      <c r="G54" s="32">
        <f t="shared" si="1"/>
        <v>-2.2153514494809179E-2</v>
      </c>
    </row>
    <row r="55" spans="2:7" x14ac:dyDescent="0.25">
      <c r="B55" s="67">
        <v>45613</v>
      </c>
      <c r="C55" s="68">
        <v>499.85</v>
      </c>
      <c r="D55" s="32">
        <f t="shared" si="0"/>
        <v>-5.9548447789275594E-2</v>
      </c>
      <c r="F55" s="68">
        <v>23907.25</v>
      </c>
      <c r="G55" s="32">
        <f t="shared" si="1"/>
        <v>-9.2764109385812255E-3</v>
      </c>
    </row>
    <row r="56" spans="2:7" x14ac:dyDescent="0.25">
      <c r="B56" s="67">
        <v>45606</v>
      </c>
      <c r="C56" s="68">
        <v>544.5</v>
      </c>
      <c r="D56" s="32">
        <f t="shared" si="0"/>
        <v>8.9326798039411681E-2</v>
      </c>
      <c r="F56" s="68">
        <v>23532.7</v>
      </c>
      <c r="G56" s="32">
        <f t="shared" si="1"/>
        <v>-1.5666795637306663E-2</v>
      </c>
    </row>
    <row r="57" spans="2:7" x14ac:dyDescent="0.25">
      <c r="B57" s="67">
        <v>45599</v>
      </c>
      <c r="C57" s="68">
        <v>564.9</v>
      </c>
      <c r="D57" s="32">
        <f t="shared" si="0"/>
        <v>3.746556473829199E-2</v>
      </c>
      <c r="F57" s="68">
        <v>24148.2</v>
      </c>
      <c r="G57" s="32">
        <f t="shared" si="1"/>
        <v>2.6155094825498049E-2</v>
      </c>
    </row>
    <row r="58" spans="2:7" x14ac:dyDescent="0.25">
      <c r="B58" s="67">
        <v>45592</v>
      </c>
      <c r="C58" s="68">
        <v>582.45000000000005</v>
      </c>
      <c r="D58" s="32">
        <f t="shared" si="0"/>
        <v>3.1067445565587049E-2</v>
      </c>
      <c r="F58" s="68">
        <v>24304.35</v>
      </c>
      <c r="G58" s="32">
        <f t="shared" si="1"/>
        <v>6.4663204710908584E-3</v>
      </c>
    </row>
    <row r="59" spans="2:7" x14ac:dyDescent="0.25">
      <c r="B59" s="67">
        <v>45585</v>
      </c>
      <c r="C59" s="68">
        <v>552.70000000000005</v>
      </c>
      <c r="D59" s="32">
        <f t="shared" si="0"/>
        <v>-5.1077345694909404E-2</v>
      </c>
      <c r="F59" s="68">
        <v>24180.799999999999</v>
      </c>
      <c r="G59" s="32">
        <f t="shared" si="1"/>
        <v>-5.0834521392261189E-3</v>
      </c>
    </row>
    <row r="60" spans="2:7" x14ac:dyDescent="0.25">
      <c r="B60" s="67">
        <v>45578</v>
      </c>
      <c r="C60" s="68">
        <v>573.95000000000005</v>
      </c>
      <c r="D60" s="32">
        <f t="shared" si="0"/>
        <v>3.8447620770761803E-2</v>
      </c>
      <c r="F60" s="68">
        <v>24854.05</v>
      </c>
      <c r="G60" s="32">
        <f t="shared" si="1"/>
        <v>2.7842337722490562E-2</v>
      </c>
    </row>
    <row r="61" spans="2:7" x14ac:dyDescent="0.25">
      <c r="B61" s="67">
        <v>45571</v>
      </c>
      <c r="C61" s="68">
        <v>585.20000000000005</v>
      </c>
      <c r="D61" s="32">
        <f t="shared" si="0"/>
        <v>1.960101054098784E-2</v>
      </c>
      <c r="F61" s="68">
        <v>24964.25</v>
      </c>
      <c r="G61" s="32">
        <f t="shared" si="1"/>
        <v>4.4338850207512603E-3</v>
      </c>
    </row>
    <row r="62" spans="2:7" x14ac:dyDescent="0.25">
      <c r="B62" s="67">
        <v>45564</v>
      </c>
      <c r="C62" s="68">
        <v>610.70000000000005</v>
      </c>
      <c r="D62" s="32">
        <f t="shared" si="0"/>
        <v>4.3574846206425155E-2</v>
      </c>
      <c r="F62" s="68">
        <v>25014.6</v>
      </c>
      <c r="G62" s="32">
        <f t="shared" si="1"/>
        <v>2.0168841443264363E-3</v>
      </c>
    </row>
    <row r="63" spans="2:7" x14ac:dyDescent="0.25">
      <c r="B63" s="67">
        <v>45557</v>
      </c>
      <c r="C63" s="68">
        <v>634</v>
      </c>
      <c r="D63" s="32">
        <f t="shared" si="0"/>
        <v>3.8152939250040818E-2</v>
      </c>
      <c r="F63" s="68">
        <v>26178.95</v>
      </c>
      <c r="G63" s="32">
        <f t="shared" si="1"/>
        <v>4.6546816659071233E-2</v>
      </c>
    </row>
    <row r="64" spans="2:7" x14ac:dyDescent="0.25">
      <c r="B64" s="67">
        <v>45550</v>
      </c>
      <c r="C64" s="68">
        <v>616.54999999999995</v>
      </c>
      <c r="D64" s="32">
        <f t="shared" si="0"/>
        <v>-2.7523659305993764E-2</v>
      </c>
      <c r="F64" s="68">
        <v>25790.95</v>
      </c>
      <c r="G64" s="32">
        <f t="shared" si="1"/>
        <v>-1.4821068071866894E-2</v>
      </c>
    </row>
    <row r="65" spans="2:7" x14ac:dyDescent="0.25">
      <c r="B65" s="67">
        <v>45543</v>
      </c>
      <c r="C65" s="68">
        <v>629.6</v>
      </c>
      <c r="D65" s="32">
        <f t="shared" si="0"/>
        <v>2.116616657205439E-2</v>
      </c>
      <c r="F65" s="68">
        <v>25356.5</v>
      </c>
      <c r="G65" s="32">
        <f t="shared" si="1"/>
        <v>-1.684505611464493E-2</v>
      </c>
    </row>
    <row r="66" spans="2:7" x14ac:dyDescent="0.25">
      <c r="B66" s="67">
        <v>45536</v>
      </c>
      <c r="C66" s="68">
        <v>623.25</v>
      </c>
      <c r="D66" s="32">
        <f t="shared" si="0"/>
        <v>-1.0085768742058465E-2</v>
      </c>
      <c r="F66" s="68">
        <v>24852.15</v>
      </c>
      <c r="G66" s="32">
        <f t="shared" si="1"/>
        <v>-1.9890363417664036E-2</v>
      </c>
    </row>
    <row r="67" spans="2:7" x14ac:dyDescent="0.25">
      <c r="B67" s="67">
        <v>45529</v>
      </c>
      <c r="C67" s="68">
        <v>617.04999999999995</v>
      </c>
      <c r="D67" s="32">
        <f t="shared" si="0"/>
        <v>-9.9478539911753705E-3</v>
      </c>
      <c r="F67" s="68">
        <v>25235.9</v>
      </c>
      <c r="G67" s="32">
        <f t="shared" si="1"/>
        <v>1.544131996628062E-2</v>
      </c>
    </row>
    <row r="68" spans="2:7" x14ac:dyDescent="0.25">
      <c r="B68" s="67">
        <v>45522</v>
      </c>
      <c r="C68" s="68">
        <v>633.6</v>
      </c>
      <c r="D68" s="32">
        <f t="shared" si="0"/>
        <v>2.6821165221619037E-2</v>
      </c>
      <c r="F68" s="68">
        <v>24823.15</v>
      </c>
      <c r="G68" s="32">
        <f t="shared" si="1"/>
        <v>-1.6355667917530181E-2</v>
      </c>
    </row>
    <row r="69" spans="2:7" x14ac:dyDescent="0.25">
      <c r="B69" s="67">
        <v>45515</v>
      </c>
      <c r="C69" s="68">
        <v>640.5</v>
      </c>
      <c r="D69" s="32">
        <f t="shared" si="0"/>
        <v>1.0890151515151381E-2</v>
      </c>
      <c r="F69" s="68">
        <v>24541.15</v>
      </c>
      <c r="G69" s="32">
        <f t="shared" si="1"/>
        <v>-1.1360363209342861E-2</v>
      </c>
    </row>
    <row r="70" spans="2:7" x14ac:dyDescent="0.25">
      <c r="B70" s="67">
        <v>45508</v>
      </c>
      <c r="C70" s="68">
        <v>632</v>
      </c>
      <c r="D70" s="32">
        <f t="shared" si="0"/>
        <v>-1.3270882123341154E-2</v>
      </c>
      <c r="F70" s="68">
        <v>24367.5</v>
      </c>
      <c r="G70" s="32">
        <f t="shared" si="1"/>
        <v>-7.0758705276647849E-3</v>
      </c>
    </row>
    <row r="71" spans="2:7" x14ac:dyDescent="0.25">
      <c r="B71" s="67">
        <v>45501</v>
      </c>
      <c r="C71" s="68">
        <v>652.79999999999995</v>
      </c>
      <c r="D71" s="32">
        <f t="shared" si="0"/>
        <v>3.2911392405063244E-2</v>
      </c>
      <c r="F71" s="68">
        <v>24717.7</v>
      </c>
      <c r="G71" s="32">
        <f t="shared" si="1"/>
        <v>1.4371601518415877E-2</v>
      </c>
    </row>
    <row r="72" spans="2:7" x14ac:dyDescent="0.25">
      <c r="B72" s="67">
        <v>45494</v>
      </c>
      <c r="C72" s="68">
        <v>686.4</v>
      </c>
      <c r="D72" s="32">
        <f t="shared" si="0"/>
        <v>5.1470588235294157E-2</v>
      </c>
      <c r="F72" s="68">
        <v>24834.85</v>
      </c>
      <c r="G72" s="32">
        <f t="shared" si="1"/>
        <v>4.7395186445340354E-3</v>
      </c>
    </row>
    <row r="73" spans="2:7" x14ac:dyDescent="0.25">
      <c r="B73" s="67">
        <v>45487</v>
      </c>
      <c r="C73" s="68">
        <v>677.9</v>
      </c>
      <c r="D73" s="32">
        <f t="shared" si="0"/>
        <v>-1.238344988344986E-2</v>
      </c>
      <c r="F73" s="68">
        <v>24530.9</v>
      </c>
      <c r="G73" s="32">
        <f t="shared" si="1"/>
        <v>-1.2238849842056476E-2</v>
      </c>
    </row>
    <row r="74" spans="2:7" x14ac:dyDescent="0.25">
      <c r="B74" s="67">
        <v>45480</v>
      </c>
      <c r="C74" s="68">
        <v>676.5</v>
      </c>
      <c r="D74" s="32">
        <f t="shared" si="0"/>
        <v>-2.0652013571322847E-3</v>
      </c>
      <c r="F74" s="68">
        <v>24502.15</v>
      </c>
      <c r="G74" s="32">
        <f t="shared" si="1"/>
        <v>-1.1719912436967128E-3</v>
      </c>
    </row>
    <row r="75" spans="2:7" x14ac:dyDescent="0.25">
      <c r="B75" s="67">
        <v>45473</v>
      </c>
      <c r="C75" s="68">
        <v>686</v>
      </c>
      <c r="D75" s="32">
        <f t="shared" si="0"/>
        <v>1.4042867701404393E-2</v>
      </c>
      <c r="F75" s="68">
        <v>24323.85</v>
      </c>
      <c r="G75" s="32">
        <f t="shared" si="1"/>
        <v>-7.2769124342150215E-3</v>
      </c>
    </row>
    <row r="76" spans="2:7" x14ac:dyDescent="0.25">
      <c r="B76" s="67">
        <v>45466</v>
      </c>
      <c r="C76" s="68">
        <v>670.25</v>
      </c>
      <c r="D76" s="32">
        <f t="shared" ref="D76:D113" si="2">C76/C75-1</f>
        <v>-2.2959183673469385E-2</v>
      </c>
      <c r="F76" s="68">
        <v>24010.6</v>
      </c>
      <c r="G76" s="32">
        <f t="shared" ref="G76:G113" si="3">F76/F75-1</f>
        <v>-1.2878306682535867E-2</v>
      </c>
    </row>
    <row r="77" spans="2:7" x14ac:dyDescent="0.25">
      <c r="B77" s="67">
        <v>45459</v>
      </c>
      <c r="C77" s="68">
        <v>657.45</v>
      </c>
      <c r="D77" s="32">
        <f t="shared" si="2"/>
        <v>-1.9097351734427392E-2</v>
      </c>
      <c r="F77" s="68">
        <v>23501.1</v>
      </c>
      <c r="G77" s="32">
        <f t="shared" si="3"/>
        <v>-2.1219794590722429E-2</v>
      </c>
    </row>
    <row r="78" spans="2:7" x14ac:dyDescent="0.25">
      <c r="B78" s="67">
        <v>45452</v>
      </c>
      <c r="C78" s="68">
        <v>677.2</v>
      </c>
      <c r="D78" s="32">
        <f t="shared" si="2"/>
        <v>3.0040307247699349E-2</v>
      </c>
      <c r="F78" s="68">
        <v>23465.599999999999</v>
      </c>
      <c r="G78" s="32">
        <f t="shared" si="3"/>
        <v>-1.5105675904532045E-3</v>
      </c>
    </row>
    <row r="79" spans="2:7" x14ac:dyDescent="0.25">
      <c r="B79" s="67">
        <v>45445</v>
      </c>
      <c r="C79" s="68">
        <v>621.29999999999995</v>
      </c>
      <c r="D79" s="32">
        <f t="shared" si="2"/>
        <v>-8.2545776727702469E-2</v>
      </c>
      <c r="F79" s="68">
        <v>23290.15</v>
      </c>
      <c r="G79" s="32">
        <f t="shared" si="3"/>
        <v>-7.4769023591980677E-3</v>
      </c>
    </row>
    <row r="80" spans="2:7" x14ac:dyDescent="0.25">
      <c r="B80" s="67">
        <v>45438</v>
      </c>
      <c r="C80" s="68">
        <v>634.04999999999995</v>
      </c>
      <c r="D80" s="32">
        <f t="shared" si="2"/>
        <v>2.0521487204249178E-2</v>
      </c>
      <c r="F80" s="68">
        <v>22530.7</v>
      </c>
      <c r="G80" s="32">
        <f t="shared" si="3"/>
        <v>-3.2608205614820029E-2</v>
      </c>
    </row>
    <row r="81" spans="2:7" x14ac:dyDescent="0.25">
      <c r="B81" s="67">
        <v>45431</v>
      </c>
      <c r="C81" s="68">
        <v>635.29999999999995</v>
      </c>
      <c r="D81" s="32">
        <f t="shared" si="2"/>
        <v>1.9714533554135993E-3</v>
      </c>
      <c r="F81" s="68">
        <v>22957.1</v>
      </c>
      <c r="G81" s="32">
        <f t="shared" si="3"/>
        <v>1.8925288606212787E-2</v>
      </c>
    </row>
    <row r="82" spans="2:7" x14ac:dyDescent="0.25">
      <c r="B82" s="67">
        <v>45424</v>
      </c>
      <c r="C82" s="68">
        <v>620.70000000000005</v>
      </c>
      <c r="D82" s="32">
        <f t="shared" si="2"/>
        <v>-2.298126869195638E-2</v>
      </c>
      <c r="F82" s="68">
        <v>22466.1</v>
      </c>
      <c r="G82" s="32">
        <f t="shared" si="3"/>
        <v>-2.1387718832082458E-2</v>
      </c>
    </row>
    <row r="83" spans="2:7" x14ac:dyDescent="0.25">
      <c r="B83" s="67">
        <v>45417</v>
      </c>
      <c r="C83" s="68">
        <v>581.79999999999995</v>
      </c>
      <c r="D83" s="32">
        <f t="shared" si="2"/>
        <v>-6.2671177702594005E-2</v>
      </c>
      <c r="F83" s="68">
        <v>22055.200000000001</v>
      </c>
      <c r="G83" s="32">
        <f t="shared" si="3"/>
        <v>-1.8289778822314418E-2</v>
      </c>
    </row>
    <row r="84" spans="2:7" x14ac:dyDescent="0.25">
      <c r="B84" s="67">
        <v>45410</v>
      </c>
      <c r="C84" s="68">
        <v>622.45000000000005</v>
      </c>
      <c r="D84" s="32">
        <f t="shared" si="2"/>
        <v>6.9869370917841289E-2</v>
      </c>
      <c r="F84" s="68">
        <v>22475.85</v>
      </c>
      <c r="G84" s="32">
        <f t="shared" si="3"/>
        <v>1.9072599659037293E-2</v>
      </c>
    </row>
    <row r="85" spans="2:7" x14ac:dyDescent="0.25">
      <c r="B85" s="67">
        <v>45403</v>
      </c>
      <c r="C85" s="68">
        <v>632.35</v>
      </c>
      <c r="D85" s="32">
        <f t="shared" si="2"/>
        <v>1.5904891959193534E-2</v>
      </c>
      <c r="F85" s="68">
        <v>22419.95</v>
      </c>
      <c r="G85" s="32">
        <f t="shared" si="3"/>
        <v>-2.4871139467471659E-3</v>
      </c>
    </row>
    <row r="86" spans="2:7" x14ac:dyDescent="0.25">
      <c r="B86" s="67">
        <v>45396</v>
      </c>
      <c r="C86" s="68">
        <v>609.65</v>
      </c>
      <c r="D86" s="32">
        <f t="shared" si="2"/>
        <v>-3.5897841385308826E-2</v>
      </c>
      <c r="F86" s="68">
        <v>22147</v>
      </c>
      <c r="G86" s="32">
        <f t="shared" si="3"/>
        <v>-1.2174425009868428E-2</v>
      </c>
    </row>
    <row r="87" spans="2:7" x14ac:dyDescent="0.25">
      <c r="B87" s="67">
        <v>45389</v>
      </c>
      <c r="C87" s="68">
        <v>608.85</v>
      </c>
      <c r="D87" s="32">
        <f t="shared" si="2"/>
        <v>-1.3122283277289259E-3</v>
      </c>
      <c r="F87" s="68">
        <v>22519.4</v>
      </c>
      <c r="G87" s="32">
        <f t="shared" si="3"/>
        <v>1.6814918499119536E-2</v>
      </c>
    </row>
    <row r="88" spans="2:7" x14ac:dyDescent="0.25">
      <c r="B88" s="67">
        <v>45382</v>
      </c>
      <c r="C88" s="68">
        <v>627.20000000000005</v>
      </c>
      <c r="D88" s="32">
        <f t="shared" si="2"/>
        <v>3.0138786236347359E-2</v>
      </c>
      <c r="F88" s="68">
        <v>22513.7</v>
      </c>
      <c r="G88" s="32">
        <f t="shared" si="3"/>
        <v>-2.5311509187642134E-4</v>
      </c>
    </row>
    <row r="89" spans="2:7" x14ac:dyDescent="0.25">
      <c r="B89" s="67">
        <v>45375</v>
      </c>
      <c r="C89" s="68">
        <v>612.35</v>
      </c>
      <c r="D89" s="32">
        <f t="shared" si="2"/>
        <v>-2.3676658163265363E-2</v>
      </c>
      <c r="F89" s="68">
        <v>22326.9</v>
      </c>
      <c r="G89" s="32">
        <f t="shared" si="3"/>
        <v>-8.2971701674979803E-3</v>
      </c>
    </row>
    <row r="90" spans="2:7" x14ac:dyDescent="0.25">
      <c r="B90" s="67">
        <v>45368</v>
      </c>
      <c r="C90" s="68">
        <v>589.35</v>
      </c>
      <c r="D90" s="32">
        <f t="shared" si="2"/>
        <v>-3.7560218829100989E-2</v>
      </c>
      <c r="F90" s="68">
        <v>22096.75</v>
      </c>
      <c r="G90" s="32">
        <f t="shared" si="3"/>
        <v>-1.0308193255669229E-2</v>
      </c>
    </row>
    <row r="91" spans="2:7" x14ac:dyDescent="0.25">
      <c r="B91" s="67">
        <v>45361</v>
      </c>
      <c r="C91" s="68">
        <v>600.75</v>
      </c>
      <c r="D91" s="32">
        <f t="shared" si="2"/>
        <v>1.9343344362433124E-2</v>
      </c>
      <c r="F91" s="68">
        <v>22023.35</v>
      </c>
      <c r="G91" s="32">
        <f t="shared" si="3"/>
        <v>-3.3217554617761547E-3</v>
      </c>
    </row>
    <row r="92" spans="2:7" x14ac:dyDescent="0.25">
      <c r="B92" s="67">
        <v>45354</v>
      </c>
      <c r="C92" s="68">
        <v>603.15</v>
      </c>
      <c r="D92" s="32">
        <f t="shared" si="2"/>
        <v>3.9950062421971744E-3</v>
      </c>
      <c r="F92" s="68">
        <v>22493.55</v>
      </c>
      <c r="G92" s="32">
        <f t="shared" si="3"/>
        <v>2.1350067087886337E-2</v>
      </c>
    </row>
    <row r="93" spans="2:7" x14ac:dyDescent="0.25">
      <c r="B93" s="67">
        <v>45347</v>
      </c>
      <c r="C93" s="68">
        <v>617.6</v>
      </c>
      <c r="D93" s="32">
        <f t="shared" si="2"/>
        <v>2.3957556163475058E-2</v>
      </c>
      <c r="F93" s="68">
        <v>22338.75</v>
      </c>
      <c r="G93" s="32">
        <f t="shared" si="3"/>
        <v>-6.8819728322118134E-3</v>
      </c>
    </row>
    <row r="94" spans="2:7" x14ac:dyDescent="0.25">
      <c r="B94" s="67">
        <v>45340</v>
      </c>
      <c r="C94" s="68">
        <v>602.95000000000005</v>
      </c>
      <c r="D94" s="32">
        <f t="shared" si="2"/>
        <v>-2.372085492227971E-2</v>
      </c>
      <c r="F94" s="68">
        <v>22212.7</v>
      </c>
      <c r="G94" s="32">
        <f t="shared" si="3"/>
        <v>-5.6426612948351496E-3</v>
      </c>
    </row>
    <row r="95" spans="2:7" x14ac:dyDescent="0.25">
      <c r="B95" s="67">
        <v>45333</v>
      </c>
      <c r="C95" s="68">
        <v>585.1</v>
      </c>
      <c r="D95" s="32">
        <f t="shared" si="2"/>
        <v>-2.9604444813002728E-2</v>
      </c>
      <c r="F95" s="68">
        <v>22040.7</v>
      </c>
      <c r="G95" s="32">
        <f t="shared" si="3"/>
        <v>-7.7433180117680855E-3</v>
      </c>
    </row>
    <row r="96" spans="2:7" x14ac:dyDescent="0.25">
      <c r="B96" s="67">
        <v>45326</v>
      </c>
      <c r="C96" s="68">
        <v>576.20000000000005</v>
      </c>
      <c r="D96" s="32">
        <f t="shared" si="2"/>
        <v>-1.5211075029909371E-2</v>
      </c>
      <c r="F96" s="68">
        <v>21782.5</v>
      </c>
      <c r="G96" s="32">
        <f t="shared" si="3"/>
        <v>-1.1714691457167858E-2</v>
      </c>
    </row>
    <row r="97" spans="2:7" x14ac:dyDescent="0.25">
      <c r="B97" s="67">
        <v>45319</v>
      </c>
      <c r="C97" s="68">
        <v>557.4</v>
      </c>
      <c r="D97" s="32">
        <f t="shared" si="2"/>
        <v>-3.262755987504351E-2</v>
      </c>
      <c r="F97" s="68">
        <v>21853.8</v>
      </c>
      <c r="G97" s="32">
        <f t="shared" si="3"/>
        <v>3.273269826695735E-3</v>
      </c>
    </row>
    <row r="98" spans="2:7" x14ac:dyDescent="0.25">
      <c r="B98" s="67">
        <v>45312</v>
      </c>
      <c r="C98" s="68">
        <v>560.15</v>
      </c>
      <c r="D98" s="32">
        <f t="shared" si="2"/>
        <v>4.9336203803371781E-3</v>
      </c>
      <c r="F98" s="68">
        <v>21352.6</v>
      </c>
      <c r="G98" s="32">
        <f t="shared" si="3"/>
        <v>-2.2934226541837188E-2</v>
      </c>
    </row>
    <row r="99" spans="2:7" x14ac:dyDescent="0.25">
      <c r="B99" s="67">
        <v>45305</v>
      </c>
      <c r="C99" s="68">
        <v>537.1</v>
      </c>
      <c r="D99" s="32">
        <f t="shared" si="2"/>
        <v>-4.1149692046773101E-2</v>
      </c>
      <c r="F99" s="68">
        <v>21622.400000000001</v>
      </c>
      <c r="G99" s="32">
        <f t="shared" si="3"/>
        <v>1.2635463596939234E-2</v>
      </c>
    </row>
    <row r="100" spans="2:7" x14ac:dyDescent="0.25">
      <c r="B100" s="67">
        <v>45298</v>
      </c>
      <c r="C100" s="68">
        <v>532.4</v>
      </c>
      <c r="D100" s="32">
        <f t="shared" si="2"/>
        <v>-8.7506981940049799E-3</v>
      </c>
      <c r="F100" s="68">
        <v>21894.55</v>
      </c>
      <c r="G100" s="32">
        <f t="shared" si="3"/>
        <v>1.2586484386561958E-2</v>
      </c>
    </row>
    <row r="101" spans="2:7" x14ac:dyDescent="0.25">
      <c r="B101" s="67">
        <v>45291</v>
      </c>
      <c r="C101" s="68">
        <v>542.35</v>
      </c>
      <c r="D101" s="32">
        <f t="shared" si="2"/>
        <v>1.8688955672426788E-2</v>
      </c>
      <c r="F101" s="68">
        <v>21710.799999999999</v>
      </c>
      <c r="G101" s="32">
        <f t="shared" si="3"/>
        <v>-8.3924995033010097E-3</v>
      </c>
    </row>
    <row r="102" spans="2:7" x14ac:dyDescent="0.25">
      <c r="B102" s="67">
        <v>45284</v>
      </c>
      <c r="C102" s="68">
        <v>520.9</v>
      </c>
      <c r="D102" s="32">
        <f t="shared" si="2"/>
        <v>-3.9550106020097786E-2</v>
      </c>
      <c r="F102" s="68">
        <v>21731.4</v>
      </c>
      <c r="G102" s="32">
        <f t="shared" si="3"/>
        <v>9.4883652375776784E-4</v>
      </c>
    </row>
    <row r="103" spans="2:7" x14ac:dyDescent="0.25">
      <c r="B103" s="67">
        <v>45277</v>
      </c>
      <c r="C103" s="68">
        <v>503.8</v>
      </c>
      <c r="D103" s="32">
        <f t="shared" si="2"/>
        <v>-3.2827798041850542E-2</v>
      </c>
      <c r="F103" s="68">
        <v>21349.4</v>
      </c>
      <c r="G103" s="32">
        <f t="shared" si="3"/>
        <v>-1.7578250825993735E-2</v>
      </c>
    </row>
    <row r="104" spans="2:7" x14ac:dyDescent="0.25">
      <c r="B104" s="67">
        <v>45270</v>
      </c>
      <c r="C104" s="68">
        <v>522.4</v>
      </c>
      <c r="D104" s="32">
        <f t="shared" si="2"/>
        <v>3.6919412465263868E-2</v>
      </c>
      <c r="F104" s="68">
        <v>21456.65</v>
      </c>
      <c r="G104" s="32">
        <f t="shared" si="3"/>
        <v>5.023560381087977E-3</v>
      </c>
    </row>
    <row r="105" spans="2:7" x14ac:dyDescent="0.25">
      <c r="B105" s="67">
        <v>45263</v>
      </c>
      <c r="C105" s="68">
        <v>494.35</v>
      </c>
      <c r="D105" s="32">
        <f t="shared" si="2"/>
        <v>-5.3694486983154599E-2</v>
      </c>
      <c r="F105" s="68">
        <v>20969.400000000001</v>
      </c>
      <c r="G105" s="32">
        <f t="shared" si="3"/>
        <v>-2.2708577527246754E-2</v>
      </c>
    </row>
    <row r="106" spans="2:7" x14ac:dyDescent="0.25">
      <c r="B106" s="67">
        <v>45256</v>
      </c>
      <c r="C106" s="68">
        <v>442</v>
      </c>
      <c r="D106" s="32">
        <f t="shared" si="2"/>
        <v>-0.10589663194093257</v>
      </c>
      <c r="F106" s="68">
        <v>20267.900000000001</v>
      </c>
      <c r="G106" s="32">
        <f t="shared" si="3"/>
        <v>-3.3453508445639879E-2</v>
      </c>
    </row>
    <row r="107" spans="2:7" x14ac:dyDescent="0.25">
      <c r="B107" s="67">
        <v>45249</v>
      </c>
      <c r="C107" s="68">
        <v>414.3</v>
      </c>
      <c r="D107" s="32">
        <f t="shared" si="2"/>
        <v>-6.2669683257918551E-2</v>
      </c>
      <c r="F107" s="68">
        <v>19794.7</v>
      </c>
      <c r="G107" s="32">
        <f t="shared" si="3"/>
        <v>-2.3347263406667706E-2</v>
      </c>
    </row>
    <row r="108" spans="2:7" x14ac:dyDescent="0.25">
      <c r="B108" s="67">
        <v>45242</v>
      </c>
      <c r="C108" s="68">
        <v>421.1</v>
      </c>
      <c r="D108" s="32">
        <f t="shared" si="2"/>
        <v>1.6413227130098962E-2</v>
      </c>
      <c r="F108" s="68">
        <v>19731.8</v>
      </c>
      <c r="G108" s="32">
        <f t="shared" si="3"/>
        <v>-3.1776182513502116E-3</v>
      </c>
    </row>
    <row r="109" spans="2:7" x14ac:dyDescent="0.25">
      <c r="B109" s="67">
        <v>45235</v>
      </c>
      <c r="C109" s="68">
        <v>418.1</v>
      </c>
      <c r="D109" s="32">
        <f t="shared" si="2"/>
        <v>-7.1241985276656594E-3</v>
      </c>
      <c r="F109" s="68">
        <v>19425.349999999999</v>
      </c>
      <c r="G109" s="32">
        <f t="shared" si="3"/>
        <v>-1.5530767593427863E-2</v>
      </c>
    </row>
    <row r="110" spans="2:7" x14ac:dyDescent="0.25">
      <c r="B110" s="67">
        <v>45228</v>
      </c>
      <c r="C110" s="68">
        <v>420.9</v>
      </c>
      <c r="D110" s="32">
        <f t="shared" si="2"/>
        <v>6.696962449174837E-3</v>
      </c>
      <c r="F110" s="68">
        <v>19230.599999999999</v>
      </c>
      <c r="G110" s="32">
        <f t="shared" si="3"/>
        <v>-1.0025559385030358E-2</v>
      </c>
    </row>
    <row r="111" spans="2:7" x14ac:dyDescent="0.25">
      <c r="B111" s="67">
        <v>45221</v>
      </c>
      <c r="C111" s="68">
        <v>417.25</v>
      </c>
      <c r="D111" s="32">
        <f t="shared" si="2"/>
        <v>-8.6718935614159554E-3</v>
      </c>
      <c r="F111" s="68">
        <v>19047.25</v>
      </c>
      <c r="G111" s="32">
        <f t="shared" si="3"/>
        <v>-9.5342839016983039E-3</v>
      </c>
    </row>
    <row r="112" spans="2:7" x14ac:dyDescent="0.25">
      <c r="B112" s="67">
        <v>45214</v>
      </c>
      <c r="C112" s="68">
        <v>430.85</v>
      </c>
      <c r="D112" s="32">
        <f t="shared" si="2"/>
        <v>3.2594367884961173E-2</v>
      </c>
      <c r="F112" s="68">
        <v>19542.650000000001</v>
      </c>
      <c r="G112" s="32">
        <f t="shared" si="3"/>
        <v>2.6009003924451157E-2</v>
      </c>
    </row>
    <row r="113" spans="2:7" x14ac:dyDescent="0.25">
      <c r="B113" s="67">
        <v>45207</v>
      </c>
      <c r="C113" s="68">
        <v>439.9</v>
      </c>
      <c r="D113" s="32">
        <f t="shared" si="2"/>
        <v>2.1004990135778057E-2</v>
      </c>
      <c r="F113" s="68">
        <v>19751.05</v>
      </c>
      <c r="G113" s="32">
        <f t="shared" si="3"/>
        <v>1.0663855720692839E-2</v>
      </c>
    </row>
  </sheetData>
  <mergeCells count="3">
    <mergeCell ref="B7:D7"/>
    <mergeCell ref="F7:G7"/>
    <mergeCell ref="I7:J7"/>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20EE5-DC1C-4CF2-A572-16B6B4873A3A}">
  <sheetPr>
    <tabColor rgb="FF002060"/>
  </sheetPr>
  <dimension ref="B5:Q114"/>
  <sheetViews>
    <sheetView showGridLines="0" topLeftCell="A9" zoomScale="80" zoomScaleNormal="80" workbookViewId="0">
      <selection activeCell="B9" sqref="B9"/>
    </sheetView>
  </sheetViews>
  <sheetFormatPr defaultRowHeight="15" x14ac:dyDescent="0.25"/>
  <cols>
    <col min="1" max="1" width="1.85546875" customWidth="1"/>
    <col min="2" max="2" width="15.7109375" bestFit="1" customWidth="1"/>
    <col min="3" max="3" width="12.28515625" customWidth="1"/>
    <col min="4" max="4" width="16" customWidth="1"/>
    <col min="6" max="6" width="12.28515625" bestFit="1" customWidth="1"/>
    <col min="7" max="7" width="15.28515625" bestFit="1" customWidth="1"/>
    <col min="9" max="9" width="20.85546875" bestFit="1" customWidth="1"/>
    <col min="10" max="10" width="12.7109375" bestFit="1" customWidth="1"/>
    <col min="11" max="11" width="14.5703125" bestFit="1" customWidth="1"/>
    <col min="12" max="13" width="12" bestFit="1" customWidth="1"/>
    <col min="14" max="14" width="13.42578125" bestFit="1" customWidth="1"/>
    <col min="15" max="15" width="12" bestFit="1" customWidth="1"/>
    <col min="16" max="16" width="12.7109375" bestFit="1" customWidth="1"/>
    <col min="17" max="17" width="12.5703125" bestFit="1" customWidth="1"/>
  </cols>
  <sheetData>
    <row r="5" spans="2:10" s="27" customFormat="1" x14ac:dyDescent="0.25">
      <c r="B5" s="53" t="s">
        <v>153</v>
      </c>
      <c r="C5" s="51"/>
      <c r="D5" s="51"/>
      <c r="E5" s="51"/>
      <c r="F5" s="51"/>
      <c r="G5" s="51"/>
      <c r="H5" s="51"/>
      <c r="I5" s="51"/>
      <c r="J5" s="51"/>
    </row>
    <row r="6" spans="2:10" s="27" customFormat="1" x14ac:dyDescent="0.25">
      <c r="B6" s="69"/>
    </row>
    <row r="7" spans="2:10" x14ac:dyDescent="0.25">
      <c r="B7" s="328" t="str">
        <f>WACC!B16&amp;" Returns"</f>
        <v>Grasim Inds Returns</v>
      </c>
      <c r="C7" s="328"/>
      <c r="D7" s="328"/>
      <c r="F7" s="328" t="s">
        <v>151</v>
      </c>
      <c r="G7" s="328"/>
      <c r="I7" s="328" t="s">
        <v>152</v>
      </c>
      <c r="J7" s="328"/>
    </row>
    <row r="8" spans="2:10" s="27" customFormat="1" x14ac:dyDescent="0.25"/>
    <row r="9" spans="2:10" x14ac:dyDescent="0.25">
      <c r="B9" s="70" t="s">
        <v>148</v>
      </c>
      <c r="C9" s="71" t="s">
        <v>149</v>
      </c>
      <c r="D9" s="71" t="s">
        <v>150</v>
      </c>
      <c r="E9" s="15"/>
      <c r="F9" s="71" t="s">
        <v>149</v>
      </c>
      <c r="G9" s="71" t="s">
        <v>150</v>
      </c>
      <c r="I9" s="72" t="s">
        <v>154</v>
      </c>
      <c r="J9" s="14">
        <f>J34</f>
        <v>0.99528527427917546</v>
      </c>
    </row>
    <row r="10" spans="2:10" x14ac:dyDescent="0.25">
      <c r="B10" s="67">
        <v>45928</v>
      </c>
      <c r="C10" s="66">
        <v>2873</v>
      </c>
      <c r="F10" s="68">
        <v>24894.25</v>
      </c>
      <c r="I10" s="20" t="s">
        <v>155</v>
      </c>
      <c r="J10" s="77">
        <v>0.75</v>
      </c>
    </row>
    <row r="11" spans="2:10" x14ac:dyDescent="0.25">
      <c r="B11" s="67">
        <v>45921</v>
      </c>
      <c r="C11" s="66">
        <v>2836.2</v>
      </c>
      <c r="D11" s="32">
        <f>C11/C10-1</f>
        <v>-1.2808910546467156E-2</v>
      </c>
      <c r="F11" s="68">
        <v>24654.7</v>
      </c>
      <c r="G11" s="32">
        <f>F11/F10-1</f>
        <v>-9.6227040380810758E-3</v>
      </c>
    </row>
    <row r="12" spans="2:10" x14ac:dyDescent="0.25">
      <c r="B12" s="67">
        <v>45914</v>
      </c>
      <c r="C12" s="66">
        <v>2811</v>
      </c>
      <c r="D12" s="32">
        <f t="shared" ref="D12:D75" si="0">C12/C11-1</f>
        <v>-8.8851279881531076E-3</v>
      </c>
      <c r="F12" s="68">
        <v>25327.05</v>
      </c>
      <c r="G12" s="32">
        <f t="shared" ref="G12:G75" si="1">F12/F11-1</f>
        <v>2.7270662388915623E-2</v>
      </c>
      <c r="I12" s="20" t="s">
        <v>156</v>
      </c>
      <c r="J12" s="78">
        <v>1</v>
      </c>
    </row>
    <row r="13" spans="2:10" x14ac:dyDescent="0.25">
      <c r="B13" s="67">
        <v>45907</v>
      </c>
      <c r="C13" s="66">
        <v>2791.4</v>
      </c>
      <c r="D13" s="32">
        <f t="shared" si="0"/>
        <v>-6.9726076129490444E-3</v>
      </c>
      <c r="F13" s="68">
        <v>25114</v>
      </c>
      <c r="G13" s="32">
        <f t="shared" si="1"/>
        <v>-8.4119548072120187E-3</v>
      </c>
      <c r="I13" s="20" t="s">
        <v>157</v>
      </c>
      <c r="J13" s="77">
        <v>0.25</v>
      </c>
    </row>
    <row r="14" spans="2:10" x14ac:dyDescent="0.25">
      <c r="B14" s="67">
        <v>45900</v>
      </c>
      <c r="C14" s="66">
        <v>2746.8</v>
      </c>
      <c r="D14" s="32">
        <f t="shared" si="0"/>
        <v>-1.59776456258508E-2</v>
      </c>
      <c r="F14" s="68">
        <v>24741</v>
      </c>
      <c r="G14" s="32">
        <f t="shared" si="1"/>
        <v>-1.4852273632236956E-2</v>
      </c>
    </row>
    <row r="15" spans="2:10" x14ac:dyDescent="0.25">
      <c r="B15" s="67">
        <v>45893</v>
      </c>
      <c r="C15" s="66">
        <v>2877.9</v>
      </c>
      <c r="D15" s="32">
        <f t="shared" si="0"/>
        <v>4.7728265618173893E-2</v>
      </c>
      <c r="F15" s="68">
        <v>24426.85</v>
      </c>
      <c r="G15" s="32">
        <f t="shared" si="1"/>
        <v>-1.2697546582595698E-2</v>
      </c>
      <c r="I15" s="79" t="s">
        <v>158</v>
      </c>
      <c r="J15" s="80">
        <f>(J9*J10)+(J12*J13)</f>
        <v>0.99646395570938162</v>
      </c>
    </row>
    <row r="16" spans="2:10" x14ac:dyDescent="0.25">
      <c r="B16" s="67">
        <v>45886</v>
      </c>
      <c r="C16" s="66">
        <v>2802</v>
      </c>
      <c r="D16" s="32">
        <f t="shared" si="0"/>
        <v>-2.6373397268841914E-2</v>
      </c>
      <c r="F16" s="68">
        <v>24870.1</v>
      </c>
      <c r="G16" s="32">
        <f t="shared" si="1"/>
        <v>1.8146015552557904E-2</v>
      </c>
    </row>
    <row r="17" spans="2:17" x14ac:dyDescent="0.25">
      <c r="B17" s="67">
        <v>45879</v>
      </c>
      <c r="C17" s="66">
        <v>2804</v>
      </c>
      <c r="D17" s="32">
        <f t="shared" si="0"/>
        <v>7.1377587437537748E-4</v>
      </c>
      <c r="F17" s="68">
        <v>24631.3</v>
      </c>
      <c r="G17" s="32">
        <f t="shared" si="1"/>
        <v>-9.6018914278591661E-3</v>
      </c>
      <c r="I17" t="s">
        <v>159</v>
      </c>
    </row>
    <row r="18" spans="2:17" ht="15.75" thickBot="1" x14ac:dyDescent="0.3">
      <c r="B18" s="67">
        <v>45872</v>
      </c>
      <c r="C18" s="66">
        <v>2775.6</v>
      </c>
      <c r="D18" s="32">
        <f t="shared" si="0"/>
        <v>-1.0128388017118461E-2</v>
      </c>
      <c r="F18" s="68">
        <v>24363.3</v>
      </c>
      <c r="G18" s="32">
        <f t="shared" si="1"/>
        <v>-1.0880465099284198E-2</v>
      </c>
    </row>
    <row r="19" spans="2:17" x14ac:dyDescent="0.25">
      <c r="B19" s="67">
        <v>45865</v>
      </c>
      <c r="C19" s="66">
        <v>2813.8</v>
      </c>
      <c r="D19" s="32">
        <f t="shared" si="0"/>
        <v>1.3762790027381566E-2</v>
      </c>
      <c r="F19" s="68">
        <v>24565.35</v>
      </c>
      <c r="G19" s="32">
        <f t="shared" si="1"/>
        <v>8.2932115107559046E-3</v>
      </c>
      <c r="I19" s="76" t="s">
        <v>160</v>
      </c>
      <c r="J19" s="76"/>
    </row>
    <row r="20" spans="2:17" x14ac:dyDescent="0.25">
      <c r="B20" s="67">
        <v>45858</v>
      </c>
      <c r="C20" s="66">
        <v>2764.9</v>
      </c>
      <c r="D20" s="32">
        <f t="shared" si="0"/>
        <v>-1.7378633875897442E-2</v>
      </c>
      <c r="F20" s="68">
        <v>24837</v>
      </c>
      <c r="G20" s="32">
        <f t="shared" si="1"/>
        <v>1.1058258889045103E-2</v>
      </c>
      <c r="I20" s="73" t="s">
        <v>161</v>
      </c>
      <c r="J20" s="73">
        <v>5.3833216180797672E-2</v>
      </c>
    </row>
    <row r="21" spans="2:17" x14ac:dyDescent="0.25">
      <c r="B21" s="67">
        <v>45851</v>
      </c>
      <c r="C21" s="66">
        <v>2691.6</v>
      </c>
      <c r="D21" s="32">
        <f t="shared" si="0"/>
        <v>-2.6510904553510128E-2</v>
      </c>
      <c r="F21" s="68">
        <v>24968.400000000001</v>
      </c>
      <c r="G21" s="32">
        <f t="shared" si="1"/>
        <v>5.2904940210170004E-3</v>
      </c>
      <c r="I21" s="73" t="s">
        <v>162</v>
      </c>
      <c r="J21" s="73">
        <v>2.8980151643684961E-3</v>
      </c>
    </row>
    <row r="22" spans="2:17" x14ac:dyDescent="0.25">
      <c r="B22" s="67">
        <v>45844</v>
      </c>
      <c r="C22" s="66">
        <v>2722.2</v>
      </c>
      <c r="D22" s="32">
        <f t="shared" si="0"/>
        <v>1.136870263040568E-2</v>
      </c>
      <c r="F22" s="68">
        <v>25149.85</v>
      </c>
      <c r="G22" s="32">
        <f t="shared" si="1"/>
        <v>7.267185722753533E-3</v>
      </c>
      <c r="I22" s="73" t="s">
        <v>163</v>
      </c>
      <c r="J22" s="73">
        <v>-6.9742817151922125E-3</v>
      </c>
    </row>
    <row r="23" spans="2:17" x14ac:dyDescent="0.25">
      <c r="B23" s="67">
        <v>45837</v>
      </c>
      <c r="C23" s="66">
        <v>2708.6</v>
      </c>
      <c r="D23" s="32">
        <f t="shared" si="0"/>
        <v>-4.9959591506869572E-3</v>
      </c>
      <c r="F23" s="68">
        <v>25461</v>
      </c>
      <c r="G23" s="32">
        <f t="shared" si="1"/>
        <v>1.2371843172026997E-2</v>
      </c>
      <c r="I23" s="73" t="s">
        <v>164</v>
      </c>
      <c r="J23" s="73">
        <v>0.32250614603713224</v>
      </c>
    </row>
    <row r="24" spans="2:17" ht="15.75" thickBot="1" x14ac:dyDescent="0.3">
      <c r="B24" s="67">
        <v>45830</v>
      </c>
      <c r="C24" s="66">
        <v>2728.5</v>
      </c>
      <c r="D24" s="32">
        <f t="shared" si="0"/>
        <v>7.346968913830132E-3</v>
      </c>
      <c r="F24" s="68">
        <v>25637.8</v>
      </c>
      <c r="G24" s="32">
        <f t="shared" si="1"/>
        <v>6.9439534975059836E-3</v>
      </c>
      <c r="I24" s="74" t="s">
        <v>165</v>
      </c>
      <c r="J24" s="74">
        <v>103</v>
      </c>
    </row>
    <row r="25" spans="2:17" x14ac:dyDescent="0.25">
      <c r="B25" s="67">
        <v>45823</v>
      </c>
      <c r="C25" s="66">
        <v>2762</v>
      </c>
      <c r="D25" s="32">
        <f t="shared" si="0"/>
        <v>1.2277808319589578E-2</v>
      </c>
      <c r="F25" s="68">
        <v>25112.400000000001</v>
      </c>
      <c r="G25" s="32">
        <f t="shared" si="1"/>
        <v>-2.0493178041797622E-2</v>
      </c>
    </row>
    <row r="26" spans="2:17" ht="15.75" thickBot="1" x14ac:dyDescent="0.3">
      <c r="B26" s="67">
        <v>45816</v>
      </c>
      <c r="C26" s="66">
        <v>2805.9</v>
      </c>
      <c r="D26" s="32">
        <f t="shared" si="0"/>
        <v>1.5894279507603137E-2</v>
      </c>
      <c r="F26" s="68">
        <v>24718.6</v>
      </c>
      <c r="G26" s="32">
        <f t="shared" si="1"/>
        <v>-1.568149599401103E-2</v>
      </c>
      <c r="I26" t="s">
        <v>166</v>
      </c>
    </row>
    <row r="27" spans="2:17" x14ac:dyDescent="0.25">
      <c r="B27" s="67">
        <v>45809</v>
      </c>
      <c r="C27" s="66">
        <v>2861.1</v>
      </c>
      <c r="D27" s="32">
        <f t="shared" si="0"/>
        <v>1.9672832246337979E-2</v>
      </c>
      <c r="F27" s="68">
        <v>25003.05</v>
      </c>
      <c r="G27" s="32">
        <f t="shared" si="1"/>
        <v>1.1507528743537332E-2</v>
      </c>
      <c r="I27" s="75"/>
      <c r="J27" s="75" t="s">
        <v>170</v>
      </c>
      <c r="K27" s="75" t="s">
        <v>171</v>
      </c>
      <c r="L27" s="75" t="s">
        <v>172</v>
      </c>
      <c r="M27" s="75" t="s">
        <v>173</v>
      </c>
      <c r="N27" s="75" t="s">
        <v>174</v>
      </c>
    </row>
    <row r="28" spans="2:17" x14ac:dyDescent="0.25">
      <c r="B28" s="67">
        <v>45802</v>
      </c>
      <c r="C28" s="66">
        <v>2712.6</v>
      </c>
      <c r="D28" s="32">
        <f t="shared" si="0"/>
        <v>-5.1903114186851229E-2</v>
      </c>
      <c r="F28" s="68">
        <v>24750.7</v>
      </c>
      <c r="G28" s="32">
        <f t="shared" si="1"/>
        <v>-1.0092768682220754E-2</v>
      </c>
      <c r="I28" s="73" t="s">
        <v>167</v>
      </c>
      <c r="J28" s="73">
        <v>1</v>
      </c>
      <c r="K28" s="73">
        <v>3.0532223835043837E-2</v>
      </c>
      <c r="L28" s="73">
        <v>3.0532223835043837E-2</v>
      </c>
      <c r="M28" s="73">
        <v>0.29355024466175195</v>
      </c>
      <c r="N28" s="73">
        <v>0.58914766010361408</v>
      </c>
    </row>
    <row r="29" spans="2:17" x14ac:dyDescent="0.25">
      <c r="B29" s="67">
        <v>45795</v>
      </c>
      <c r="C29" s="66">
        <v>2663.8</v>
      </c>
      <c r="D29" s="32">
        <f t="shared" si="0"/>
        <v>-1.7990120179901092E-2</v>
      </c>
      <c r="F29" s="68">
        <v>24853.15</v>
      </c>
      <c r="G29" s="32">
        <f t="shared" si="1"/>
        <v>4.139276868937003E-3</v>
      </c>
      <c r="I29" s="73" t="s">
        <v>168</v>
      </c>
      <c r="J29" s="73">
        <v>101</v>
      </c>
      <c r="K29" s="73">
        <v>10.505031637404132</v>
      </c>
      <c r="L29" s="73">
        <v>0.10401021423172407</v>
      </c>
      <c r="M29" s="73"/>
      <c r="N29" s="73"/>
    </row>
    <row r="30" spans="2:17" ht="15.75" thickBot="1" x14ac:dyDescent="0.3">
      <c r="B30" s="67">
        <v>45788</v>
      </c>
      <c r="C30" s="66">
        <v>2574.4</v>
      </c>
      <c r="D30" s="32">
        <f t="shared" si="0"/>
        <v>-3.3561078159020985E-2</v>
      </c>
      <c r="F30" s="68">
        <v>25019.8</v>
      </c>
      <c r="G30" s="32">
        <f t="shared" si="1"/>
        <v>6.705387445856914E-3</v>
      </c>
      <c r="I30" s="74" t="s">
        <v>12</v>
      </c>
      <c r="J30" s="74">
        <v>102</v>
      </c>
      <c r="K30" s="74">
        <v>10.535563861239176</v>
      </c>
      <c r="L30" s="74"/>
      <c r="M30" s="74"/>
      <c r="N30" s="74"/>
    </row>
    <row r="31" spans="2:17" ht="15.75" thickBot="1" x14ac:dyDescent="0.3">
      <c r="B31" s="67">
        <v>45781</v>
      </c>
      <c r="C31" s="66">
        <v>2545.8000000000002</v>
      </c>
      <c r="D31" s="32">
        <f t="shared" si="0"/>
        <v>-1.1109384711000536E-2</v>
      </c>
      <c r="F31" s="68">
        <v>24008</v>
      </c>
      <c r="G31" s="32">
        <f t="shared" si="1"/>
        <v>-4.0439971542538311E-2</v>
      </c>
    </row>
    <row r="32" spans="2:17" x14ac:dyDescent="0.25">
      <c r="B32" s="67">
        <v>45774</v>
      </c>
      <c r="C32" s="66">
        <v>2659.4</v>
      </c>
      <c r="D32" s="32">
        <f t="shared" si="0"/>
        <v>4.462251551575136E-2</v>
      </c>
      <c r="F32" s="68">
        <v>24346.7</v>
      </c>
      <c r="G32" s="32">
        <f t="shared" si="1"/>
        <v>1.4107797400866318E-2</v>
      </c>
      <c r="I32" s="75"/>
      <c r="J32" s="75" t="s">
        <v>175</v>
      </c>
      <c r="K32" s="75" t="s">
        <v>164</v>
      </c>
      <c r="L32" s="75" t="s">
        <v>176</v>
      </c>
      <c r="M32" s="75" t="s">
        <v>177</v>
      </c>
      <c r="N32" s="75" t="s">
        <v>178</v>
      </c>
      <c r="O32" s="75" t="s">
        <v>179</v>
      </c>
      <c r="P32" s="75" t="s">
        <v>180</v>
      </c>
      <c r="Q32" s="75" t="s">
        <v>181</v>
      </c>
    </row>
    <row r="33" spans="2:17" x14ac:dyDescent="0.25">
      <c r="B33" s="67">
        <v>45767</v>
      </c>
      <c r="C33" s="66">
        <v>2804.2</v>
      </c>
      <c r="D33" s="32">
        <f t="shared" si="0"/>
        <v>5.4448371813190732E-2</v>
      </c>
      <c r="F33" s="68">
        <v>24039.35</v>
      </c>
      <c r="G33" s="32">
        <f t="shared" si="1"/>
        <v>-1.2623887426222113E-2</v>
      </c>
      <c r="I33" s="73" t="s">
        <v>169</v>
      </c>
      <c r="J33" s="73">
        <v>3.0423987777378435E-2</v>
      </c>
      <c r="K33" s="73">
        <v>3.2009666251403224E-2</v>
      </c>
      <c r="L33" s="73">
        <v>0.95046251149353123</v>
      </c>
      <c r="M33" s="73">
        <v>0.3441461773704515</v>
      </c>
      <c r="N33" s="73">
        <v>-3.3074579559791845E-2</v>
      </c>
      <c r="O33" s="73">
        <v>9.3922555114548723E-2</v>
      </c>
      <c r="P33" s="73">
        <v>-3.3074579559791845E-2</v>
      </c>
      <c r="Q33" s="73">
        <v>9.3922555114548723E-2</v>
      </c>
    </row>
    <row r="34" spans="2:17" ht="15.75" thickBot="1" x14ac:dyDescent="0.3">
      <c r="B34" s="67">
        <v>45760</v>
      </c>
      <c r="C34" s="66">
        <v>2634.8</v>
      </c>
      <c r="D34" s="32">
        <f t="shared" si="0"/>
        <v>-6.0409385921118219E-2</v>
      </c>
      <c r="F34" s="68">
        <v>23851.65</v>
      </c>
      <c r="G34" s="32">
        <f t="shared" si="1"/>
        <v>-7.8080314151587338E-3</v>
      </c>
      <c r="I34" s="74" t="s">
        <v>182</v>
      </c>
      <c r="J34" s="74">
        <v>0.99528527427917546</v>
      </c>
      <c r="K34" s="74">
        <v>1.836988151711006</v>
      </c>
      <c r="L34" s="74">
        <v>0.54180277284431455</v>
      </c>
      <c r="M34" s="74">
        <v>0.58914766010359132</v>
      </c>
      <c r="N34" s="74">
        <v>-2.6488050743320608</v>
      </c>
      <c r="O34" s="74">
        <v>4.6393756228904115</v>
      </c>
      <c r="P34" s="74">
        <v>-2.6488050743320608</v>
      </c>
      <c r="Q34" s="74">
        <v>4.6393756228904115</v>
      </c>
    </row>
    <row r="35" spans="2:17" x14ac:dyDescent="0.25">
      <c r="B35" s="67">
        <v>45753</v>
      </c>
      <c r="C35" s="66">
        <v>2718.3</v>
      </c>
      <c r="D35" s="32">
        <f t="shared" si="0"/>
        <v>3.1691209959010092E-2</v>
      </c>
      <c r="F35" s="68">
        <v>22828.55</v>
      </c>
      <c r="G35" s="32">
        <f t="shared" si="1"/>
        <v>-4.2894307102443685E-2</v>
      </c>
    </row>
    <row r="36" spans="2:17" x14ac:dyDescent="0.25">
      <c r="B36" s="67">
        <v>45746</v>
      </c>
      <c r="C36" s="66">
        <v>2734.8</v>
      </c>
      <c r="D36" s="32">
        <f t="shared" si="0"/>
        <v>6.0699702019644253E-3</v>
      </c>
      <c r="F36" s="68">
        <v>22904.45</v>
      </c>
      <c r="G36" s="32">
        <f t="shared" si="1"/>
        <v>3.3247840971064591E-3</v>
      </c>
    </row>
    <row r="37" spans="2:17" x14ac:dyDescent="0.25">
      <c r="B37" s="67">
        <v>45739</v>
      </c>
      <c r="C37" s="66">
        <v>2760.7</v>
      </c>
      <c r="D37" s="32">
        <f t="shared" si="0"/>
        <v>9.470528009360768E-3</v>
      </c>
      <c r="F37" s="68">
        <v>23519.35</v>
      </c>
      <c r="G37" s="32">
        <f t="shared" si="1"/>
        <v>2.6846311524616251E-2</v>
      </c>
    </row>
    <row r="38" spans="2:17" x14ac:dyDescent="0.25">
      <c r="B38" s="67">
        <v>45732</v>
      </c>
      <c r="C38" s="66">
        <v>2651.25</v>
      </c>
      <c r="D38" s="32">
        <f t="shared" si="0"/>
        <v>-3.9645742021950925E-2</v>
      </c>
      <c r="F38" s="68">
        <v>23350.400000000001</v>
      </c>
      <c r="G38" s="32">
        <f t="shared" si="1"/>
        <v>-7.1834468214468927E-3</v>
      </c>
    </row>
    <row r="39" spans="2:17" x14ac:dyDescent="0.25">
      <c r="B39" s="67">
        <v>45725</v>
      </c>
      <c r="C39" s="66">
        <v>2616.9</v>
      </c>
      <c r="D39" s="32">
        <f t="shared" si="0"/>
        <v>-1.2956152758132888E-2</v>
      </c>
      <c r="F39" s="68">
        <v>22397.200000000001</v>
      </c>
      <c r="G39" s="32">
        <f t="shared" si="1"/>
        <v>-4.0821570508428162E-2</v>
      </c>
    </row>
    <row r="40" spans="2:17" x14ac:dyDescent="0.25">
      <c r="B40" s="67">
        <v>45718</v>
      </c>
      <c r="C40" s="66">
        <v>2611.15</v>
      </c>
      <c r="D40" s="32">
        <f t="shared" si="0"/>
        <v>-2.1972562956169561E-3</v>
      </c>
      <c r="F40" s="68">
        <v>22552.5</v>
      </c>
      <c r="G40" s="32">
        <f t="shared" si="1"/>
        <v>6.9339024520922443E-3</v>
      </c>
    </row>
    <row r="41" spans="2:17" x14ac:dyDescent="0.25">
      <c r="B41" s="67">
        <v>45711</v>
      </c>
      <c r="C41" s="66">
        <v>2469.4</v>
      </c>
      <c r="D41" s="32">
        <f t="shared" si="0"/>
        <v>-5.4286425521322013E-2</v>
      </c>
      <c r="F41" s="68">
        <v>22124.7</v>
      </c>
      <c r="G41" s="32">
        <f t="shared" si="1"/>
        <v>-1.8969072164948475E-2</v>
      </c>
    </row>
    <row r="42" spans="2:17" x14ac:dyDescent="0.25">
      <c r="B42" s="67">
        <v>45704</v>
      </c>
      <c r="C42" s="66">
        <v>2370.1999999999998</v>
      </c>
      <c r="D42" s="32">
        <f t="shared" si="0"/>
        <v>-4.0171701627925938E-2</v>
      </c>
      <c r="F42" s="68">
        <v>22795.9</v>
      </c>
      <c r="G42" s="32">
        <f t="shared" si="1"/>
        <v>3.0337134514818231E-2</v>
      </c>
    </row>
    <row r="43" spans="2:17" x14ac:dyDescent="0.25">
      <c r="B43" s="67">
        <v>45697</v>
      </c>
      <c r="C43" s="66">
        <v>2407.25</v>
      </c>
      <c r="D43" s="32">
        <f t="shared" si="0"/>
        <v>1.5631592270694439E-2</v>
      </c>
      <c r="F43" s="68">
        <v>22929.25</v>
      </c>
      <c r="G43" s="32">
        <f t="shared" si="1"/>
        <v>5.8497361367613188E-3</v>
      </c>
    </row>
    <row r="44" spans="2:17" x14ac:dyDescent="0.25">
      <c r="B44" s="67">
        <v>45690</v>
      </c>
      <c r="C44" s="66">
        <v>2306.65</v>
      </c>
      <c r="D44" s="32">
        <f t="shared" si="0"/>
        <v>-4.1790424758541889E-2</v>
      </c>
      <c r="F44" s="68">
        <v>23559.95</v>
      </c>
      <c r="G44" s="32">
        <f t="shared" si="1"/>
        <v>2.7506351058146361E-2</v>
      </c>
    </row>
    <row r="45" spans="2:17" x14ac:dyDescent="0.25">
      <c r="B45" s="67">
        <v>45683</v>
      </c>
      <c r="C45" s="66">
        <v>2431.0500000000002</v>
      </c>
      <c r="D45" s="32">
        <f t="shared" si="0"/>
        <v>5.3931025513190178E-2</v>
      </c>
      <c r="F45" s="68">
        <v>23508.400000000001</v>
      </c>
      <c r="G45" s="32">
        <f t="shared" si="1"/>
        <v>-2.188035203809835E-3</v>
      </c>
    </row>
    <row r="46" spans="2:17" x14ac:dyDescent="0.25">
      <c r="B46" s="67">
        <v>45676</v>
      </c>
      <c r="C46" s="66">
        <v>2431.3000000000002</v>
      </c>
      <c r="D46" s="32">
        <f t="shared" si="0"/>
        <v>1.0283622303131068E-4</v>
      </c>
      <c r="F46" s="68">
        <v>23092.2</v>
      </c>
      <c r="G46" s="32">
        <f t="shared" si="1"/>
        <v>-1.7704309948784247E-2</v>
      </c>
    </row>
    <row r="47" spans="2:17" x14ac:dyDescent="0.25">
      <c r="B47" s="67">
        <v>45669</v>
      </c>
      <c r="C47" s="66">
        <v>2487.6</v>
      </c>
      <c r="D47" s="32">
        <f t="shared" si="0"/>
        <v>2.3156336116480825E-2</v>
      </c>
      <c r="F47" s="68">
        <v>23203.200000000001</v>
      </c>
      <c r="G47" s="32">
        <f t="shared" si="1"/>
        <v>4.8068178865590117E-3</v>
      </c>
    </row>
    <row r="48" spans="2:17" x14ac:dyDescent="0.25">
      <c r="B48" s="67">
        <v>45662</v>
      </c>
      <c r="C48" s="66">
        <v>2508.85</v>
      </c>
      <c r="D48" s="32">
        <f t="shared" si="0"/>
        <v>8.5423701559736998E-3</v>
      </c>
      <c r="F48" s="68">
        <v>23431.5</v>
      </c>
      <c r="G48" s="32">
        <f t="shared" si="1"/>
        <v>9.8391601158460684E-3</v>
      </c>
    </row>
    <row r="49" spans="2:7" x14ac:dyDescent="0.25">
      <c r="B49" s="67">
        <v>45655</v>
      </c>
      <c r="C49" s="66">
        <v>2490.75</v>
      </c>
      <c r="D49" s="32">
        <f t="shared" si="0"/>
        <v>-7.2144608087369999E-3</v>
      </c>
      <c r="F49" s="68">
        <v>24004.75</v>
      </c>
      <c r="G49" s="32">
        <f t="shared" si="1"/>
        <v>2.4464929688666981E-2</v>
      </c>
    </row>
    <row r="50" spans="2:7" x14ac:dyDescent="0.25">
      <c r="B50" s="67">
        <v>45648</v>
      </c>
      <c r="C50" s="66">
        <v>2375.85</v>
      </c>
      <c r="D50" s="32">
        <f t="shared" si="0"/>
        <v>-4.6130683529057581E-2</v>
      </c>
      <c r="F50" s="68">
        <v>23813.4</v>
      </c>
      <c r="G50" s="32">
        <f t="shared" si="1"/>
        <v>-7.9713390058216982E-3</v>
      </c>
    </row>
    <row r="51" spans="2:7" x14ac:dyDescent="0.25">
      <c r="B51" s="67">
        <v>45641</v>
      </c>
      <c r="C51" s="66">
        <v>2364.1</v>
      </c>
      <c r="D51" s="32">
        <f t="shared" si="0"/>
        <v>-4.9455984174084922E-3</v>
      </c>
      <c r="F51" s="68">
        <v>23587.5</v>
      </c>
      <c r="G51" s="32">
        <f t="shared" si="1"/>
        <v>-9.4862556375822082E-3</v>
      </c>
    </row>
    <row r="52" spans="2:7" x14ac:dyDescent="0.25">
      <c r="B52" s="67">
        <v>45634</v>
      </c>
      <c r="C52" s="66">
        <v>2510</v>
      </c>
      <c r="D52" s="32">
        <f t="shared" si="0"/>
        <v>6.171481747811014E-2</v>
      </c>
      <c r="F52" s="68">
        <v>24768.3</v>
      </c>
      <c r="G52" s="32">
        <f t="shared" si="1"/>
        <v>5.0060413354531041E-2</v>
      </c>
    </row>
    <row r="53" spans="2:7" x14ac:dyDescent="0.25">
      <c r="B53" s="67">
        <v>45627</v>
      </c>
      <c r="C53" s="66">
        <v>2480.3000000000002</v>
      </c>
      <c r="D53" s="32">
        <f t="shared" si="0"/>
        <v>-1.18326693227091E-2</v>
      </c>
      <c r="F53" s="68">
        <v>24677.8</v>
      </c>
      <c r="G53" s="32">
        <f t="shared" si="1"/>
        <v>-3.653864011660013E-3</v>
      </c>
    </row>
    <row r="54" spans="2:7" x14ac:dyDescent="0.25">
      <c r="B54" s="67">
        <v>45620</v>
      </c>
      <c r="C54" s="66">
        <v>2488.6999999999998</v>
      </c>
      <c r="D54" s="32">
        <f t="shared" si="0"/>
        <v>3.3866870943028982E-3</v>
      </c>
      <c r="F54" s="68">
        <v>24131.1</v>
      </c>
      <c r="G54" s="32">
        <f t="shared" si="1"/>
        <v>-2.2153514494809179E-2</v>
      </c>
    </row>
    <row r="55" spans="2:7" x14ac:dyDescent="0.25">
      <c r="B55" s="67">
        <v>45613</v>
      </c>
      <c r="C55" s="66">
        <v>2692.7</v>
      </c>
      <c r="D55" s="32">
        <f t="shared" si="0"/>
        <v>8.1970506690239864E-2</v>
      </c>
      <c r="F55" s="68">
        <v>23907.25</v>
      </c>
      <c r="G55" s="32">
        <f t="shared" si="1"/>
        <v>-9.2764109385812255E-3</v>
      </c>
    </row>
    <row r="56" spans="2:7" x14ac:dyDescent="0.25">
      <c r="B56" s="67">
        <v>45606</v>
      </c>
      <c r="C56" s="66">
        <v>2701.9</v>
      </c>
      <c r="D56" s="32">
        <f t="shared" si="0"/>
        <v>3.4166450031567486E-3</v>
      </c>
      <c r="F56" s="68">
        <v>23532.7</v>
      </c>
      <c r="G56" s="32">
        <f t="shared" si="1"/>
        <v>-1.5666795637306663E-2</v>
      </c>
    </row>
    <row r="57" spans="2:7" x14ac:dyDescent="0.25">
      <c r="B57" s="67">
        <v>45599</v>
      </c>
      <c r="C57" s="66">
        <v>2606.25</v>
      </c>
      <c r="D57" s="32">
        <f t="shared" si="0"/>
        <v>-3.5401014101188122E-2</v>
      </c>
      <c r="F57" s="68">
        <v>24148.2</v>
      </c>
      <c r="G57" s="32">
        <f t="shared" si="1"/>
        <v>2.6155094825498049E-2</v>
      </c>
    </row>
    <row r="58" spans="2:7" x14ac:dyDescent="0.25">
      <c r="B58" s="67">
        <v>45592</v>
      </c>
      <c r="C58" s="66">
        <v>2598.65</v>
      </c>
      <c r="D58" s="32">
        <f t="shared" si="0"/>
        <v>-2.9160671462828969E-3</v>
      </c>
      <c r="F58" s="68">
        <v>24304.35</v>
      </c>
      <c r="G58" s="32">
        <f t="shared" si="1"/>
        <v>6.4663204710908584E-3</v>
      </c>
    </row>
    <row r="59" spans="2:7" x14ac:dyDescent="0.25">
      <c r="B59" s="67">
        <v>45585</v>
      </c>
      <c r="C59" s="66">
        <v>2523.9499999999998</v>
      </c>
      <c r="D59" s="32">
        <f t="shared" si="0"/>
        <v>-2.8745694880033978E-2</v>
      </c>
      <c r="F59" s="68">
        <v>24180.799999999999</v>
      </c>
      <c r="G59" s="32">
        <f t="shared" si="1"/>
        <v>-5.0834521392261189E-3</v>
      </c>
    </row>
    <row r="60" spans="2:7" x14ac:dyDescent="0.25">
      <c r="B60" s="67">
        <v>45578</v>
      </c>
      <c r="C60" s="66">
        <v>2544.85</v>
      </c>
      <c r="D60" s="32">
        <f t="shared" si="0"/>
        <v>8.2806711701897129E-3</v>
      </c>
      <c r="F60" s="68">
        <v>24854.05</v>
      </c>
      <c r="G60" s="32">
        <f t="shared" si="1"/>
        <v>2.7842337722490562E-2</v>
      </c>
    </row>
    <row r="61" spans="2:7" x14ac:dyDescent="0.25">
      <c r="B61" s="67">
        <v>45571</v>
      </c>
      <c r="C61" s="66">
        <v>2698.9</v>
      </c>
      <c r="D61" s="32">
        <f t="shared" si="0"/>
        <v>6.0534019686818485E-2</v>
      </c>
      <c r="F61" s="68">
        <v>24964.25</v>
      </c>
      <c r="G61" s="32">
        <f t="shared" si="1"/>
        <v>4.4338850207512603E-3</v>
      </c>
    </row>
    <row r="62" spans="2:7" x14ac:dyDescent="0.25">
      <c r="B62" s="67">
        <v>45564</v>
      </c>
      <c r="C62" s="66">
        <v>11450.25</v>
      </c>
      <c r="D62" s="32">
        <f t="shared" si="0"/>
        <v>3.242561784430694</v>
      </c>
      <c r="F62" s="68">
        <v>25014.6</v>
      </c>
      <c r="G62" s="32">
        <f t="shared" si="1"/>
        <v>2.0168841443264363E-3</v>
      </c>
    </row>
    <row r="63" spans="2:7" x14ac:dyDescent="0.25">
      <c r="B63" s="67">
        <v>45557</v>
      </c>
      <c r="C63" s="66">
        <v>11952.3</v>
      </c>
      <c r="D63" s="32">
        <f t="shared" si="0"/>
        <v>4.3846204231348551E-2</v>
      </c>
      <c r="F63" s="68">
        <v>26178.95</v>
      </c>
      <c r="G63" s="32">
        <f t="shared" si="1"/>
        <v>4.6546816659071233E-2</v>
      </c>
    </row>
    <row r="64" spans="2:7" x14ac:dyDescent="0.25">
      <c r="B64" s="67">
        <v>45550</v>
      </c>
      <c r="C64" s="66">
        <v>11798.3</v>
      </c>
      <c r="D64" s="32">
        <f t="shared" si="0"/>
        <v>-1.2884549417267022E-2</v>
      </c>
      <c r="F64" s="68">
        <v>25790.95</v>
      </c>
      <c r="G64" s="32">
        <f t="shared" si="1"/>
        <v>-1.4821068071866894E-2</v>
      </c>
    </row>
    <row r="65" spans="2:7" x14ac:dyDescent="0.25">
      <c r="B65" s="67">
        <v>45543</v>
      </c>
      <c r="C65" s="66">
        <v>11717.95</v>
      </c>
      <c r="D65" s="32">
        <f t="shared" si="0"/>
        <v>-6.8103031792714486E-3</v>
      </c>
      <c r="F65" s="68">
        <v>25356.5</v>
      </c>
      <c r="G65" s="32">
        <f t="shared" si="1"/>
        <v>-1.684505611464493E-2</v>
      </c>
    </row>
    <row r="66" spans="2:7" x14ac:dyDescent="0.25">
      <c r="B66" s="67">
        <v>45536</v>
      </c>
      <c r="C66" s="66">
        <v>11432.85</v>
      </c>
      <c r="D66" s="32">
        <f t="shared" si="0"/>
        <v>-2.4330194274595818E-2</v>
      </c>
      <c r="F66" s="68">
        <v>24852.15</v>
      </c>
      <c r="G66" s="32">
        <f t="shared" si="1"/>
        <v>-1.9890363417664036E-2</v>
      </c>
    </row>
    <row r="67" spans="2:7" x14ac:dyDescent="0.25">
      <c r="B67" s="67">
        <v>45529</v>
      </c>
      <c r="C67" s="66">
        <v>11301.9</v>
      </c>
      <c r="D67" s="32">
        <f t="shared" si="0"/>
        <v>-1.1453836969784525E-2</v>
      </c>
      <c r="F67" s="68">
        <v>25235.9</v>
      </c>
      <c r="G67" s="32">
        <f t="shared" si="1"/>
        <v>1.544131996628062E-2</v>
      </c>
    </row>
    <row r="68" spans="2:7" x14ac:dyDescent="0.25">
      <c r="B68" s="67">
        <v>45522</v>
      </c>
      <c r="C68" s="66">
        <v>11341.8</v>
      </c>
      <c r="D68" s="32">
        <f t="shared" si="0"/>
        <v>3.5303798476362669E-3</v>
      </c>
      <c r="F68" s="68">
        <v>24823.15</v>
      </c>
      <c r="G68" s="32">
        <f t="shared" si="1"/>
        <v>-1.6355667917530181E-2</v>
      </c>
    </row>
    <row r="69" spans="2:7" x14ac:dyDescent="0.25">
      <c r="B69" s="67">
        <v>45515</v>
      </c>
      <c r="C69" s="66">
        <v>11295.7</v>
      </c>
      <c r="D69" s="32">
        <f t="shared" si="0"/>
        <v>-4.0646105556435552E-3</v>
      </c>
      <c r="F69" s="68">
        <v>24541.15</v>
      </c>
      <c r="G69" s="32">
        <f t="shared" si="1"/>
        <v>-1.1360363209342861E-2</v>
      </c>
    </row>
    <row r="70" spans="2:7" x14ac:dyDescent="0.25">
      <c r="B70" s="67">
        <v>45508</v>
      </c>
      <c r="C70" s="66">
        <v>11300.35</v>
      </c>
      <c r="D70" s="32">
        <f t="shared" si="0"/>
        <v>4.1166107456813705E-4</v>
      </c>
      <c r="F70" s="68">
        <v>24367.5</v>
      </c>
      <c r="G70" s="32">
        <f t="shared" si="1"/>
        <v>-7.0758705276647849E-3</v>
      </c>
    </row>
    <row r="71" spans="2:7" x14ac:dyDescent="0.25">
      <c r="B71" s="67">
        <v>45501</v>
      </c>
      <c r="C71" s="66">
        <v>11764.5</v>
      </c>
      <c r="D71" s="32">
        <f t="shared" si="0"/>
        <v>4.1073949036976698E-2</v>
      </c>
      <c r="F71" s="68">
        <v>24717.7</v>
      </c>
      <c r="G71" s="32">
        <f t="shared" si="1"/>
        <v>1.4371601518415877E-2</v>
      </c>
    </row>
    <row r="72" spans="2:7" x14ac:dyDescent="0.25">
      <c r="B72" s="67">
        <v>45494</v>
      </c>
      <c r="C72" s="66">
        <v>11673.05</v>
      </c>
      <c r="D72" s="32">
        <f t="shared" si="0"/>
        <v>-7.7733860342557026E-3</v>
      </c>
      <c r="F72" s="68">
        <v>24834.85</v>
      </c>
      <c r="G72" s="32">
        <f t="shared" si="1"/>
        <v>4.7395186445340354E-3</v>
      </c>
    </row>
    <row r="73" spans="2:7" x14ac:dyDescent="0.25">
      <c r="B73" s="67">
        <v>45487</v>
      </c>
      <c r="C73" s="66">
        <v>11258.3</v>
      </c>
      <c r="D73" s="32">
        <f t="shared" si="0"/>
        <v>-3.5530559708045417E-2</v>
      </c>
      <c r="F73" s="68">
        <v>24530.9</v>
      </c>
      <c r="G73" s="32">
        <f t="shared" si="1"/>
        <v>-1.2238849842056476E-2</v>
      </c>
    </row>
    <row r="74" spans="2:7" x14ac:dyDescent="0.25">
      <c r="B74" s="67">
        <v>45480</v>
      </c>
      <c r="C74" s="66">
        <v>11602.3</v>
      </c>
      <c r="D74" s="32">
        <f t="shared" si="0"/>
        <v>3.055523480454414E-2</v>
      </c>
      <c r="F74" s="68">
        <v>24502.15</v>
      </c>
      <c r="G74" s="32">
        <f t="shared" si="1"/>
        <v>-1.1719912436967128E-3</v>
      </c>
    </row>
    <row r="75" spans="2:7" x14ac:dyDescent="0.25">
      <c r="B75" s="67">
        <v>45473</v>
      </c>
      <c r="C75" s="66">
        <v>11690.15</v>
      </c>
      <c r="D75" s="32">
        <f t="shared" si="0"/>
        <v>7.5717745619403587E-3</v>
      </c>
      <c r="F75" s="68">
        <v>24323.85</v>
      </c>
      <c r="G75" s="32">
        <f t="shared" si="1"/>
        <v>-7.2769124342150215E-3</v>
      </c>
    </row>
    <row r="76" spans="2:7" x14ac:dyDescent="0.25">
      <c r="B76" s="67">
        <v>45466</v>
      </c>
      <c r="C76" s="66">
        <v>11667.9</v>
      </c>
      <c r="D76" s="32">
        <f t="shared" ref="D76:D113" si="2">C76/C75-1</f>
        <v>-1.9033117624667195E-3</v>
      </c>
      <c r="F76" s="68">
        <v>24010.6</v>
      </c>
      <c r="G76" s="32">
        <f t="shared" ref="G76:G113" si="3">F76/F75-1</f>
        <v>-1.2878306682535867E-2</v>
      </c>
    </row>
    <row r="77" spans="2:7" x14ac:dyDescent="0.25">
      <c r="B77" s="67">
        <v>45459</v>
      </c>
      <c r="C77" s="66">
        <v>10662.4</v>
      </c>
      <c r="D77" s="32">
        <f t="shared" si="2"/>
        <v>-8.6176604187557349E-2</v>
      </c>
      <c r="F77" s="68">
        <v>23501.1</v>
      </c>
      <c r="G77" s="32">
        <f t="shared" si="3"/>
        <v>-2.1219794590722429E-2</v>
      </c>
    </row>
    <row r="78" spans="2:7" x14ac:dyDescent="0.25">
      <c r="B78" s="67">
        <v>45452</v>
      </c>
      <c r="C78" s="66">
        <v>11242.8</v>
      </c>
      <c r="D78" s="32">
        <f t="shared" si="2"/>
        <v>5.4434273709483838E-2</v>
      </c>
      <c r="F78" s="68">
        <v>23465.599999999999</v>
      </c>
      <c r="G78" s="32">
        <f t="shared" si="3"/>
        <v>-1.5105675904532045E-3</v>
      </c>
    </row>
    <row r="79" spans="2:7" x14ac:dyDescent="0.25">
      <c r="B79" s="67">
        <v>45445</v>
      </c>
      <c r="C79" s="66">
        <v>10463.15</v>
      </c>
      <c r="D79" s="32">
        <f t="shared" si="2"/>
        <v>-6.9346604048813432E-2</v>
      </c>
      <c r="F79" s="68">
        <v>23290.15</v>
      </c>
      <c r="G79" s="32">
        <f t="shared" si="3"/>
        <v>-7.4769023591980677E-3</v>
      </c>
    </row>
    <row r="80" spans="2:7" x14ac:dyDescent="0.25">
      <c r="B80" s="67">
        <v>45438</v>
      </c>
      <c r="C80" s="66">
        <v>9915.5</v>
      </c>
      <c r="D80" s="32">
        <f t="shared" si="2"/>
        <v>-5.2340834261192848E-2</v>
      </c>
      <c r="F80" s="68">
        <v>22530.7</v>
      </c>
      <c r="G80" s="32">
        <f t="shared" si="3"/>
        <v>-3.2608205614820029E-2</v>
      </c>
    </row>
    <row r="81" spans="2:7" x14ac:dyDescent="0.25">
      <c r="B81" s="67">
        <v>45431</v>
      </c>
      <c r="C81" s="66">
        <v>10231.1</v>
      </c>
      <c r="D81" s="32">
        <f t="shared" si="2"/>
        <v>3.1828954666935694E-2</v>
      </c>
      <c r="F81" s="68">
        <v>22957.1</v>
      </c>
      <c r="G81" s="32">
        <f t="shared" si="3"/>
        <v>1.8925288606212787E-2</v>
      </c>
    </row>
    <row r="82" spans="2:7" x14ac:dyDescent="0.25">
      <c r="B82" s="67">
        <v>45424</v>
      </c>
      <c r="C82" s="66">
        <v>9890.35</v>
      </c>
      <c r="D82" s="32">
        <f t="shared" si="2"/>
        <v>-3.3305314189090107E-2</v>
      </c>
      <c r="F82" s="68">
        <v>22466.1</v>
      </c>
      <c r="G82" s="32">
        <f t="shared" si="3"/>
        <v>-2.1387718832082458E-2</v>
      </c>
    </row>
    <row r="83" spans="2:7" x14ac:dyDescent="0.25">
      <c r="B83" s="67">
        <v>45417</v>
      </c>
      <c r="C83" s="66">
        <v>9491.7000000000007</v>
      </c>
      <c r="D83" s="32">
        <f t="shared" si="2"/>
        <v>-4.0306965880883894E-2</v>
      </c>
      <c r="F83" s="68">
        <v>22055.200000000001</v>
      </c>
      <c r="G83" s="32">
        <f t="shared" si="3"/>
        <v>-1.8289778822314418E-2</v>
      </c>
    </row>
    <row r="84" spans="2:7" x14ac:dyDescent="0.25">
      <c r="B84" s="67">
        <v>45410</v>
      </c>
      <c r="C84" s="66">
        <v>9816.2999999999993</v>
      </c>
      <c r="D84" s="32">
        <f t="shared" si="2"/>
        <v>3.4198299566990054E-2</v>
      </c>
      <c r="F84" s="68">
        <v>22475.85</v>
      </c>
      <c r="G84" s="32">
        <f t="shared" si="3"/>
        <v>1.9072599659037293E-2</v>
      </c>
    </row>
    <row r="85" spans="2:7" x14ac:dyDescent="0.25">
      <c r="B85" s="67">
        <v>45403</v>
      </c>
      <c r="C85" s="66">
        <v>9700.9</v>
      </c>
      <c r="D85" s="32">
        <f t="shared" si="2"/>
        <v>-1.175595692878173E-2</v>
      </c>
      <c r="F85" s="68">
        <v>22419.95</v>
      </c>
      <c r="G85" s="32">
        <f t="shared" si="3"/>
        <v>-2.4871139467471659E-3</v>
      </c>
    </row>
    <row r="86" spans="2:7" x14ac:dyDescent="0.25">
      <c r="B86" s="67">
        <v>45396</v>
      </c>
      <c r="C86" s="66">
        <v>9363.9500000000007</v>
      </c>
      <c r="D86" s="32">
        <f t="shared" si="2"/>
        <v>-3.4733890669937706E-2</v>
      </c>
      <c r="F86" s="68">
        <v>22147</v>
      </c>
      <c r="G86" s="32">
        <f t="shared" si="3"/>
        <v>-1.2174425009868428E-2</v>
      </c>
    </row>
    <row r="87" spans="2:7" x14ac:dyDescent="0.25">
      <c r="B87" s="67">
        <v>45389</v>
      </c>
      <c r="C87" s="66">
        <v>9652.5499999999993</v>
      </c>
      <c r="D87" s="32">
        <f t="shared" si="2"/>
        <v>3.0820326891963123E-2</v>
      </c>
      <c r="F87" s="68">
        <v>22519.4</v>
      </c>
      <c r="G87" s="32">
        <f t="shared" si="3"/>
        <v>1.6814918499119536E-2</v>
      </c>
    </row>
    <row r="88" spans="2:7" x14ac:dyDescent="0.25">
      <c r="B88" s="67">
        <v>45382</v>
      </c>
      <c r="C88" s="66">
        <v>9823.6</v>
      </c>
      <c r="D88" s="32">
        <f t="shared" si="2"/>
        <v>1.7720705927449343E-2</v>
      </c>
      <c r="F88" s="68">
        <v>22513.7</v>
      </c>
      <c r="G88" s="32">
        <f t="shared" si="3"/>
        <v>-2.5311509187642134E-4</v>
      </c>
    </row>
    <row r="89" spans="2:7" x14ac:dyDescent="0.25">
      <c r="B89" s="67">
        <v>45375</v>
      </c>
      <c r="C89" s="66">
        <v>9749.15</v>
      </c>
      <c r="D89" s="32">
        <f t="shared" si="2"/>
        <v>-7.5786880573314175E-3</v>
      </c>
      <c r="F89" s="68">
        <v>22326.9</v>
      </c>
      <c r="G89" s="32">
        <f t="shared" si="3"/>
        <v>-8.2971701674979803E-3</v>
      </c>
    </row>
    <row r="90" spans="2:7" x14ac:dyDescent="0.25">
      <c r="B90" s="67">
        <v>45368</v>
      </c>
      <c r="C90" s="66">
        <v>9681.75</v>
      </c>
      <c r="D90" s="32">
        <f t="shared" si="2"/>
        <v>-6.913423221511561E-3</v>
      </c>
      <c r="F90" s="68">
        <v>22096.75</v>
      </c>
      <c r="G90" s="32">
        <f t="shared" si="3"/>
        <v>-1.0308193255669229E-2</v>
      </c>
    </row>
    <row r="91" spans="2:7" x14ac:dyDescent="0.25">
      <c r="B91" s="67">
        <v>45361</v>
      </c>
      <c r="C91" s="66">
        <v>9632.9500000000007</v>
      </c>
      <c r="D91" s="32">
        <f t="shared" si="2"/>
        <v>-5.0404110827070303E-3</v>
      </c>
      <c r="F91" s="68">
        <v>22023.35</v>
      </c>
      <c r="G91" s="32">
        <f t="shared" si="3"/>
        <v>-3.3217554617761547E-3</v>
      </c>
    </row>
    <row r="92" spans="2:7" x14ac:dyDescent="0.25">
      <c r="B92" s="67">
        <v>45354</v>
      </c>
      <c r="C92" s="66">
        <v>9673.15</v>
      </c>
      <c r="D92" s="32">
        <f t="shared" si="2"/>
        <v>4.1731764412769046E-3</v>
      </c>
      <c r="F92" s="68">
        <v>22493.55</v>
      </c>
      <c r="G92" s="32">
        <f t="shared" si="3"/>
        <v>2.1350067087886337E-2</v>
      </c>
    </row>
    <row r="93" spans="2:7" x14ac:dyDescent="0.25">
      <c r="B93" s="67">
        <v>45347</v>
      </c>
      <c r="C93" s="66">
        <v>10135.5</v>
      </c>
      <c r="D93" s="32">
        <f t="shared" si="2"/>
        <v>4.7797253221546265E-2</v>
      </c>
      <c r="F93" s="68">
        <v>22338.75</v>
      </c>
      <c r="G93" s="32">
        <f t="shared" si="3"/>
        <v>-6.8819728322118134E-3</v>
      </c>
    </row>
    <row r="94" spans="2:7" x14ac:dyDescent="0.25">
      <c r="B94" s="67">
        <v>45340</v>
      </c>
      <c r="C94" s="66">
        <v>10000.9</v>
      </c>
      <c r="D94" s="32">
        <f t="shared" si="2"/>
        <v>-1.3280055251344347E-2</v>
      </c>
      <c r="F94" s="68">
        <v>22212.7</v>
      </c>
      <c r="G94" s="32">
        <f t="shared" si="3"/>
        <v>-5.6426612948351496E-3</v>
      </c>
    </row>
    <row r="95" spans="2:7" x14ac:dyDescent="0.25">
      <c r="B95" s="67">
        <v>45333</v>
      </c>
      <c r="C95" s="66">
        <v>9916.2000000000007</v>
      </c>
      <c r="D95" s="32">
        <f t="shared" si="2"/>
        <v>-8.4692377686007569E-3</v>
      </c>
      <c r="F95" s="68">
        <v>22040.7</v>
      </c>
      <c r="G95" s="32">
        <f t="shared" si="3"/>
        <v>-7.7433180117680855E-3</v>
      </c>
    </row>
    <row r="96" spans="2:7" x14ac:dyDescent="0.25">
      <c r="B96" s="67">
        <v>45326</v>
      </c>
      <c r="C96" s="66">
        <v>9945.75</v>
      </c>
      <c r="D96" s="32">
        <f t="shared" si="2"/>
        <v>2.9799721667573831E-3</v>
      </c>
      <c r="F96" s="68">
        <v>21782.5</v>
      </c>
      <c r="G96" s="32">
        <f t="shared" si="3"/>
        <v>-1.1714691457167858E-2</v>
      </c>
    </row>
    <row r="97" spans="2:7" x14ac:dyDescent="0.25">
      <c r="B97" s="67">
        <v>45319</v>
      </c>
      <c r="C97" s="66">
        <v>10098.549999999999</v>
      </c>
      <c r="D97" s="32">
        <f t="shared" si="2"/>
        <v>1.5363346152879265E-2</v>
      </c>
      <c r="F97" s="68">
        <v>21853.8</v>
      </c>
      <c r="G97" s="32">
        <f t="shared" si="3"/>
        <v>3.273269826695735E-3</v>
      </c>
    </row>
    <row r="98" spans="2:7" x14ac:dyDescent="0.25">
      <c r="B98" s="67">
        <v>45312</v>
      </c>
      <c r="C98" s="66">
        <v>9969.35</v>
      </c>
      <c r="D98" s="32">
        <f t="shared" si="2"/>
        <v>-1.2793915958231539E-2</v>
      </c>
      <c r="F98" s="68">
        <v>21352.6</v>
      </c>
      <c r="G98" s="32">
        <f t="shared" si="3"/>
        <v>-2.2934226541837188E-2</v>
      </c>
    </row>
    <row r="99" spans="2:7" x14ac:dyDescent="0.25">
      <c r="B99" s="67">
        <v>45305</v>
      </c>
      <c r="C99" s="66">
        <v>10093.700000000001</v>
      </c>
      <c r="D99" s="32">
        <f t="shared" si="2"/>
        <v>1.2473230451333306E-2</v>
      </c>
      <c r="F99" s="68">
        <v>21622.400000000001</v>
      </c>
      <c r="G99" s="32">
        <f t="shared" si="3"/>
        <v>1.2635463596939234E-2</v>
      </c>
    </row>
    <row r="100" spans="2:7" x14ac:dyDescent="0.25">
      <c r="B100" s="67">
        <v>45298</v>
      </c>
      <c r="C100" s="66">
        <v>9808.4500000000007</v>
      </c>
      <c r="D100" s="32">
        <f t="shared" si="2"/>
        <v>-2.8260201908120952E-2</v>
      </c>
      <c r="F100" s="68">
        <v>21894.55</v>
      </c>
      <c r="G100" s="32">
        <f t="shared" si="3"/>
        <v>1.2586484386561958E-2</v>
      </c>
    </row>
    <row r="101" spans="2:7" x14ac:dyDescent="0.25">
      <c r="B101" s="67">
        <v>45291</v>
      </c>
      <c r="C101" s="66">
        <v>10016.049999999999</v>
      </c>
      <c r="D101" s="32">
        <f t="shared" si="2"/>
        <v>2.1165423690796992E-2</v>
      </c>
      <c r="F101" s="68">
        <v>21710.799999999999</v>
      </c>
      <c r="G101" s="32">
        <f t="shared" si="3"/>
        <v>-8.3924995033010097E-3</v>
      </c>
    </row>
    <row r="102" spans="2:7" x14ac:dyDescent="0.25">
      <c r="B102" s="67">
        <v>45284</v>
      </c>
      <c r="C102" s="66">
        <v>10503.05</v>
      </c>
      <c r="D102" s="32">
        <f t="shared" si="2"/>
        <v>4.8621961751388998E-2</v>
      </c>
      <c r="F102" s="68">
        <v>21731.4</v>
      </c>
      <c r="G102" s="32">
        <f t="shared" si="3"/>
        <v>9.4883652375776784E-4</v>
      </c>
    </row>
    <row r="103" spans="2:7" x14ac:dyDescent="0.25">
      <c r="B103" s="67">
        <v>45277</v>
      </c>
      <c r="C103" s="66">
        <v>9969</v>
      </c>
      <c r="D103" s="32">
        <f t="shared" si="2"/>
        <v>-5.0847134879868139E-2</v>
      </c>
      <c r="F103" s="68">
        <v>21349.4</v>
      </c>
      <c r="G103" s="32">
        <f t="shared" si="3"/>
        <v>-1.7578250825993735E-2</v>
      </c>
    </row>
    <row r="104" spans="2:7" x14ac:dyDescent="0.25">
      <c r="B104" s="67">
        <v>45270</v>
      </c>
      <c r="C104" s="66">
        <v>10029.450000000001</v>
      </c>
      <c r="D104" s="32">
        <f t="shared" si="2"/>
        <v>6.0637977730966242E-3</v>
      </c>
      <c r="F104" s="68">
        <v>21456.65</v>
      </c>
      <c r="G104" s="32">
        <f t="shared" si="3"/>
        <v>5.023560381087977E-3</v>
      </c>
    </row>
    <row r="105" spans="2:7" x14ac:dyDescent="0.25">
      <c r="B105" s="67">
        <v>45263</v>
      </c>
      <c r="C105" s="66">
        <v>9413.5499999999993</v>
      </c>
      <c r="D105" s="32">
        <f t="shared" si="2"/>
        <v>-6.1409150053093775E-2</v>
      </c>
      <c r="F105" s="68">
        <v>20969.400000000001</v>
      </c>
      <c r="G105" s="32">
        <f t="shared" si="3"/>
        <v>-2.2708577527246754E-2</v>
      </c>
    </row>
    <row r="106" spans="2:7" x14ac:dyDescent="0.25">
      <c r="B106" s="67">
        <v>45256</v>
      </c>
      <c r="C106" s="66">
        <v>9033.85</v>
      </c>
      <c r="D106" s="32">
        <f t="shared" si="2"/>
        <v>-4.0335473864801186E-2</v>
      </c>
      <c r="F106" s="68">
        <v>20267.900000000001</v>
      </c>
      <c r="G106" s="32">
        <f t="shared" si="3"/>
        <v>-3.3453508445639879E-2</v>
      </c>
    </row>
    <row r="107" spans="2:7" x14ac:dyDescent="0.25">
      <c r="B107" s="67">
        <v>45249</v>
      </c>
      <c r="C107" s="66">
        <v>8556.2000000000007</v>
      </c>
      <c r="D107" s="32">
        <f t="shared" si="2"/>
        <v>-5.2873359641791629E-2</v>
      </c>
      <c r="F107" s="68">
        <v>19794.7</v>
      </c>
      <c r="G107" s="32">
        <f t="shared" si="3"/>
        <v>-2.3347263406667706E-2</v>
      </c>
    </row>
    <row r="108" spans="2:7" x14ac:dyDescent="0.25">
      <c r="B108" s="67">
        <v>45242</v>
      </c>
      <c r="C108" s="66">
        <v>8790.9500000000007</v>
      </c>
      <c r="D108" s="32">
        <f t="shared" si="2"/>
        <v>2.7436245062060216E-2</v>
      </c>
      <c r="F108" s="68">
        <v>19731.8</v>
      </c>
      <c r="G108" s="32">
        <f t="shared" si="3"/>
        <v>-3.1776182513502116E-3</v>
      </c>
    </row>
    <row r="109" spans="2:7" x14ac:dyDescent="0.25">
      <c r="B109" s="67">
        <v>45235</v>
      </c>
      <c r="C109" s="66">
        <v>8710.85</v>
      </c>
      <c r="D109" s="32">
        <f t="shared" si="2"/>
        <v>-9.1116432239974898E-3</v>
      </c>
      <c r="F109" s="68">
        <v>19425.349999999999</v>
      </c>
      <c r="G109" s="32">
        <f t="shared" si="3"/>
        <v>-1.5530767593427863E-2</v>
      </c>
    </row>
    <row r="110" spans="2:7" x14ac:dyDescent="0.25">
      <c r="B110" s="67">
        <v>45228</v>
      </c>
      <c r="C110" s="66">
        <v>8522.6</v>
      </c>
      <c r="D110" s="32">
        <f t="shared" si="2"/>
        <v>-2.1610979410734865E-2</v>
      </c>
      <c r="F110" s="68">
        <v>19230.599999999999</v>
      </c>
      <c r="G110" s="32">
        <f t="shared" si="3"/>
        <v>-1.0025559385030358E-2</v>
      </c>
    </row>
    <row r="111" spans="2:7" x14ac:dyDescent="0.25">
      <c r="B111" s="67">
        <v>45221</v>
      </c>
      <c r="C111" s="66">
        <v>8210.15</v>
      </c>
      <c r="D111" s="32">
        <f t="shared" si="2"/>
        <v>-3.6661347476122375E-2</v>
      </c>
      <c r="F111" s="68">
        <v>19047.25</v>
      </c>
      <c r="G111" s="32">
        <f t="shared" si="3"/>
        <v>-9.5342839016983039E-3</v>
      </c>
    </row>
    <row r="112" spans="2:7" x14ac:dyDescent="0.25">
      <c r="B112" s="67">
        <v>45214</v>
      </c>
      <c r="C112" s="66">
        <v>8461.0499999999993</v>
      </c>
      <c r="D112" s="32">
        <f t="shared" si="2"/>
        <v>3.0559733987807647E-2</v>
      </c>
      <c r="F112" s="68">
        <v>19542.650000000001</v>
      </c>
      <c r="G112" s="32">
        <f t="shared" si="3"/>
        <v>2.6009003924451157E-2</v>
      </c>
    </row>
    <row r="113" spans="2:7" x14ac:dyDescent="0.25">
      <c r="B113" s="67">
        <v>45207</v>
      </c>
      <c r="C113" s="66">
        <v>8369</v>
      </c>
      <c r="D113" s="32">
        <f t="shared" si="2"/>
        <v>-1.0879264393898969E-2</v>
      </c>
      <c r="F113" s="68">
        <v>19751.05</v>
      </c>
      <c r="G113" s="32">
        <f t="shared" si="3"/>
        <v>1.0663855720692839E-2</v>
      </c>
    </row>
    <row r="114" spans="2:7" x14ac:dyDescent="0.25">
      <c r="C114" s="66"/>
    </row>
  </sheetData>
  <mergeCells count="3">
    <mergeCell ref="B7:D7"/>
    <mergeCell ref="F7:G7"/>
    <mergeCell ref="I7:J7"/>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BD739-2F91-4D2E-9A81-4109A7BE6CA5}">
  <sheetPr>
    <tabColor rgb="FF002060"/>
  </sheetPr>
  <dimension ref="B2:M86"/>
  <sheetViews>
    <sheetView showGridLines="0" zoomScale="80" zoomScaleNormal="80" workbookViewId="0">
      <pane ySplit="2" topLeftCell="A3" activePane="bottomLeft" state="frozen"/>
      <selection pane="bottomLeft" activeCell="H13" sqref="H13"/>
    </sheetView>
  </sheetViews>
  <sheetFormatPr defaultRowHeight="15" outlineLevelRow="1" x14ac:dyDescent="0.25"/>
  <cols>
    <col min="1" max="1" width="1.85546875" customWidth="1"/>
    <col min="2" max="2" width="29.140625" bestFit="1" customWidth="1"/>
    <col min="3" max="4" width="12.140625" bestFit="1" customWidth="1"/>
    <col min="5" max="6" width="13" bestFit="1" customWidth="1"/>
    <col min="7" max="7" width="12.140625" bestFit="1" customWidth="1"/>
    <col min="8" max="9" width="13" bestFit="1" customWidth="1"/>
    <col min="10" max="10" width="12.140625" bestFit="1" customWidth="1"/>
    <col min="11" max="12" width="13" bestFit="1" customWidth="1"/>
  </cols>
  <sheetData>
    <row r="2" spans="2:12" x14ac:dyDescent="0.25">
      <c r="B2" s="117" t="s">
        <v>263</v>
      </c>
      <c r="C2" s="120">
        <v>42430</v>
      </c>
      <c r="D2" s="120">
        <v>42795</v>
      </c>
      <c r="E2" s="120">
        <v>43160</v>
      </c>
      <c r="F2" s="120">
        <v>43525</v>
      </c>
      <c r="G2" s="120">
        <v>43891</v>
      </c>
      <c r="H2" s="120">
        <v>44256</v>
      </c>
      <c r="I2" s="120">
        <v>44621</v>
      </c>
      <c r="J2" s="120">
        <v>44986</v>
      </c>
      <c r="K2" s="120">
        <v>45352</v>
      </c>
      <c r="L2" s="120">
        <v>45717</v>
      </c>
    </row>
    <row r="3" spans="2:12" x14ac:dyDescent="0.25">
      <c r="B3" s="121" t="s">
        <v>55</v>
      </c>
      <c r="C3" s="122"/>
      <c r="D3" s="122"/>
      <c r="E3" s="122"/>
      <c r="F3" s="122"/>
      <c r="G3" s="122"/>
      <c r="H3" s="122"/>
      <c r="I3" s="122"/>
      <c r="J3" s="122"/>
      <c r="K3" s="122"/>
      <c r="L3" s="122"/>
    </row>
    <row r="4" spans="2:12" outlineLevel="1" x14ac:dyDescent="0.25">
      <c r="B4" s="20" t="s">
        <v>1</v>
      </c>
      <c r="C4" s="142">
        <v>25153</v>
      </c>
      <c r="D4" s="142">
        <v>25375</v>
      </c>
      <c r="E4" s="142">
        <v>30979</v>
      </c>
      <c r="F4" s="142">
        <v>41462</v>
      </c>
      <c r="G4" s="142">
        <v>42430</v>
      </c>
      <c r="H4" s="142">
        <v>44726</v>
      </c>
      <c r="I4" s="142">
        <v>52599</v>
      </c>
      <c r="J4" s="142">
        <v>63240</v>
      </c>
      <c r="K4" s="142">
        <v>70908</v>
      </c>
      <c r="L4" s="142">
        <v>75955</v>
      </c>
    </row>
    <row r="5" spans="2:12" outlineLevel="1" x14ac:dyDescent="0.25">
      <c r="B5" s="20" t="s">
        <v>2</v>
      </c>
      <c r="C5" s="142">
        <v>20252</v>
      </c>
      <c r="D5" s="142">
        <v>20162</v>
      </c>
      <c r="E5" s="142">
        <v>24834</v>
      </c>
      <c r="F5" s="142">
        <v>34115</v>
      </c>
      <c r="G5" s="142">
        <v>33184</v>
      </c>
      <c r="H5" s="142">
        <v>33158</v>
      </c>
      <c r="I5" s="142">
        <v>41084</v>
      </c>
      <c r="J5" s="142">
        <v>52620</v>
      </c>
      <c r="K5" s="142">
        <v>57930</v>
      </c>
      <c r="L5" s="142">
        <v>63158</v>
      </c>
    </row>
    <row r="6" spans="2:12" outlineLevel="1" x14ac:dyDescent="0.25">
      <c r="B6" s="119" t="s">
        <v>3</v>
      </c>
      <c r="C6" s="143">
        <v>4901</v>
      </c>
      <c r="D6" s="143">
        <v>5212</v>
      </c>
      <c r="E6" s="143">
        <v>6145</v>
      </c>
      <c r="F6" s="143">
        <v>7347</v>
      </c>
      <c r="G6" s="143">
        <v>9246</v>
      </c>
      <c r="H6" s="143">
        <v>11568</v>
      </c>
      <c r="I6" s="143">
        <v>11514</v>
      </c>
      <c r="J6" s="143">
        <v>10620</v>
      </c>
      <c r="K6" s="143">
        <v>12979</v>
      </c>
      <c r="L6" s="143">
        <v>12797</v>
      </c>
    </row>
    <row r="7" spans="2:12" outlineLevel="1" x14ac:dyDescent="0.25">
      <c r="B7" s="27"/>
      <c r="C7" s="144"/>
      <c r="D7" s="144"/>
      <c r="E7" s="144"/>
      <c r="F7" s="144"/>
      <c r="G7" s="144"/>
      <c r="H7" s="144"/>
      <c r="I7" s="144"/>
      <c r="J7" s="144"/>
      <c r="K7" s="144"/>
      <c r="L7" s="144"/>
    </row>
    <row r="8" spans="2:12" outlineLevel="1" x14ac:dyDescent="0.25">
      <c r="B8" s="19" t="s">
        <v>236</v>
      </c>
      <c r="C8" s="145">
        <v>464</v>
      </c>
      <c r="D8" s="145">
        <v>648</v>
      </c>
      <c r="E8" s="145">
        <v>242</v>
      </c>
      <c r="F8" s="145">
        <v>350</v>
      </c>
      <c r="G8" s="145">
        <v>651</v>
      </c>
      <c r="H8" s="145">
        <v>619</v>
      </c>
      <c r="I8" s="145">
        <v>669</v>
      </c>
      <c r="J8" s="145">
        <v>507</v>
      </c>
      <c r="K8" s="145">
        <v>557</v>
      </c>
      <c r="L8" s="145">
        <v>397</v>
      </c>
    </row>
    <row r="9" spans="2:12" outlineLevel="1" x14ac:dyDescent="0.25">
      <c r="B9" s="123" t="s">
        <v>234</v>
      </c>
      <c r="C9" s="146">
        <v>63</v>
      </c>
      <c r="D9" s="146">
        <v>68</v>
      </c>
      <c r="E9" s="146">
        <v>-232</v>
      </c>
      <c r="F9" s="146">
        <v>8</v>
      </c>
      <c r="G9" s="146">
        <v>82</v>
      </c>
      <c r="H9" s="146">
        <v>40</v>
      </c>
      <c r="I9" s="146">
        <v>350</v>
      </c>
      <c r="J9" s="146">
        <v>32</v>
      </c>
      <c r="K9" s="146">
        <v>17</v>
      </c>
      <c r="L9" s="146">
        <v>-57</v>
      </c>
    </row>
    <row r="10" spans="2:12" outlineLevel="1" x14ac:dyDescent="0.25">
      <c r="B10" s="123" t="s">
        <v>235</v>
      </c>
      <c r="C10" s="146">
        <v>401</v>
      </c>
      <c r="D10" s="146">
        <v>580</v>
      </c>
      <c r="E10" s="146">
        <v>474</v>
      </c>
      <c r="F10" s="146">
        <v>342</v>
      </c>
      <c r="G10" s="146">
        <v>569</v>
      </c>
      <c r="H10" s="146">
        <v>578</v>
      </c>
      <c r="I10" s="146">
        <v>320</v>
      </c>
      <c r="J10" s="146">
        <v>475</v>
      </c>
      <c r="K10" s="146">
        <v>540</v>
      </c>
      <c r="L10" s="146">
        <v>454</v>
      </c>
    </row>
    <row r="11" spans="2:12" outlineLevel="1" x14ac:dyDescent="0.25">
      <c r="B11" s="123" t="s">
        <v>6</v>
      </c>
      <c r="C11" s="146">
        <v>566</v>
      </c>
      <c r="D11" s="146">
        <v>640</v>
      </c>
      <c r="E11" s="146">
        <v>1238</v>
      </c>
      <c r="F11" s="146">
        <v>1778</v>
      </c>
      <c r="G11" s="146">
        <v>1992</v>
      </c>
      <c r="H11" s="146">
        <v>1486</v>
      </c>
      <c r="I11" s="146">
        <v>945</v>
      </c>
      <c r="J11" s="146">
        <v>823</v>
      </c>
      <c r="K11" s="146">
        <v>968</v>
      </c>
      <c r="L11" s="146">
        <v>1651</v>
      </c>
    </row>
    <row r="12" spans="2:12" outlineLevel="1" x14ac:dyDescent="0.25">
      <c r="B12" s="123" t="s">
        <v>5</v>
      </c>
      <c r="C12" s="146">
        <v>1377</v>
      </c>
      <c r="D12" s="146">
        <v>1348</v>
      </c>
      <c r="E12" s="146">
        <v>1848</v>
      </c>
      <c r="F12" s="146">
        <v>2451</v>
      </c>
      <c r="G12" s="146">
        <v>2723</v>
      </c>
      <c r="H12" s="146">
        <v>2700</v>
      </c>
      <c r="I12" s="146">
        <v>2715</v>
      </c>
      <c r="J12" s="146">
        <v>2888</v>
      </c>
      <c r="K12" s="146">
        <v>3145</v>
      </c>
      <c r="L12" s="146">
        <v>4015</v>
      </c>
    </row>
    <row r="13" spans="2:12" outlineLevel="1" x14ac:dyDescent="0.25">
      <c r="B13" s="119" t="s">
        <v>7</v>
      </c>
      <c r="C13" s="143">
        <v>3421</v>
      </c>
      <c r="D13" s="143">
        <v>3872</v>
      </c>
      <c r="E13" s="143">
        <v>3301</v>
      </c>
      <c r="F13" s="143">
        <v>3468</v>
      </c>
      <c r="G13" s="143">
        <v>5183</v>
      </c>
      <c r="H13" s="143">
        <v>8001</v>
      </c>
      <c r="I13" s="143">
        <v>8524</v>
      </c>
      <c r="J13" s="143">
        <v>7416</v>
      </c>
      <c r="K13" s="143">
        <v>9422</v>
      </c>
      <c r="L13" s="143">
        <v>7528</v>
      </c>
    </row>
    <row r="14" spans="2:12" outlineLevel="1" x14ac:dyDescent="0.25">
      <c r="B14" s="69"/>
      <c r="C14" s="147"/>
      <c r="D14" s="147"/>
      <c r="E14" s="147"/>
      <c r="F14" s="147"/>
      <c r="G14" s="147"/>
      <c r="H14" s="147"/>
      <c r="I14" s="147"/>
      <c r="J14" s="147"/>
      <c r="K14" s="147"/>
      <c r="L14" s="147"/>
    </row>
    <row r="15" spans="2:12" outlineLevel="1" x14ac:dyDescent="0.25">
      <c r="B15" t="s">
        <v>233</v>
      </c>
      <c r="C15" s="148">
        <v>0.28000000000000003</v>
      </c>
      <c r="D15" s="148">
        <v>0.3</v>
      </c>
      <c r="E15" s="148">
        <v>0.33</v>
      </c>
      <c r="F15" s="148">
        <v>0.31</v>
      </c>
      <c r="G15" s="148">
        <v>-0.11</v>
      </c>
      <c r="H15" s="148">
        <v>0.32</v>
      </c>
      <c r="I15" s="148">
        <v>0.14000000000000001</v>
      </c>
      <c r="J15" s="148">
        <v>0.32</v>
      </c>
      <c r="K15" s="148">
        <v>0.26</v>
      </c>
      <c r="L15" s="148">
        <v>0.2</v>
      </c>
    </row>
    <row r="16" spans="2:12" x14ac:dyDescent="0.25">
      <c r="B16" s="119" t="s">
        <v>63</v>
      </c>
      <c r="C16" s="143">
        <v>2480</v>
      </c>
      <c r="D16" s="143">
        <v>2714</v>
      </c>
      <c r="E16" s="143">
        <v>2224</v>
      </c>
      <c r="F16" s="143">
        <v>2400</v>
      </c>
      <c r="G16" s="143">
        <v>5751</v>
      </c>
      <c r="H16" s="143">
        <v>5462</v>
      </c>
      <c r="I16" s="143">
        <v>7334</v>
      </c>
      <c r="J16" s="143">
        <v>5073</v>
      </c>
      <c r="K16" s="143">
        <v>7004</v>
      </c>
      <c r="L16" s="143">
        <v>6040</v>
      </c>
    </row>
    <row r="17" spans="2:13" x14ac:dyDescent="0.25">
      <c r="B17" s="20"/>
      <c r="C17" s="148"/>
      <c r="D17" s="148"/>
      <c r="E17" s="148"/>
      <c r="F17" s="148"/>
      <c r="G17" s="148"/>
      <c r="H17" s="148"/>
      <c r="I17" s="148"/>
      <c r="J17" s="148"/>
      <c r="K17" s="148"/>
      <c r="L17" s="148"/>
    </row>
    <row r="18" spans="2:13" x14ac:dyDescent="0.25">
      <c r="B18" s="121" t="s">
        <v>68</v>
      </c>
      <c r="C18" s="149"/>
      <c r="D18" s="149"/>
      <c r="E18" s="149"/>
      <c r="F18" s="149"/>
      <c r="G18" s="149"/>
      <c r="H18" s="149"/>
      <c r="I18" s="149"/>
      <c r="J18" s="149"/>
      <c r="K18" s="149"/>
      <c r="L18" s="149"/>
      <c r="M18" s="118"/>
    </row>
    <row r="19" spans="2:13" outlineLevel="1" x14ac:dyDescent="0.25">
      <c r="B19" s="20" t="s">
        <v>237</v>
      </c>
      <c r="C19" s="142">
        <v>274</v>
      </c>
      <c r="D19" s="142">
        <v>275</v>
      </c>
      <c r="E19" s="142">
        <v>275</v>
      </c>
      <c r="F19" s="142">
        <v>275</v>
      </c>
      <c r="G19" s="142">
        <v>289</v>
      </c>
      <c r="H19" s="142">
        <v>289</v>
      </c>
      <c r="I19" s="142">
        <v>289</v>
      </c>
      <c r="J19" s="142">
        <v>289</v>
      </c>
      <c r="K19" s="142">
        <v>289</v>
      </c>
      <c r="L19" s="142">
        <v>295</v>
      </c>
    </row>
    <row r="20" spans="2:13" outlineLevel="1" x14ac:dyDescent="0.25">
      <c r="B20" s="20" t="s">
        <v>11</v>
      </c>
      <c r="C20" s="142">
        <v>21671</v>
      </c>
      <c r="D20" s="142">
        <v>24117</v>
      </c>
      <c r="E20" s="142">
        <v>26107</v>
      </c>
      <c r="F20" s="142">
        <v>33476</v>
      </c>
      <c r="G20" s="142">
        <v>38755</v>
      </c>
      <c r="H20" s="142">
        <v>43886</v>
      </c>
      <c r="I20" s="142">
        <v>50147</v>
      </c>
      <c r="J20" s="142">
        <v>54036</v>
      </c>
      <c r="K20" s="142">
        <v>59939</v>
      </c>
      <c r="L20" s="142">
        <v>70412</v>
      </c>
      <c r="M20" s="114"/>
    </row>
    <row r="21" spans="2:13" outlineLevel="1" x14ac:dyDescent="0.25">
      <c r="B21" s="20" t="s">
        <v>35</v>
      </c>
      <c r="C21" s="142">
        <v>10616</v>
      </c>
      <c r="D21" s="142">
        <v>8474</v>
      </c>
      <c r="E21" s="142">
        <v>19480</v>
      </c>
      <c r="F21" s="142">
        <v>25337</v>
      </c>
      <c r="G21" s="142">
        <v>23019</v>
      </c>
      <c r="H21" s="142">
        <v>21719</v>
      </c>
      <c r="I21" s="142">
        <v>11299</v>
      </c>
      <c r="J21" s="142">
        <v>11058</v>
      </c>
      <c r="K21" s="142">
        <v>11403</v>
      </c>
      <c r="L21" s="142">
        <v>24102</v>
      </c>
      <c r="M21" s="114"/>
    </row>
    <row r="22" spans="2:13" outlineLevel="1" x14ac:dyDescent="0.25">
      <c r="B22" s="245" t="s">
        <v>238</v>
      </c>
      <c r="C22" s="246">
        <v>4897</v>
      </c>
      <c r="D22" s="246">
        <v>6371</v>
      </c>
      <c r="E22" s="246">
        <v>15863</v>
      </c>
      <c r="F22" s="246">
        <v>20650</v>
      </c>
      <c r="G22" s="246">
        <v>17368</v>
      </c>
      <c r="H22" s="246">
        <v>13548</v>
      </c>
      <c r="I22" s="246">
        <v>5303</v>
      </c>
      <c r="J22" s="246">
        <v>5356</v>
      </c>
      <c r="K22" s="246">
        <v>5308</v>
      </c>
      <c r="L22" s="246">
        <v>15781</v>
      </c>
      <c r="M22" s="114"/>
    </row>
    <row r="23" spans="2:13" outlineLevel="1" x14ac:dyDescent="0.25">
      <c r="B23" s="245" t="s">
        <v>239</v>
      </c>
      <c r="C23" s="246">
        <v>2476</v>
      </c>
      <c r="D23" s="246">
        <v>1079</v>
      </c>
      <c r="E23" s="246">
        <v>2763</v>
      </c>
      <c r="F23" s="246">
        <v>3668</v>
      </c>
      <c r="G23" s="246">
        <v>4106</v>
      </c>
      <c r="H23" s="246">
        <v>6939</v>
      </c>
      <c r="I23" s="246">
        <v>4900</v>
      </c>
      <c r="J23" s="246">
        <v>4544</v>
      </c>
      <c r="K23" s="246">
        <v>4991</v>
      </c>
      <c r="L23" s="246">
        <v>7250</v>
      </c>
      <c r="M23" s="114"/>
    </row>
    <row r="24" spans="2:13" outlineLevel="1" x14ac:dyDescent="0.25">
      <c r="B24" s="245" t="s">
        <v>240</v>
      </c>
      <c r="C24" s="246">
        <v>0</v>
      </c>
      <c r="D24" s="246">
        <v>0</v>
      </c>
      <c r="E24" s="246">
        <v>0</v>
      </c>
      <c r="F24" s="246">
        <v>0</v>
      </c>
      <c r="G24" s="246">
        <v>0</v>
      </c>
      <c r="H24" s="246">
        <v>1232</v>
      </c>
      <c r="I24" s="246">
        <v>1096</v>
      </c>
      <c r="J24" s="246">
        <v>1157</v>
      </c>
      <c r="K24" s="246">
        <v>1105</v>
      </c>
      <c r="L24" s="246">
        <v>1071</v>
      </c>
    </row>
    <row r="25" spans="2:13" outlineLevel="1" x14ac:dyDescent="0.25">
      <c r="B25" s="245" t="s">
        <v>241</v>
      </c>
      <c r="C25" s="246">
        <v>3244</v>
      </c>
      <c r="D25" s="246">
        <v>1024</v>
      </c>
      <c r="E25" s="246">
        <v>853</v>
      </c>
      <c r="F25" s="246">
        <v>1018</v>
      </c>
      <c r="G25" s="246">
        <v>1545</v>
      </c>
      <c r="H25" s="246">
        <v>0</v>
      </c>
      <c r="I25" s="246">
        <v>0</v>
      </c>
      <c r="J25" s="246">
        <v>0</v>
      </c>
      <c r="K25" s="246">
        <v>0</v>
      </c>
      <c r="L25" s="246">
        <v>0</v>
      </c>
    </row>
    <row r="26" spans="2:13" outlineLevel="1" x14ac:dyDescent="0.25">
      <c r="B26" s="20" t="s">
        <v>36</v>
      </c>
      <c r="C26" s="142">
        <v>8631</v>
      </c>
      <c r="D26" s="142">
        <v>9343</v>
      </c>
      <c r="E26" s="142">
        <v>11280</v>
      </c>
      <c r="F26" s="142">
        <v>17438</v>
      </c>
      <c r="G26" s="142">
        <v>17151</v>
      </c>
      <c r="H26" s="142">
        <v>20282</v>
      </c>
      <c r="I26" s="142">
        <v>22077</v>
      </c>
      <c r="J26" s="142">
        <v>25998</v>
      </c>
      <c r="K26" s="142">
        <v>29167</v>
      </c>
      <c r="L26" s="142">
        <v>38823</v>
      </c>
      <c r="M26" s="114"/>
    </row>
    <row r="27" spans="2:13" outlineLevel="1" x14ac:dyDescent="0.25">
      <c r="B27" s="245" t="s">
        <v>242</v>
      </c>
      <c r="C27" s="246">
        <v>15</v>
      </c>
      <c r="D27" s="246">
        <v>10</v>
      </c>
      <c r="E27" s="246">
        <v>16</v>
      </c>
      <c r="F27" s="246">
        <v>12</v>
      </c>
      <c r="G27" s="246">
        <v>8</v>
      </c>
      <c r="H27" s="246">
        <v>6</v>
      </c>
      <c r="I27" s="246">
        <v>-3</v>
      </c>
      <c r="J27" s="246">
        <v>56</v>
      </c>
      <c r="K27" s="246">
        <v>56</v>
      </c>
      <c r="L27" s="246">
        <v>3187</v>
      </c>
      <c r="M27" s="114"/>
    </row>
    <row r="28" spans="2:13" outlineLevel="1" x14ac:dyDescent="0.25">
      <c r="B28" s="245" t="s">
        <v>243</v>
      </c>
      <c r="C28" s="246">
        <v>1717</v>
      </c>
      <c r="D28" s="246">
        <v>1849</v>
      </c>
      <c r="E28" s="246">
        <v>2385</v>
      </c>
      <c r="F28" s="246">
        <v>3160</v>
      </c>
      <c r="G28" s="246">
        <v>3363</v>
      </c>
      <c r="H28" s="246">
        <v>4548</v>
      </c>
      <c r="I28" s="246">
        <v>5863</v>
      </c>
      <c r="J28" s="246">
        <v>7209</v>
      </c>
      <c r="K28" s="246">
        <v>8478</v>
      </c>
      <c r="L28" s="246">
        <v>9327</v>
      </c>
      <c r="M28" s="114"/>
    </row>
    <row r="29" spans="2:13" outlineLevel="1" x14ac:dyDescent="0.25">
      <c r="B29" s="245" t="s">
        <v>244</v>
      </c>
      <c r="C29" s="246">
        <v>166</v>
      </c>
      <c r="D29" s="246">
        <v>196</v>
      </c>
      <c r="E29" s="246">
        <v>305</v>
      </c>
      <c r="F29" s="246">
        <v>357</v>
      </c>
      <c r="G29" s="246">
        <v>464</v>
      </c>
      <c r="H29" s="246">
        <v>415</v>
      </c>
      <c r="I29" s="246">
        <v>465</v>
      </c>
      <c r="J29" s="246">
        <v>384</v>
      </c>
      <c r="K29" s="246">
        <v>527</v>
      </c>
      <c r="L29" s="246">
        <v>541</v>
      </c>
    </row>
    <row r="30" spans="2:13" outlineLevel="1" x14ac:dyDescent="0.25">
      <c r="B30" s="245" t="s">
        <v>245</v>
      </c>
      <c r="C30" s="246">
        <v>6733</v>
      </c>
      <c r="D30" s="246">
        <v>7288</v>
      </c>
      <c r="E30" s="246">
        <v>8574</v>
      </c>
      <c r="F30" s="246">
        <v>13909</v>
      </c>
      <c r="G30" s="246">
        <v>13316</v>
      </c>
      <c r="H30" s="246">
        <v>15313</v>
      </c>
      <c r="I30" s="246">
        <v>15753</v>
      </c>
      <c r="J30" s="246">
        <v>18349</v>
      </c>
      <c r="K30" s="246">
        <v>20106</v>
      </c>
      <c r="L30" s="246">
        <v>25768</v>
      </c>
      <c r="M30" s="114"/>
    </row>
    <row r="31" spans="2:13" x14ac:dyDescent="0.25">
      <c r="B31" s="119" t="s">
        <v>103</v>
      </c>
      <c r="C31" s="143">
        <v>41193</v>
      </c>
      <c r="D31" s="143">
        <v>42209</v>
      </c>
      <c r="E31" s="143">
        <v>57141</v>
      </c>
      <c r="F31" s="143">
        <v>76525</v>
      </c>
      <c r="G31" s="143">
        <v>79214</v>
      </c>
      <c r="H31" s="143">
        <v>86176</v>
      </c>
      <c r="I31" s="143">
        <v>83811</v>
      </c>
      <c r="J31" s="143">
        <v>91380</v>
      </c>
      <c r="K31" s="143">
        <v>100797</v>
      </c>
      <c r="L31" s="143">
        <v>133632</v>
      </c>
      <c r="M31" s="114"/>
    </row>
    <row r="32" spans="2:13" x14ac:dyDescent="0.25">
      <c r="B32" s="69"/>
      <c r="C32" s="147"/>
      <c r="D32" s="147"/>
      <c r="E32" s="147"/>
      <c r="F32" s="147"/>
      <c r="G32" s="147"/>
      <c r="H32" s="147"/>
      <c r="I32" s="147"/>
      <c r="J32" s="147"/>
      <c r="K32" s="147"/>
      <c r="L32" s="147"/>
      <c r="M32" s="114"/>
    </row>
    <row r="33" spans="2:13" outlineLevel="1" x14ac:dyDescent="0.25">
      <c r="B33" s="20" t="s">
        <v>264</v>
      </c>
      <c r="C33" s="142">
        <v>25309</v>
      </c>
      <c r="D33" s="142">
        <v>25904</v>
      </c>
      <c r="E33" s="142">
        <v>39715</v>
      </c>
      <c r="F33" s="142">
        <v>56645</v>
      </c>
      <c r="G33" s="142">
        <v>57151</v>
      </c>
      <c r="H33" s="142">
        <v>55412</v>
      </c>
      <c r="I33" s="142">
        <v>55488</v>
      </c>
      <c r="J33" s="142">
        <v>59579</v>
      </c>
      <c r="K33" s="142">
        <v>62878</v>
      </c>
      <c r="L33" s="142">
        <v>94564</v>
      </c>
      <c r="M33" s="114"/>
    </row>
    <row r="34" spans="2:13" outlineLevel="1" x14ac:dyDescent="0.25">
      <c r="B34" s="245" t="s">
        <v>246</v>
      </c>
      <c r="C34" s="246">
        <v>3627</v>
      </c>
      <c r="D34" s="246">
        <v>3785</v>
      </c>
      <c r="E34" s="246">
        <v>6361</v>
      </c>
      <c r="F34" s="246">
        <v>7492</v>
      </c>
      <c r="G34" s="246">
        <v>7943</v>
      </c>
      <c r="H34" s="246">
        <v>8085</v>
      </c>
      <c r="I34" s="246">
        <v>8454</v>
      </c>
      <c r="J34" s="246">
        <v>8709</v>
      </c>
      <c r="K34" s="246">
        <v>9259</v>
      </c>
      <c r="L34" s="246">
        <v>19872</v>
      </c>
    </row>
    <row r="35" spans="2:13" outlineLevel="1" x14ac:dyDescent="0.25">
      <c r="B35" s="245" t="s">
        <v>247</v>
      </c>
      <c r="C35" s="246">
        <v>2469</v>
      </c>
      <c r="D35" s="246">
        <v>2766</v>
      </c>
      <c r="E35" s="246">
        <v>4346</v>
      </c>
      <c r="F35" s="246">
        <v>5130</v>
      </c>
      <c r="G35" s="246">
        <v>5511</v>
      </c>
      <c r="H35" s="246">
        <v>5606</v>
      </c>
      <c r="I35" s="246">
        <v>5831</v>
      </c>
      <c r="J35" s="246">
        <v>6287</v>
      </c>
      <c r="K35" s="246">
        <v>6772</v>
      </c>
      <c r="L35" s="246">
        <v>9361</v>
      </c>
    </row>
    <row r="36" spans="2:13" outlineLevel="1" x14ac:dyDescent="0.25">
      <c r="B36" s="245" t="s">
        <v>248</v>
      </c>
      <c r="C36" s="246">
        <v>18452</v>
      </c>
      <c r="D36" s="246">
        <v>19713</v>
      </c>
      <c r="E36" s="246">
        <v>28048</v>
      </c>
      <c r="F36" s="246">
        <v>36920</v>
      </c>
      <c r="G36" s="246">
        <v>38369</v>
      </c>
      <c r="H36" s="246">
        <v>38655</v>
      </c>
      <c r="I36" s="246">
        <v>40604</v>
      </c>
      <c r="J36" s="246">
        <v>46270</v>
      </c>
      <c r="K36" s="246">
        <v>51343</v>
      </c>
      <c r="L36" s="246">
        <v>67010</v>
      </c>
    </row>
    <row r="37" spans="2:13" outlineLevel="1" x14ac:dyDescent="0.25">
      <c r="B37" s="245" t="s">
        <v>249</v>
      </c>
      <c r="C37" s="246">
        <v>0</v>
      </c>
      <c r="D37" s="246">
        <v>0</v>
      </c>
      <c r="E37" s="246">
        <v>0</v>
      </c>
      <c r="F37" s="246">
        <v>0</v>
      </c>
      <c r="G37" s="246">
        <v>717</v>
      </c>
      <c r="H37" s="246">
        <v>830</v>
      </c>
      <c r="I37" s="246">
        <v>719</v>
      </c>
      <c r="J37" s="246">
        <v>793</v>
      </c>
      <c r="K37" s="246">
        <v>801</v>
      </c>
      <c r="L37" s="246">
        <v>792</v>
      </c>
    </row>
    <row r="38" spans="2:13" outlineLevel="1" x14ac:dyDescent="0.25">
      <c r="B38" s="245" t="s">
        <v>250</v>
      </c>
      <c r="C38" s="246">
        <v>99</v>
      </c>
      <c r="D38" s="246">
        <v>115</v>
      </c>
      <c r="E38" s="246">
        <v>150</v>
      </c>
      <c r="F38" s="246">
        <v>208</v>
      </c>
      <c r="G38" s="246">
        <v>265</v>
      </c>
      <c r="H38" s="246">
        <v>289</v>
      </c>
      <c r="I38" s="246">
        <v>336</v>
      </c>
      <c r="J38" s="246">
        <v>387</v>
      </c>
      <c r="K38" s="246">
        <v>466</v>
      </c>
      <c r="L38" s="246">
        <v>555</v>
      </c>
    </row>
    <row r="39" spans="2:13" outlineLevel="1" x14ac:dyDescent="0.25">
      <c r="B39" s="245" t="s">
        <v>251</v>
      </c>
      <c r="C39" s="246">
        <v>57</v>
      </c>
      <c r="D39" s="246">
        <v>71</v>
      </c>
      <c r="E39" s="246">
        <v>80</v>
      </c>
      <c r="F39" s="246">
        <v>106</v>
      </c>
      <c r="G39" s="246">
        <v>112</v>
      </c>
      <c r="H39" s="246">
        <v>111</v>
      </c>
      <c r="I39" s="246">
        <v>114</v>
      </c>
      <c r="J39" s="246">
        <v>122</v>
      </c>
      <c r="K39" s="246">
        <v>154</v>
      </c>
      <c r="L39" s="246">
        <v>219</v>
      </c>
    </row>
    <row r="40" spans="2:13" outlineLevel="1" x14ac:dyDescent="0.25">
      <c r="B40" s="245" t="s">
        <v>252</v>
      </c>
      <c r="C40" s="246">
        <v>399</v>
      </c>
      <c r="D40" s="246">
        <v>444</v>
      </c>
      <c r="E40" s="246">
        <v>653</v>
      </c>
      <c r="F40" s="246">
        <v>890</v>
      </c>
      <c r="G40" s="246">
        <v>906</v>
      </c>
      <c r="H40" s="246">
        <v>959</v>
      </c>
      <c r="I40" s="246">
        <v>989</v>
      </c>
      <c r="J40" s="246">
        <v>1008</v>
      </c>
      <c r="K40" s="246">
        <v>1088</v>
      </c>
      <c r="L40" s="246">
        <v>1305</v>
      </c>
    </row>
    <row r="41" spans="2:13" outlineLevel="1" x14ac:dyDescent="0.25">
      <c r="B41" s="245" t="s">
        <v>253</v>
      </c>
      <c r="C41" s="246">
        <v>46</v>
      </c>
      <c r="D41" s="246">
        <v>63</v>
      </c>
      <c r="E41" s="246">
        <v>91</v>
      </c>
      <c r="F41" s="246">
        <v>110</v>
      </c>
      <c r="G41" s="246">
        <v>122</v>
      </c>
      <c r="H41" s="246">
        <v>133</v>
      </c>
      <c r="I41" s="246">
        <v>163</v>
      </c>
      <c r="J41" s="246">
        <v>200</v>
      </c>
      <c r="K41" s="246">
        <v>260</v>
      </c>
      <c r="L41" s="246">
        <v>354</v>
      </c>
    </row>
    <row r="42" spans="2:13" outlineLevel="1" x14ac:dyDescent="0.25">
      <c r="B42" s="245" t="s">
        <v>254</v>
      </c>
      <c r="C42" s="246">
        <v>1287</v>
      </c>
      <c r="D42" s="246">
        <v>1329</v>
      </c>
      <c r="E42" s="246">
        <v>1280</v>
      </c>
      <c r="F42" s="246">
        <v>6626</v>
      </c>
      <c r="G42" s="246">
        <v>6680</v>
      </c>
      <c r="H42" s="246">
        <v>6375</v>
      </c>
      <c r="I42" s="246">
        <v>6405</v>
      </c>
      <c r="J42" s="246">
        <v>6484</v>
      </c>
      <c r="K42" s="246">
        <v>6501</v>
      </c>
      <c r="L42" s="246">
        <v>8108</v>
      </c>
      <c r="M42" s="114"/>
    </row>
    <row r="43" spans="2:13" outlineLevel="1" x14ac:dyDescent="0.25">
      <c r="B43" s="245" t="s">
        <v>255</v>
      </c>
      <c r="C43" s="246">
        <v>176</v>
      </c>
      <c r="D43" s="246">
        <v>213</v>
      </c>
      <c r="E43" s="246">
        <v>3073</v>
      </c>
      <c r="F43" s="246">
        <v>5899</v>
      </c>
      <c r="G43" s="246">
        <v>5927</v>
      </c>
      <c r="H43" s="246">
        <v>6289</v>
      </c>
      <c r="I43" s="246">
        <v>6387</v>
      </c>
      <c r="J43" s="246">
        <v>6695</v>
      </c>
      <c r="K43" s="246">
        <v>6637</v>
      </c>
      <c r="L43" s="246">
        <v>11055</v>
      </c>
    </row>
    <row r="44" spans="2:13" outlineLevel="1" x14ac:dyDescent="0.25">
      <c r="B44" s="119" t="s">
        <v>256</v>
      </c>
      <c r="C44" s="143">
        <v>26611</v>
      </c>
      <c r="D44" s="143">
        <v>28498</v>
      </c>
      <c r="E44" s="143">
        <v>44082</v>
      </c>
      <c r="F44" s="143">
        <v>63382</v>
      </c>
      <c r="G44" s="143">
        <v>66550</v>
      </c>
      <c r="H44" s="143">
        <v>67332</v>
      </c>
      <c r="I44" s="143">
        <v>70002</v>
      </c>
      <c r="J44" s="143">
        <v>76957</v>
      </c>
      <c r="K44" s="143">
        <v>83280</v>
      </c>
      <c r="L44" s="143">
        <v>118631</v>
      </c>
    </row>
    <row r="45" spans="2:13" outlineLevel="1" x14ac:dyDescent="0.25">
      <c r="B45" t="s">
        <v>257</v>
      </c>
      <c r="C45" s="148">
        <v>1302</v>
      </c>
      <c r="D45" s="148">
        <v>2594</v>
      </c>
      <c r="E45" s="148">
        <v>4366</v>
      </c>
      <c r="F45" s="148">
        <v>6737</v>
      </c>
      <c r="G45" s="148">
        <v>9399</v>
      </c>
      <c r="H45" s="148">
        <v>11921</v>
      </c>
      <c r="I45" s="148">
        <v>14514</v>
      </c>
      <c r="J45" s="148">
        <v>17378</v>
      </c>
      <c r="K45" s="148">
        <v>20403</v>
      </c>
      <c r="L45" s="148">
        <v>24067</v>
      </c>
    </row>
    <row r="46" spans="2:13" outlineLevel="1" x14ac:dyDescent="0.25">
      <c r="B46" t="s">
        <v>258</v>
      </c>
      <c r="C46" s="148">
        <v>1469</v>
      </c>
      <c r="D46" s="148">
        <v>921</v>
      </c>
      <c r="E46" s="148">
        <v>1511</v>
      </c>
      <c r="F46" s="148">
        <v>1153</v>
      </c>
      <c r="G46" s="148">
        <v>920</v>
      </c>
      <c r="H46" s="148">
        <v>1687</v>
      </c>
      <c r="I46" s="148">
        <v>4785</v>
      </c>
      <c r="J46" s="148">
        <v>4040</v>
      </c>
      <c r="K46" s="148">
        <v>6811</v>
      </c>
      <c r="L46" s="148">
        <v>6234</v>
      </c>
      <c r="M46" s="114"/>
    </row>
    <row r="47" spans="2:13" outlineLevel="1" x14ac:dyDescent="0.25">
      <c r="B47" t="s">
        <v>15</v>
      </c>
      <c r="C47" s="148">
        <v>5095</v>
      </c>
      <c r="D47" s="148">
        <v>6691</v>
      </c>
      <c r="E47" s="148">
        <v>5447</v>
      </c>
      <c r="F47" s="148">
        <v>2921</v>
      </c>
      <c r="G47" s="148">
        <v>5929</v>
      </c>
      <c r="H47" s="148">
        <v>12178</v>
      </c>
      <c r="I47" s="148">
        <v>6336</v>
      </c>
      <c r="J47" s="148">
        <v>7297</v>
      </c>
      <c r="K47" s="148">
        <v>8249</v>
      </c>
      <c r="L47" s="148">
        <v>5156</v>
      </c>
      <c r="M47" s="114"/>
    </row>
    <row r="48" spans="2:13" outlineLevel="1" x14ac:dyDescent="0.25">
      <c r="B48" t="s">
        <v>37</v>
      </c>
      <c r="C48" s="148">
        <v>9319</v>
      </c>
      <c r="D48" s="148">
        <v>8693</v>
      </c>
      <c r="E48" s="148">
        <v>10468</v>
      </c>
      <c r="F48" s="148">
        <v>15806</v>
      </c>
      <c r="G48" s="148">
        <v>15215</v>
      </c>
      <c r="H48" s="148">
        <v>16900</v>
      </c>
      <c r="I48" s="148">
        <v>17203</v>
      </c>
      <c r="J48" s="148">
        <v>20464</v>
      </c>
      <c r="K48" s="148">
        <v>22859</v>
      </c>
      <c r="L48" s="148">
        <v>27677</v>
      </c>
      <c r="M48" s="114"/>
    </row>
    <row r="49" spans="2:13" outlineLevel="1" x14ac:dyDescent="0.25">
      <c r="B49" s="245" t="s">
        <v>259</v>
      </c>
      <c r="C49" s="246">
        <v>2455</v>
      </c>
      <c r="D49" s="246">
        <v>2401</v>
      </c>
      <c r="E49" s="246">
        <v>3268</v>
      </c>
      <c r="F49" s="246">
        <v>4099</v>
      </c>
      <c r="G49" s="246">
        <v>4183</v>
      </c>
      <c r="H49" s="246">
        <v>4018</v>
      </c>
      <c r="I49" s="246">
        <v>5596</v>
      </c>
      <c r="J49" s="246">
        <v>6612</v>
      </c>
      <c r="K49" s="246">
        <v>8330</v>
      </c>
      <c r="L49" s="246">
        <v>9563</v>
      </c>
      <c r="M49" s="114"/>
    </row>
    <row r="50" spans="2:13" outlineLevel="1" x14ac:dyDescent="0.25">
      <c r="B50" s="245" t="s">
        <v>265</v>
      </c>
      <c r="C50" s="246">
        <v>1928</v>
      </c>
      <c r="D50" s="246">
        <v>1757</v>
      </c>
      <c r="E50" s="246">
        <v>2221</v>
      </c>
      <c r="F50" s="246">
        <v>2787</v>
      </c>
      <c r="G50" s="246">
        <v>2383</v>
      </c>
      <c r="H50" s="246">
        <v>2572</v>
      </c>
      <c r="I50" s="246">
        <v>3072</v>
      </c>
      <c r="J50" s="246">
        <v>3867</v>
      </c>
      <c r="K50" s="246">
        <v>4278</v>
      </c>
      <c r="L50" s="246">
        <v>5890</v>
      </c>
      <c r="M50" s="114"/>
    </row>
    <row r="51" spans="2:13" outlineLevel="1" x14ac:dyDescent="0.25">
      <c r="B51" s="245" t="s">
        <v>260</v>
      </c>
      <c r="C51" s="246">
        <v>2267</v>
      </c>
      <c r="D51" s="246">
        <v>2249</v>
      </c>
      <c r="E51" s="246">
        <v>219</v>
      </c>
      <c r="F51" s="246">
        <v>740</v>
      </c>
      <c r="G51" s="246">
        <v>540</v>
      </c>
      <c r="H51" s="246">
        <v>2008</v>
      </c>
      <c r="I51" s="246">
        <v>359</v>
      </c>
      <c r="J51" s="246">
        <v>1150</v>
      </c>
      <c r="K51" s="246">
        <v>783</v>
      </c>
      <c r="L51" s="246">
        <v>1673</v>
      </c>
      <c r="M51" s="114"/>
    </row>
    <row r="52" spans="2:13" outlineLevel="1" x14ac:dyDescent="0.25">
      <c r="B52" s="245" t="s">
        <v>261</v>
      </c>
      <c r="C52" s="246">
        <v>377</v>
      </c>
      <c r="D52" s="246">
        <v>519</v>
      </c>
      <c r="E52" s="246">
        <v>544</v>
      </c>
      <c r="F52" s="246">
        <v>750</v>
      </c>
      <c r="G52" s="246">
        <v>796</v>
      </c>
      <c r="H52" s="246">
        <v>660</v>
      </c>
      <c r="I52" s="246">
        <v>873</v>
      </c>
      <c r="J52" s="246">
        <v>951</v>
      </c>
      <c r="K52" s="246">
        <v>985</v>
      </c>
      <c r="L52" s="246">
        <v>1259</v>
      </c>
      <c r="M52" s="114"/>
    </row>
    <row r="53" spans="2:13" outlineLevel="1" x14ac:dyDescent="0.25">
      <c r="B53" s="245" t="s">
        <v>262</v>
      </c>
      <c r="C53" s="246">
        <v>2292</v>
      </c>
      <c r="D53" s="246">
        <v>1768</v>
      </c>
      <c r="E53" s="246">
        <v>4216</v>
      </c>
      <c r="F53" s="246">
        <v>7430</v>
      </c>
      <c r="G53" s="246">
        <v>7312</v>
      </c>
      <c r="H53" s="246">
        <v>7642</v>
      </c>
      <c r="I53" s="246">
        <v>7304</v>
      </c>
      <c r="J53" s="246">
        <v>7885</v>
      </c>
      <c r="K53" s="246">
        <v>8483</v>
      </c>
      <c r="L53" s="246">
        <v>9292</v>
      </c>
      <c r="M53" s="114"/>
    </row>
    <row r="54" spans="2:13" x14ac:dyDescent="0.25">
      <c r="B54" s="119" t="s">
        <v>75</v>
      </c>
      <c r="C54" s="143">
        <v>41193</v>
      </c>
      <c r="D54" s="143">
        <v>42209</v>
      </c>
      <c r="E54" s="143">
        <v>57141</v>
      </c>
      <c r="F54" s="143">
        <v>76525</v>
      </c>
      <c r="G54" s="143">
        <v>79214</v>
      </c>
      <c r="H54" s="143">
        <v>86176</v>
      </c>
      <c r="I54" s="143">
        <v>83811</v>
      </c>
      <c r="J54" s="143">
        <v>91380</v>
      </c>
      <c r="K54" s="143">
        <v>100797</v>
      </c>
      <c r="L54" s="143">
        <v>133632</v>
      </c>
      <c r="M54" s="114"/>
    </row>
    <row r="55" spans="2:13" x14ac:dyDescent="0.25">
      <c r="C55" s="148"/>
      <c r="D55" s="148"/>
      <c r="E55" s="148"/>
      <c r="F55" s="148"/>
      <c r="G55" s="148"/>
      <c r="H55" s="148"/>
      <c r="I55" s="148"/>
      <c r="J55" s="148"/>
      <c r="K55" s="148"/>
      <c r="L55" s="148"/>
    </row>
    <row r="56" spans="2:13" x14ac:dyDescent="0.25">
      <c r="B56" s="54" t="s">
        <v>17</v>
      </c>
      <c r="C56" s="150">
        <f>C57+C63+C64</f>
        <v>4525</v>
      </c>
      <c r="D56" s="150">
        <f t="shared" ref="D56:L56" si="0">D57+D63+D64</f>
        <v>5005</v>
      </c>
      <c r="E56" s="150">
        <f t="shared" si="0"/>
        <v>3888</v>
      </c>
      <c r="F56" s="150">
        <f t="shared" si="0"/>
        <v>5956</v>
      </c>
      <c r="G56" s="150">
        <f t="shared" si="0"/>
        <v>8973</v>
      </c>
      <c r="H56" s="150">
        <f t="shared" si="0"/>
        <v>12500</v>
      </c>
      <c r="I56" s="150">
        <f t="shared" si="0"/>
        <v>9283</v>
      </c>
      <c r="J56" s="150">
        <f t="shared" si="0"/>
        <v>9069</v>
      </c>
      <c r="K56" s="150">
        <f t="shared" si="0"/>
        <v>10897</v>
      </c>
      <c r="L56" s="150">
        <f t="shared" si="0"/>
        <v>10673</v>
      </c>
    </row>
    <row r="57" spans="2:13" outlineLevel="1" x14ac:dyDescent="0.25">
      <c r="B57" s="57" t="s">
        <v>127</v>
      </c>
      <c r="C57" s="145">
        <v>4948</v>
      </c>
      <c r="D57" s="145">
        <v>5220</v>
      </c>
      <c r="E57" s="145">
        <v>5986</v>
      </c>
      <c r="F57" s="145">
        <v>7362</v>
      </c>
      <c r="G57" s="145">
        <v>9348</v>
      </c>
      <c r="H57" s="145">
        <v>11465</v>
      </c>
      <c r="I57" s="145">
        <v>11311</v>
      </c>
      <c r="J57" s="145">
        <v>10530</v>
      </c>
      <c r="K57" s="145">
        <v>13029</v>
      </c>
      <c r="L57" s="145">
        <v>12645</v>
      </c>
    </row>
    <row r="58" spans="2:13" outlineLevel="1" x14ac:dyDescent="0.25">
      <c r="B58" s="58" t="s">
        <v>42</v>
      </c>
      <c r="C58" s="148">
        <v>-287</v>
      </c>
      <c r="D58" s="148">
        <v>156</v>
      </c>
      <c r="E58" s="148">
        <v>-454</v>
      </c>
      <c r="F58" s="148">
        <v>-279</v>
      </c>
      <c r="G58" s="148">
        <v>473</v>
      </c>
      <c r="H58" s="148">
        <v>-201</v>
      </c>
      <c r="I58" s="148">
        <v>-495</v>
      </c>
      <c r="J58" s="148">
        <v>-752</v>
      </c>
      <c r="K58" s="148">
        <v>-421</v>
      </c>
      <c r="L58" s="148">
        <v>-608</v>
      </c>
    </row>
    <row r="59" spans="2:13" outlineLevel="1" x14ac:dyDescent="0.25">
      <c r="B59" s="58" t="s">
        <v>29</v>
      </c>
      <c r="C59" s="148">
        <v>374</v>
      </c>
      <c r="D59" s="148">
        <v>54</v>
      </c>
      <c r="E59" s="148">
        <v>-623</v>
      </c>
      <c r="F59" s="148">
        <v>-15</v>
      </c>
      <c r="G59" s="148">
        <v>-64</v>
      </c>
      <c r="H59" s="148">
        <v>165</v>
      </c>
      <c r="I59" s="148">
        <v>-1579</v>
      </c>
      <c r="J59" s="148">
        <v>-992</v>
      </c>
      <c r="K59" s="148">
        <v>-1712</v>
      </c>
      <c r="L59" s="148">
        <v>-317</v>
      </c>
    </row>
    <row r="60" spans="2:13" outlineLevel="1" x14ac:dyDescent="0.25">
      <c r="B60" s="58" t="s">
        <v>128</v>
      </c>
      <c r="C60" s="142">
        <v>310</v>
      </c>
      <c r="D60" s="148">
        <v>482</v>
      </c>
      <c r="E60" s="148">
        <v>346</v>
      </c>
      <c r="F60" s="148">
        <v>766</v>
      </c>
      <c r="G60" s="148">
        <v>279</v>
      </c>
      <c r="H60" s="148">
        <v>2868</v>
      </c>
      <c r="I60" s="148">
        <v>2077</v>
      </c>
      <c r="J60" s="148">
        <v>1869</v>
      </c>
      <c r="K60" s="148">
        <v>1959</v>
      </c>
      <c r="L60" s="148">
        <v>-476</v>
      </c>
    </row>
    <row r="61" spans="2:13" outlineLevel="1" x14ac:dyDescent="0.25">
      <c r="B61" s="58" t="s">
        <v>129</v>
      </c>
      <c r="C61" s="148">
        <v>0</v>
      </c>
      <c r="D61" s="148">
        <v>0</v>
      </c>
      <c r="E61" s="148">
        <v>0</v>
      </c>
      <c r="F61" s="148">
        <v>0</v>
      </c>
      <c r="G61" s="148">
        <v>0</v>
      </c>
      <c r="H61" s="148">
        <v>0</v>
      </c>
      <c r="I61" s="148">
        <v>0</v>
      </c>
      <c r="J61" s="148">
        <v>0</v>
      </c>
      <c r="K61" s="148">
        <v>0</v>
      </c>
      <c r="L61" s="148">
        <v>0</v>
      </c>
    </row>
    <row r="62" spans="2:13" outlineLevel="1" x14ac:dyDescent="0.25">
      <c r="B62" s="59" t="s">
        <v>130</v>
      </c>
      <c r="C62" s="148">
        <v>32</v>
      </c>
      <c r="D62" s="148">
        <v>-162</v>
      </c>
      <c r="E62" s="148">
        <v>-525</v>
      </c>
      <c r="F62" s="148">
        <v>-1167</v>
      </c>
      <c r="G62" s="148">
        <v>-172</v>
      </c>
      <c r="H62" s="148">
        <v>-505</v>
      </c>
      <c r="I62" s="148">
        <v>-476</v>
      </c>
      <c r="J62" s="148">
        <v>-461</v>
      </c>
      <c r="K62" s="148">
        <v>-308</v>
      </c>
      <c r="L62" s="148">
        <v>729</v>
      </c>
    </row>
    <row r="63" spans="2:13" outlineLevel="1" x14ac:dyDescent="0.25">
      <c r="B63" s="57" t="s">
        <v>131</v>
      </c>
      <c r="C63" s="145">
        <v>429</v>
      </c>
      <c r="D63" s="145">
        <v>529</v>
      </c>
      <c r="E63" s="145">
        <v>-1255</v>
      </c>
      <c r="F63" s="145">
        <v>-696</v>
      </c>
      <c r="G63" s="145">
        <v>516</v>
      </c>
      <c r="H63" s="145">
        <v>2326</v>
      </c>
      <c r="I63" s="145">
        <v>-473</v>
      </c>
      <c r="J63" s="145">
        <v>-337</v>
      </c>
      <c r="K63" s="145">
        <v>-481</v>
      </c>
      <c r="L63" s="145">
        <v>-671</v>
      </c>
    </row>
    <row r="64" spans="2:13" outlineLevel="1" x14ac:dyDescent="0.25">
      <c r="B64" s="60" t="s">
        <v>132</v>
      </c>
      <c r="C64" s="145">
        <v>-852</v>
      </c>
      <c r="D64" s="145">
        <v>-744</v>
      </c>
      <c r="E64" s="145">
        <v>-843</v>
      </c>
      <c r="F64" s="145">
        <v>-710</v>
      </c>
      <c r="G64" s="145">
        <v>-891</v>
      </c>
      <c r="H64" s="145">
        <v>-1291</v>
      </c>
      <c r="I64" s="145">
        <v>-1555</v>
      </c>
      <c r="J64" s="145">
        <v>-1124</v>
      </c>
      <c r="K64" s="145">
        <v>-1651</v>
      </c>
      <c r="L64" s="145">
        <v>-1301</v>
      </c>
    </row>
    <row r="65" spans="2:12" outlineLevel="1" x14ac:dyDescent="0.25">
      <c r="B65" s="58" t="s">
        <v>213</v>
      </c>
      <c r="C65" s="148">
        <v>0</v>
      </c>
      <c r="D65" s="148">
        <v>0</v>
      </c>
      <c r="E65" s="148">
        <v>0</v>
      </c>
      <c r="F65" s="148">
        <v>0</v>
      </c>
      <c r="G65" s="148">
        <v>0</v>
      </c>
      <c r="H65" s="148">
        <v>0</v>
      </c>
      <c r="I65" s="148">
        <v>0</v>
      </c>
      <c r="J65" s="148">
        <v>0</v>
      </c>
      <c r="K65" s="148">
        <v>0</v>
      </c>
      <c r="L65" s="148">
        <v>0</v>
      </c>
    </row>
    <row r="66" spans="2:12" x14ac:dyDescent="0.25">
      <c r="B66" s="54" t="s">
        <v>18</v>
      </c>
      <c r="C66" s="150">
        <f>SUM(C67:C77)</f>
        <v>-3675</v>
      </c>
      <c r="D66" s="150">
        <f t="shared" ref="D66:L66" si="1">SUM(D67:D77)</f>
        <v>-2501</v>
      </c>
      <c r="E66" s="150">
        <f t="shared" si="1"/>
        <v>1866</v>
      </c>
      <c r="F66" s="150">
        <f t="shared" si="1"/>
        <v>1164</v>
      </c>
      <c r="G66" s="150">
        <f t="shared" si="1"/>
        <v>-4193</v>
      </c>
      <c r="H66" s="150">
        <f t="shared" si="1"/>
        <v>-8856</v>
      </c>
      <c r="I66" s="150">
        <f t="shared" si="1"/>
        <v>2322</v>
      </c>
      <c r="J66" s="150">
        <f t="shared" si="1"/>
        <v>-7187</v>
      </c>
      <c r="K66" s="150">
        <f t="shared" si="1"/>
        <v>-8788</v>
      </c>
      <c r="L66" s="150">
        <f t="shared" si="1"/>
        <v>-15835</v>
      </c>
    </row>
    <row r="67" spans="2:12" outlineLevel="1" x14ac:dyDescent="0.25">
      <c r="B67" t="s">
        <v>133</v>
      </c>
      <c r="C67" s="148">
        <v>-2150</v>
      </c>
      <c r="D67" s="148">
        <v>-1402</v>
      </c>
      <c r="E67" s="148">
        <v>-2103</v>
      </c>
      <c r="F67" s="148">
        <v>-1808</v>
      </c>
      <c r="G67" s="148">
        <v>-1766</v>
      </c>
      <c r="H67" s="148">
        <v>-1925</v>
      </c>
      <c r="I67" s="148">
        <v>-5613</v>
      </c>
      <c r="J67" s="148">
        <v>-6200</v>
      </c>
      <c r="K67" s="148">
        <v>-9006</v>
      </c>
      <c r="L67" s="148">
        <v>-9129</v>
      </c>
    </row>
    <row r="68" spans="2:12" outlineLevel="1" x14ac:dyDescent="0.25">
      <c r="B68" t="s">
        <v>134</v>
      </c>
      <c r="C68" s="148">
        <v>18</v>
      </c>
      <c r="D68" s="148">
        <v>35</v>
      </c>
      <c r="E68" s="148">
        <v>220</v>
      </c>
      <c r="F68" s="148">
        <v>160</v>
      </c>
      <c r="G68" s="148">
        <v>79</v>
      </c>
      <c r="H68" s="148">
        <v>86</v>
      </c>
      <c r="I68" s="148">
        <v>73</v>
      </c>
      <c r="J68" s="148">
        <v>95</v>
      </c>
      <c r="K68" s="148">
        <v>122</v>
      </c>
      <c r="L68" s="148">
        <v>179</v>
      </c>
    </row>
    <row r="69" spans="2:12" outlineLevel="1" x14ac:dyDescent="0.25">
      <c r="B69" t="s">
        <v>135</v>
      </c>
      <c r="C69" s="148">
        <v>-2698</v>
      </c>
      <c r="D69" s="148">
        <v>-3377</v>
      </c>
      <c r="E69" s="148">
        <v>-3960</v>
      </c>
      <c r="F69" s="148">
        <v>-1700</v>
      </c>
      <c r="G69" s="148">
        <v>-6086</v>
      </c>
      <c r="H69" s="148">
        <v>-12689</v>
      </c>
      <c r="I69" s="148">
        <v>-7795</v>
      </c>
      <c r="J69" s="148">
        <v>-7260</v>
      </c>
      <c r="K69" s="148">
        <v>-7750</v>
      </c>
      <c r="L69" s="148">
        <v>-15885</v>
      </c>
    </row>
    <row r="70" spans="2:12" outlineLevel="1" x14ac:dyDescent="0.25">
      <c r="B70" t="s">
        <v>136</v>
      </c>
      <c r="C70" s="148">
        <v>2948</v>
      </c>
      <c r="D70" s="148">
        <v>2228</v>
      </c>
      <c r="E70" s="148">
        <v>5588</v>
      </c>
      <c r="F70" s="148">
        <v>4478</v>
      </c>
      <c r="G70" s="148">
        <v>3443</v>
      </c>
      <c r="H70" s="148">
        <v>7101</v>
      </c>
      <c r="I70" s="148">
        <v>13965</v>
      </c>
      <c r="J70" s="148">
        <v>7156</v>
      </c>
      <c r="K70" s="148">
        <v>7164</v>
      </c>
      <c r="L70" s="148">
        <v>19115</v>
      </c>
    </row>
    <row r="71" spans="2:12" outlineLevel="1" x14ac:dyDescent="0.25">
      <c r="B71" t="s">
        <v>137</v>
      </c>
      <c r="C71" s="148">
        <v>59</v>
      </c>
      <c r="D71" s="148">
        <v>47</v>
      </c>
      <c r="E71" s="148">
        <v>67</v>
      </c>
      <c r="F71" s="148">
        <v>78</v>
      </c>
      <c r="G71" s="148">
        <v>89</v>
      </c>
      <c r="H71" s="148">
        <v>77</v>
      </c>
      <c r="I71" s="148">
        <v>174</v>
      </c>
      <c r="J71" s="148">
        <v>283</v>
      </c>
      <c r="K71" s="148">
        <v>161</v>
      </c>
      <c r="L71" s="148">
        <v>342</v>
      </c>
    </row>
    <row r="72" spans="2:12" outlineLevel="1" x14ac:dyDescent="0.25">
      <c r="B72" t="s">
        <v>138</v>
      </c>
      <c r="C72" s="148">
        <v>0</v>
      </c>
      <c r="D72" s="148">
        <v>0</v>
      </c>
      <c r="E72" s="148">
        <v>0</v>
      </c>
      <c r="F72" s="148">
        <v>22</v>
      </c>
      <c r="G72" s="148">
        <v>32</v>
      </c>
      <c r="H72" s="148">
        <v>0</v>
      </c>
      <c r="I72" s="148">
        <v>0</v>
      </c>
      <c r="J72" s="148">
        <v>0</v>
      </c>
      <c r="K72" s="148">
        <v>0</v>
      </c>
      <c r="L72" s="148">
        <v>1</v>
      </c>
    </row>
    <row r="73" spans="2:12" outlineLevel="1" x14ac:dyDescent="0.25">
      <c r="B73" t="s">
        <v>139</v>
      </c>
      <c r="C73" s="148">
        <v>-13</v>
      </c>
      <c r="D73" s="148">
        <v>0</v>
      </c>
      <c r="E73" s="148">
        <v>0</v>
      </c>
      <c r="F73" s="148">
        <v>0</v>
      </c>
      <c r="G73" s="148">
        <v>0</v>
      </c>
      <c r="H73" s="148">
        <v>0</v>
      </c>
      <c r="I73" s="148">
        <v>0</v>
      </c>
      <c r="J73" s="148">
        <v>0</v>
      </c>
      <c r="K73" s="148">
        <v>0</v>
      </c>
      <c r="L73" s="148">
        <v>0</v>
      </c>
    </row>
    <row r="74" spans="2:12" outlineLevel="1" x14ac:dyDescent="0.25">
      <c r="B74" t="s">
        <v>214</v>
      </c>
      <c r="C74" s="148">
        <v>0</v>
      </c>
      <c r="D74" s="148">
        <v>0</v>
      </c>
      <c r="E74" s="148">
        <v>-1</v>
      </c>
      <c r="F74" s="148">
        <v>-8</v>
      </c>
      <c r="G74" s="148">
        <v>-6</v>
      </c>
      <c r="H74" s="148">
        <v>-3</v>
      </c>
      <c r="I74" s="148">
        <v>0</v>
      </c>
      <c r="J74" s="148">
        <v>0</v>
      </c>
      <c r="K74" s="148">
        <v>0</v>
      </c>
      <c r="L74" s="148">
        <v>0</v>
      </c>
    </row>
    <row r="75" spans="2:12" outlineLevel="1" x14ac:dyDescent="0.25">
      <c r="B75" t="s">
        <v>215</v>
      </c>
      <c r="C75" s="148">
        <v>0</v>
      </c>
      <c r="D75" s="148">
        <v>0</v>
      </c>
      <c r="E75" s="148">
        <v>0</v>
      </c>
      <c r="F75" s="148">
        <v>0</v>
      </c>
      <c r="G75" s="148">
        <v>0</v>
      </c>
      <c r="H75" s="148">
        <v>0</v>
      </c>
      <c r="I75" s="148">
        <v>0</v>
      </c>
      <c r="J75" s="148">
        <v>3</v>
      </c>
      <c r="K75" s="148">
        <v>0</v>
      </c>
      <c r="L75" s="148">
        <v>36</v>
      </c>
    </row>
    <row r="76" spans="2:12" outlineLevel="1" x14ac:dyDescent="0.25">
      <c r="B76" t="s">
        <v>216</v>
      </c>
      <c r="C76" s="148">
        <v>0</v>
      </c>
      <c r="D76" s="148">
        <v>0</v>
      </c>
      <c r="E76" s="148">
        <v>0</v>
      </c>
      <c r="F76" s="148">
        <v>0</v>
      </c>
      <c r="G76" s="148">
        <v>0</v>
      </c>
      <c r="H76" s="148">
        <v>0</v>
      </c>
      <c r="I76" s="148">
        <v>0</v>
      </c>
      <c r="J76" s="148">
        <v>-847</v>
      </c>
      <c r="K76" s="148">
        <v>-60</v>
      </c>
      <c r="L76" s="148">
        <v>-10262</v>
      </c>
    </row>
    <row r="77" spans="2:12" outlineLevel="1" x14ac:dyDescent="0.25">
      <c r="B77" t="s">
        <v>140</v>
      </c>
      <c r="C77" s="148">
        <v>-1839</v>
      </c>
      <c r="D77" s="148">
        <v>-32</v>
      </c>
      <c r="E77" s="148">
        <v>2055</v>
      </c>
      <c r="F77" s="148">
        <v>-58</v>
      </c>
      <c r="G77" s="148">
        <v>22</v>
      </c>
      <c r="H77" s="148">
        <v>-1503</v>
      </c>
      <c r="I77" s="148">
        <v>1518</v>
      </c>
      <c r="J77" s="148">
        <v>-417</v>
      </c>
      <c r="K77" s="148">
        <v>581</v>
      </c>
      <c r="L77" s="148">
        <v>-232</v>
      </c>
    </row>
    <row r="78" spans="2:12" x14ac:dyDescent="0.25">
      <c r="B78" s="54" t="s">
        <v>19</v>
      </c>
      <c r="C78" s="150">
        <f>SUM(C79:C85)</f>
        <v>-843</v>
      </c>
      <c r="D78" s="150">
        <f t="shared" ref="D78:L78" si="2">SUM(D79:D85)</f>
        <v>-2535</v>
      </c>
      <c r="E78" s="150">
        <f t="shared" si="2"/>
        <v>-5735</v>
      </c>
      <c r="F78" s="150">
        <f t="shared" si="2"/>
        <v>-6757</v>
      </c>
      <c r="G78" s="150">
        <f t="shared" si="2"/>
        <v>-5076</v>
      </c>
      <c r="H78" s="150">
        <f t="shared" si="2"/>
        <v>-4356</v>
      </c>
      <c r="I78" s="150">
        <f t="shared" si="2"/>
        <v>-12497</v>
      </c>
      <c r="J78" s="150">
        <f t="shared" si="2"/>
        <v>-1631</v>
      </c>
      <c r="K78" s="150">
        <f t="shared" si="2"/>
        <v>-1925</v>
      </c>
      <c r="L78" s="150">
        <f t="shared" si="2"/>
        <v>5076</v>
      </c>
    </row>
    <row r="79" spans="2:12" outlineLevel="1" x14ac:dyDescent="0.25">
      <c r="B79" s="58" t="s">
        <v>141</v>
      </c>
      <c r="C79" s="142">
        <v>3</v>
      </c>
      <c r="D79" s="148">
        <v>7</v>
      </c>
      <c r="E79" s="148">
        <v>16</v>
      </c>
      <c r="F79" s="148">
        <v>5</v>
      </c>
      <c r="G79" s="148">
        <v>3</v>
      </c>
      <c r="H79" s="148">
        <v>14</v>
      </c>
      <c r="I79" s="148">
        <v>13</v>
      </c>
      <c r="J79" s="148">
        <v>13</v>
      </c>
      <c r="K79" s="148">
        <v>18</v>
      </c>
      <c r="L79" s="148">
        <v>33</v>
      </c>
    </row>
    <row r="80" spans="2:12" outlineLevel="1" x14ac:dyDescent="0.25">
      <c r="B80" s="58" t="s">
        <v>142</v>
      </c>
      <c r="C80" s="148">
        <v>2821</v>
      </c>
      <c r="D80" s="148">
        <v>3656</v>
      </c>
      <c r="E80" s="148">
        <v>15775</v>
      </c>
      <c r="F80" s="148">
        <v>9772</v>
      </c>
      <c r="G80" s="148">
        <v>1510</v>
      </c>
      <c r="H80" s="148">
        <v>4103</v>
      </c>
      <c r="I80" s="148">
        <v>175</v>
      </c>
      <c r="J80" s="148">
        <v>1032</v>
      </c>
      <c r="K80" s="148">
        <v>1399</v>
      </c>
      <c r="L80" s="148">
        <v>9410</v>
      </c>
    </row>
    <row r="81" spans="2:12" outlineLevel="1" x14ac:dyDescent="0.25">
      <c r="B81" s="58" t="s">
        <v>143</v>
      </c>
      <c r="C81" s="148">
        <v>-2775</v>
      </c>
      <c r="D81" s="148">
        <v>-5272</v>
      </c>
      <c r="E81" s="148">
        <v>-19982</v>
      </c>
      <c r="F81" s="148">
        <v>-14420</v>
      </c>
      <c r="G81" s="148">
        <v>-4154</v>
      </c>
      <c r="H81" s="148">
        <v>-6499</v>
      </c>
      <c r="I81" s="148">
        <v>-10346</v>
      </c>
      <c r="J81" s="148">
        <v>-579</v>
      </c>
      <c r="K81" s="148">
        <v>-1069</v>
      </c>
      <c r="L81" s="148">
        <v>-550</v>
      </c>
    </row>
    <row r="82" spans="2:12" outlineLevel="1" x14ac:dyDescent="0.25">
      <c r="B82" s="58" t="s">
        <v>144</v>
      </c>
      <c r="C82" s="148">
        <v>-596</v>
      </c>
      <c r="D82" s="148">
        <v>-614</v>
      </c>
      <c r="E82" s="148">
        <v>-1210</v>
      </c>
      <c r="F82" s="148">
        <v>-1685</v>
      </c>
      <c r="G82" s="148">
        <v>-1950</v>
      </c>
      <c r="H82" s="148">
        <v>-1481</v>
      </c>
      <c r="I82" s="148">
        <v>-1026</v>
      </c>
      <c r="J82" s="148">
        <v>-765</v>
      </c>
      <c r="K82" s="148">
        <v>-917</v>
      </c>
      <c r="L82" s="148">
        <v>-1540</v>
      </c>
    </row>
    <row r="83" spans="2:12" outlineLevel="1" x14ac:dyDescent="0.25">
      <c r="B83" s="58" t="s">
        <v>145</v>
      </c>
      <c r="C83" s="148">
        <v>-297</v>
      </c>
      <c r="D83" s="148">
        <v>-312</v>
      </c>
      <c r="E83" s="148">
        <v>-334</v>
      </c>
      <c r="F83" s="148">
        <v>-346</v>
      </c>
      <c r="G83" s="148">
        <v>-380</v>
      </c>
      <c r="H83" s="148">
        <v>-375</v>
      </c>
      <c r="I83" s="148">
        <v>-1065</v>
      </c>
      <c r="J83" s="148">
        <v>-1091</v>
      </c>
      <c r="K83" s="148">
        <v>-1094</v>
      </c>
      <c r="L83" s="148">
        <v>-2012</v>
      </c>
    </row>
    <row r="84" spans="2:12" outlineLevel="1" x14ac:dyDescent="0.25">
      <c r="B84" s="58" t="s">
        <v>146</v>
      </c>
      <c r="C84" s="148">
        <v>0</v>
      </c>
      <c r="D84" s="148">
        <v>0</v>
      </c>
      <c r="E84" s="148">
        <v>0</v>
      </c>
      <c r="F84" s="148">
        <v>0</v>
      </c>
      <c r="G84" s="148">
        <v>-101</v>
      </c>
      <c r="H84" s="148">
        <v>-118</v>
      </c>
      <c r="I84" s="148">
        <v>-157</v>
      </c>
      <c r="J84" s="148">
        <v>-126</v>
      </c>
      <c r="K84" s="148">
        <v>-162</v>
      </c>
      <c r="L84" s="148">
        <v>-165</v>
      </c>
    </row>
    <row r="85" spans="2:12" outlineLevel="1" x14ac:dyDescent="0.25">
      <c r="B85" s="58" t="s">
        <v>147</v>
      </c>
      <c r="C85" s="148">
        <v>1</v>
      </c>
      <c r="D85" s="148">
        <v>0</v>
      </c>
      <c r="E85" s="148">
        <v>0</v>
      </c>
      <c r="F85" s="148">
        <v>-83</v>
      </c>
      <c r="G85" s="148">
        <v>-4</v>
      </c>
      <c r="H85" s="148">
        <v>0</v>
      </c>
      <c r="I85" s="148">
        <v>-91</v>
      </c>
      <c r="J85" s="148">
        <v>-115</v>
      </c>
      <c r="K85" s="148">
        <v>-100</v>
      </c>
      <c r="L85" s="148">
        <v>-100</v>
      </c>
    </row>
    <row r="86" spans="2:12" x14ac:dyDescent="0.25">
      <c r="B86" s="63" t="s">
        <v>20</v>
      </c>
      <c r="C86" s="151">
        <f t="shared" ref="C86:L86" si="3">C78+C66+C56</f>
        <v>7</v>
      </c>
      <c r="D86" s="151">
        <f t="shared" si="3"/>
        <v>-31</v>
      </c>
      <c r="E86" s="151">
        <f t="shared" si="3"/>
        <v>19</v>
      </c>
      <c r="F86" s="151">
        <f t="shared" si="3"/>
        <v>363</v>
      </c>
      <c r="G86" s="151">
        <f t="shared" si="3"/>
        <v>-296</v>
      </c>
      <c r="H86" s="151">
        <f t="shared" si="3"/>
        <v>-712</v>
      </c>
      <c r="I86" s="151">
        <f t="shared" si="3"/>
        <v>-892</v>
      </c>
      <c r="J86" s="151">
        <f t="shared" si="3"/>
        <v>251</v>
      </c>
      <c r="K86" s="151">
        <f t="shared" si="3"/>
        <v>184</v>
      </c>
      <c r="L86" s="151">
        <f t="shared" si="3"/>
        <v>-86</v>
      </c>
    </row>
  </sheetData>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2E7B6-1103-4803-ADEB-2897CC558A98}">
  <sheetPr>
    <tabColor rgb="FF002060"/>
  </sheetPr>
  <dimension ref="B2:V27"/>
  <sheetViews>
    <sheetView showGridLines="0" zoomScale="80" zoomScaleNormal="80" workbookViewId="0">
      <selection activeCell="C4" sqref="C4"/>
    </sheetView>
  </sheetViews>
  <sheetFormatPr defaultRowHeight="15" x14ac:dyDescent="0.25"/>
  <cols>
    <col min="1" max="1" width="1.85546875" customWidth="1"/>
    <col min="2" max="2" width="6.28515625" bestFit="1" customWidth="1"/>
    <col min="3" max="3" width="15.5703125" bestFit="1" customWidth="1"/>
    <col min="4" max="4" width="9.85546875" bestFit="1" customWidth="1"/>
    <col min="5" max="5" width="10.28515625" bestFit="1" customWidth="1"/>
    <col min="6" max="6" width="16.5703125" customWidth="1"/>
    <col min="7" max="7" width="10.7109375" bestFit="1" customWidth="1"/>
    <col min="8" max="8" width="14.42578125" bestFit="1" customWidth="1"/>
    <col min="9" max="9" width="14.42578125" customWidth="1"/>
    <col min="10" max="10" width="10" bestFit="1" customWidth="1"/>
    <col min="11" max="11" width="11" bestFit="1" customWidth="1"/>
    <col min="12" max="12" width="13.28515625" bestFit="1" customWidth="1"/>
    <col min="13" max="13" width="12.140625" bestFit="1" customWidth="1"/>
    <col min="15" max="15" width="14.140625" bestFit="1" customWidth="1"/>
    <col min="17" max="17" width="66.42578125" bestFit="1" customWidth="1"/>
    <col min="18" max="18" width="19.42578125" bestFit="1" customWidth="1"/>
    <col min="19" max="19" width="18.7109375" bestFit="1" customWidth="1"/>
    <col min="20" max="20" width="16.7109375" bestFit="1" customWidth="1"/>
    <col min="22" max="22" width="11.85546875" customWidth="1"/>
  </cols>
  <sheetData>
    <row r="2" spans="2:22" x14ac:dyDescent="0.25">
      <c r="B2" s="232" t="s">
        <v>322</v>
      </c>
      <c r="C2" s="233" t="s">
        <v>184</v>
      </c>
      <c r="D2" s="233" t="s">
        <v>323</v>
      </c>
      <c r="E2" s="233" t="s">
        <v>324</v>
      </c>
      <c r="F2" s="234" t="s">
        <v>351</v>
      </c>
      <c r="G2" s="233" t="s">
        <v>325</v>
      </c>
      <c r="H2" s="233" t="s">
        <v>326</v>
      </c>
      <c r="I2" s="233" t="s">
        <v>315</v>
      </c>
      <c r="J2" s="233" t="s">
        <v>327</v>
      </c>
      <c r="K2" s="233" t="s">
        <v>328</v>
      </c>
      <c r="L2" s="233" t="s">
        <v>329</v>
      </c>
      <c r="M2" s="233" t="s">
        <v>330</v>
      </c>
      <c r="N2" s="234" t="s">
        <v>60</v>
      </c>
      <c r="O2" s="235" t="s">
        <v>78</v>
      </c>
      <c r="Q2" s="259" t="s">
        <v>443</v>
      </c>
      <c r="R2" s="258" t="s">
        <v>444</v>
      </c>
      <c r="S2" s="258" t="s">
        <v>445</v>
      </c>
      <c r="T2" s="258" t="s">
        <v>446</v>
      </c>
      <c r="V2">
        <v>10000000</v>
      </c>
    </row>
    <row r="3" spans="2:22" x14ac:dyDescent="0.25">
      <c r="B3" s="236">
        <v>1</v>
      </c>
      <c r="C3" s="237" t="s">
        <v>217</v>
      </c>
      <c r="D3" s="238">
        <v>11764</v>
      </c>
      <c r="E3" s="239">
        <v>29.47</v>
      </c>
      <c r="F3" s="239">
        <f>D3*E3</f>
        <v>346685.07999999996</v>
      </c>
      <c r="G3" s="239">
        <v>25214.91</v>
      </c>
      <c r="H3" s="239">
        <v>1673.32</v>
      </c>
      <c r="I3" s="239">
        <f>G3-H3</f>
        <v>23541.59</v>
      </c>
      <c r="J3" s="239">
        <v>375125.48</v>
      </c>
      <c r="K3" s="239">
        <v>81724.53</v>
      </c>
      <c r="L3" s="239">
        <v>7297.12</v>
      </c>
      <c r="M3" s="239">
        <v>23.89</v>
      </c>
      <c r="N3" s="27">
        <f>J3/M3</f>
        <v>15702.196735035579</v>
      </c>
      <c r="O3" s="240">
        <f>N3/K3</f>
        <v>0.19213566275677058</v>
      </c>
      <c r="Q3" s="257" t="s">
        <v>447</v>
      </c>
      <c r="R3" s="14">
        <v>16.533515000000001</v>
      </c>
      <c r="S3" s="32">
        <v>0.56110000000000004</v>
      </c>
      <c r="T3" s="272">
        <f>R3*'One-Page'!$K$43</f>
        <v>197360.56855500001</v>
      </c>
    </row>
    <row r="4" spans="2:22" x14ac:dyDescent="0.25">
      <c r="B4" s="236">
        <v>2</v>
      </c>
      <c r="C4" s="237" t="s">
        <v>218</v>
      </c>
      <c r="D4" s="239">
        <v>2841.3</v>
      </c>
      <c r="E4" s="239">
        <v>68.05</v>
      </c>
      <c r="F4" s="239">
        <f t="shared" ref="F4:F27" si="0">D4*E4</f>
        <v>193350.465</v>
      </c>
      <c r="G4" s="239">
        <v>186325.56</v>
      </c>
      <c r="H4" s="239">
        <v>7905.42</v>
      </c>
      <c r="I4" s="239">
        <f t="shared" ref="I4:I27" si="1">G4-H4</f>
        <v>178420.13999999998</v>
      </c>
      <c r="J4" s="239">
        <v>371776.28</v>
      </c>
      <c r="K4" s="239">
        <v>153326.53</v>
      </c>
      <c r="L4" s="239">
        <v>8574.66</v>
      </c>
      <c r="M4" s="239">
        <v>11.54</v>
      </c>
      <c r="N4" s="27">
        <f t="shared" ref="N4:N27" si="2">J4/M4</f>
        <v>32216.315424610057</v>
      </c>
      <c r="O4" s="240">
        <f t="shared" ref="O4:O27" si="3">N4/K4</f>
        <v>0.21011572768659187</v>
      </c>
      <c r="Q4" s="257" t="s">
        <v>448</v>
      </c>
      <c r="R4" s="14">
        <v>0.61043550000000002</v>
      </c>
      <c r="S4" s="32">
        <v>2.07E-2</v>
      </c>
      <c r="T4" s="272">
        <f>R4*'One-Page'!$K$43</f>
        <v>7286.7685634999998</v>
      </c>
    </row>
    <row r="5" spans="2:22" x14ac:dyDescent="0.25">
      <c r="B5" s="236">
        <v>3</v>
      </c>
      <c r="C5" s="237" t="s">
        <v>219</v>
      </c>
      <c r="D5" s="239">
        <v>555</v>
      </c>
      <c r="E5" s="239">
        <v>247.18</v>
      </c>
      <c r="F5" s="239">
        <f t="shared" si="0"/>
        <v>137184.9</v>
      </c>
      <c r="G5" s="239">
        <v>788.5</v>
      </c>
      <c r="H5" s="239">
        <v>6172.16</v>
      </c>
      <c r="I5" s="239">
        <f t="shared" si="1"/>
        <v>-5383.66</v>
      </c>
      <c r="J5" s="239">
        <v>131802.54</v>
      </c>
      <c r="K5" s="239">
        <v>37114.29</v>
      </c>
      <c r="L5" s="239">
        <v>5344.88</v>
      </c>
      <c r="M5" s="239">
        <v>14.29</v>
      </c>
      <c r="N5" s="27">
        <f t="shared" si="2"/>
        <v>9223.4107767669702</v>
      </c>
      <c r="O5" s="240">
        <f t="shared" si="3"/>
        <v>0.24851373357181208</v>
      </c>
      <c r="Q5" s="257" t="s">
        <v>449</v>
      </c>
      <c r="R5" s="14">
        <v>0.60383279999999995</v>
      </c>
      <c r="S5" s="32">
        <v>2.0499999999999997E-2</v>
      </c>
      <c r="T5" s="272">
        <f>R5*'One-Page'!$K$43</f>
        <v>7207.9521335999998</v>
      </c>
    </row>
    <row r="6" spans="2:22" x14ac:dyDescent="0.25">
      <c r="B6" s="236">
        <v>4</v>
      </c>
      <c r="C6" s="237" t="s">
        <v>220</v>
      </c>
      <c r="D6" s="239">
        <v>28705</v>
      </c>
      <c r="E6" s="239">
        <v>3.61</v>
      </c>
      <c r="F6" s="239">
        <f t="shared" si="0"/>
        <v>103625.05</v>
      </c>
      <c r="G6" s="239">
        <v>1046.1300000000001</v>
      </c>
      <c r="H6" s="239">
        <v>293.58</v>
      </c>
      <c r="I6" s="239">
        <f t="shared" si="1"/>
        <v>752.55000000000018</v>
      </c>
      <c r="J6" s="239">
        <v>104322.34</v>
      </c>
      <c r="K6" s="239">
        <v>19439.75</v>
      </c>
      <c r="L6" s="239">
        <v>1489.01</v>
      </c>
      <c r="M6" s="239">
        <v>20.76</v>
      </c>
      <c r="N6" s="27">
        <f t="shared" si="2"/>
        <v>5025.1608863198453</v>
      </c>
      <c r="O6" s="240">
        <f t="shared" si="3"/>
        <v>0.25849925468793811</v>
      </c>
      <c r="Q6" s="257" t="s">
        <v>450</v>
      </c>
      <c r="R6" s="14">
        <v>0.57691859999999995</v>
      </c>
      <c r="S6" s="32">
        <v>1.9599999999999999E-2</v>
      </c>
      <c r="T6" s="272">
        <f>R6*'One-Page'!$K$43</f>
        <v>6886.6773281999995</v>
      </c>
    </row>
    <row r="7" spans="2:22" x14ac:dyDescent="0.25">
      <c r="B7" s="236">
        <v>5</v>
      </c>
      <c r="C7" s="237" t="s">
        <v>221</v>
      </c>
      <c r="D7" s="239">
        <v>6257.5</v>
      </c>
      <c r="E7" s="239">
        <v>7.73</v>
      </c>
      <c r="F7" s="239">
        <f t="shared" si="0"/>
        <v>48370.475000000006</v>
      </c>
      <c r="G7" s="239">
        <v>6028.23</v>
      </c>
      <c r="H7" s="239">
        <v>1369.67</v>
      </c>
      <c r="I7" s="239">
        <f t="shared" si="1"/>
        <v>4658.5599999999995</v>
      </c>
      <c r="J7" s="239">
        <v>53009.17</v>
      </c>
      <c r="K7" s="239">
        <v>12424.11</v>
      </c>
      <c r="L7" s="239">
        <v>1011.6</v>
      </c>
      <c r="M7" s="239">
        <v>21.96</v>
      </c>
      <c r="N7" s="27">
        <f t="shared" si="2"/>
        <v>2413.896630236794</v>
      </c>
      <c r="O7" s="240">
        <f t="shared" si="3"/>
        <v>0.19429131183133391</v>
      </c>
      <c r="Q7" s="257" t="s">
        <v>451</v>
      </c>
      <c r="R7" s="14">
        <v>0.4405944</v>
      </c>
      <c r="S7" s="32">
        <v>1.4999999999999999E-2</v>
      </c>
      <c r="T7" s="272">
        <f>R7*'One-Page'!$K$43</f>
        <v>5259.3753527999997</v>
      </c>
    </row>
    <row r="8" spans="2:22" x14ac:dyDescent="0.25">
      <c r="B8" s="236">
        <v>6</v>
      </c>
      <c r="C8" s="237" t="s">
        <v>331</v>
      </c>
      <c r="D8" s="239">
        <v>2098.4</v>
      </c>
      <c r="E8" s="239">
        <v>18.760000000000002</v>
      </c>
      <c r="F8" s="239">
        <f t="shared" si="0"/>
        <v>39365.984000000004</v>
      </c>
      <c r="G8" s="239">
        <v>5702</v>
      </c>
      <c r="H8" s="239">
        <v>158</v>
      </c>
      <c r="I8" s="239">
        <f t="shared" si="1"/>
        <v>5544</v>
      </c>
      <c r="J8" s="239">
        <v>44902.67</v>
      </c>
      <c r="K8" s="239">
        <v>14325</v>
      </c>
      <c r="L8" s="239">
        <v>1139</v>
      </c>
      <c r="M8" s="239">
        <v>14.36</v>
      </c>
      <c r="N8" s="27">
        <f t="shared" si="2"/>
        <v>3126.9268802228412</v>
      </c>
      <c r="O8" s="240">
        <f t="shared" si="3"/>
        <v>0.21828459896843569</v>
      </c>
      <c r="Q8" s="257" t="s">
        <v>452</v>
      </c>
      <c r="R8" s="14">
        <v>0.43105670000000001</v>
      </c>
      <c r="S8" s="32">
        <v>1.46E-2</v>
      </c>
      <c r="T8" s="272">
        <f>R8*'One-Page'!$K$43</f>
        <v>5145.5238279000005</v>
      </c>
    </row>
    <row r="9" spans="2:22" x14ac:dyDescent="0.25">
      <c r="B9" s="236">
        <v>7</v>
      </c>
      <c r="C9" s="237" t="s">
        <v>332</v>
      </c>
      <c r="D9" s="239">
        <v>1850.1</v>
      </c>
      <c r="E9" s="239">
        <v>18.78</v>
      </c>
      <c r="F9" s="239">
        <f t="shared" si="0"/>
        <v>34744.877999999997</v>
      </c>
      <c r="G9" s="239">
        <v>429.77</v>
      </c>
      <c r="H9" s="239">
        <v>1649.27</v>
      </c>
      <c r="I9" s="239">
        <f t="shared" si="1"/>
        <v>-1219.5</v>
      </c>
      <c r="J9" s="239">
        <v>33523.019999999997</v>
      </c>
      <c r="K9" s="239">
        <v>22742.68</v>
      </c>
      <c r="L9" s="239">
        <v>2417.9499999999998</v>
      </c>
      <c r="M9" s="239">
        <v>7.92</v>
      </c>
      <c r="N9" s="27">
        <f t="shared" si="2"/>
        <v>4232.704545454545</v>
      </c>
      <c r="O9" s="240">
        <f t="shared" si="3"/>
        <v>0.18611283039002197</v>
      </c>
      <c r="Q9" s="257" t="s">
        <v>453</v>
      </c>
      <c r="R9" s="14">
        <v>0.39373279999999999</v>
      </c>
      <c r="S9" s="32">
        <v>1.34E-2</v>
      </c>
      <c r="T9" s="272">
        <f>R9*'One-Page'!$K$43</f>
        <v>4699.9884335999996</v>
      </c>
    </row>
    <row r="10" spans="2:22" x14ac:dyDescent="0.25">
      <c r="B10" s="236">
        <v>8</v>
      </c>
      <c r="C10" s="237" t="s">
        <v>333</v>
      </c>
      <c r="D10" s="239">
        <v>1046.8</v>
      </c>
      <c r="E10" s="239">
        <v>23.63</v>
      </c>
      <c r="F10" s="239">
        <f t="shared" si="0"/>
        <v>24735.883999999998</v>
      </c>
      <c r="G10" s="239">
        <v>4674.6099999999997</v>
      </c>
      <c r="H10" s="239">
        <v>209.15</v>
      </c>
      <c r="I10" s="239">
        <f t="shared" si="1"/>
        <v>4465.46</v>
      </c>
      <c r="J10" s="239">
        <v>29200.55</v>
      </c>
      <c r="K10" s="239">
        <v>8498.8700000000008</v>
      </c>
      <c r="L10" s="239">
        <v>317.56</v>
      </c>
      <c r="M10" s="239">
        <v>21.65</v>
      </c>
      <c r="N10" s="27">
        <f t="shared" si="2"/>
        <v>1348.75519630485</v>
      </c>
      <c r="O10" s="240">
        <f t="shared" si="3"/>
        <v>0.15869817944089623</v>
      </c>
      <c r="Q10" s="257" t="s">
        <v>454</v>
      </c>
      <c r="R10" s="14">
        <v>0.32563560000000003</v>
      </c>
      <c r="S10" s="32">
        <v>1.11E-2</v>
      </c>
      <c r="T10" s="272">
        <f>R10*'One-Page'!$K$43</f>
        <v>3887.1121572000002</v>
      </c>
    </row>
    <row r="11" spans="2:22" x14ac:dyDescent="0.25">
      <c r="B11" s="236">
        <v>9</v>
      </c>
      <c r="C11" s="237" t="s">
        <v>334</v>
      </c>
      <c r="D11" s="239">
        <v>135.27000000000001</v>
      </c>
      <c r="E11" s="239">
        <v>136.34</v>
      </c>
      <c r="F11" s="239">
        <f t="shared" si="0"/>
        <v>18442.711800000001</v>
      </c>
      <c r="G11" s="239">
        <v>6562.53</v>
      </c>
      <c r="H11" s="239">
        <v>123.52</v>
      </c>
      <c r="I11" s="239">
        <f t="shared" si="1"/>
        <v>6439.0099999999993</v>
      </c>
      <c r="J11" s="239">
        <v>24881.25</v>
      </c>
      <c r="K11" s="239">
        <v>5785.29</v>
      </c>
      <c r="L11" s="239">
        <v>-163.77000000000001</v>
      </c>
      <c r="M11" s="239">
        <v>34.64</v>
      </c>
      <c r="N11" s="27">
        <f t="shared" si="2"/>
        <v>718.28088914549653</v>
      </c>
      <c r="O11" s="240">
        <f t="shared" si="3"/>
        <v>0.12415641897735404</v>
      </c>
      <c r="Q11" s="257" t="s">
        <v>455</v>
      </c>
      <c r="R11" s="14">
        <v>0.22861719999999999</v>
      </c>
      <c r="S11" s="32">
        <v>7.8000000000000005E-3</v>
      </c>
      <c r="T11" s="272">
        <f>R11*'One-Page'!$K$43</f>
        <v>2729.0035164000001</v>
      </c>
    </row>
    <row r="12" spans="2:22" x14ac:dyDescent="0.25">
      <c r="B12" s="236">
        <v>10</v>
      </c>
      <c r="C12" s="237" t="s">
        <v>335</v>
      </c>
      <c r="D12" s="239">
        <v>414.9</v>
      </c>
      <c r="E12" s="239">
        <v>35.72</v>
      </c>
      <c r="F12" s="239">
        <f t="shared" si="0"/>
        <v>14820.227999999999</v>
      </c>
      <c r="G12" s="239">
        <v>5803.75</v>
      </c>
      <c r="H12" s="239">
        <v>182.33</v>
      </c>
      <c r="I12" s="239">
        <f t="shared" si="1"/>
        <v>5621.42</v>
      </c>
      <c r="J12" s="239">
        <v>20395.14</v>
      </c>
      <c r="K12" s="239">
        <v>10781.88</v>
      </c>
      <c r="L12" s="239">
        <v>273.76</v>
      </c>
      <c r="M12" s="239">
        <v>11.87</v>
      </c>
      <c r="N12" s="27">
        <f t="shared" si="2"/>
        <v>1718.2089300758214</v>
      </c>
      <c r="O12" s="240">
        <f t="shared" si="3"/>
        <v>0.15936079144600213</v>
      </c>
      <c r="Q12" s="257" t="s">
        <v>456</v>
      </c>
      <c r="R12" s="14">
        <v>0.12585150000000001</v>
      </c>
      <c r="S12" s="32">
        <v>4.3E-3</v>
      </c>
      <c r="T12" s="272">
        <f>R12*'One-Page'!$K$43</f>
        <v>1502.2893555000001</v>
      </c>
    </row>
    <row r="13" spans="2:22" x14ac:dyDescent="0.25">
      <c r="B13" s="236">
        <v>11</v>
      </c>
      <c r="C13" s="237" t="s">
        <v>336</v>
      </c>
      <c r="D13" s="239">
        <v>390.3</v>
      </c>
      <c r="E13" s="239">
        <v>30.99</v>
      </c>
      <c r="F13" s="239">
        <f t="shared" si="0"/>
        <v>12095.396999999999</v>
      </c>
      <c r="G13" s="239">
        <v>1340.37</v>
      </c>
      <c r="H13" s="239">
        <v>104.13</v>
      </c>
      <c r="I13" s="239">
        <f t="shared" si="1"/>
        <v>1236.2399999999998</v>
      </c>
      <c r="J13" s="239">
        <v>13396.27</v>
      </c>
      <c r="K13" s="239">
        <v>4279.8900000000003</v>
      </c>
      <c r="L13" s="239">
        <v>12.56</v>
      </c>
      <c r="M13" s="239">
        <v>279.55</v>
      </c>
      <c r="N13" s="27">
        <f t="shared" si="2"/>
        <v>47.920837059560007</v>
      </c>
      <c r="O13" s="240">
        <f t="shared" si="3"/>
        <v>1.11967450237179E-2</v>
      </c>
    </row>
    <row r="14" spans="2:22" x14ac:dyDescent="0.25">
      <c r="B14" s="236">
        <v>12</v>
      </c>
      <c r="C14" s="237" t="s">
        <v>337</v>
      </c>
      <c r="D14" s="239">
        <v>832.95</v>
      </c>
      <c r="E14" s="239">
        <v>12.41</v>
      </c>
      <c r="F14" s="239">
        <f t="shared" si="0"/>
        <v>10336.909500000002</v>
      </c>
      <c r="G14" s="239">
        <v>2613.91</v>
      </c>
      <c r="H14" s="239">
        <v>196.9</v>
      </c>
      <c r="I14" s="239">
        <f t="shared" si="1"/>
        <v>2417.0099999999998</v>
      </c>
      <c r="J14" s="239">
        <v>12757.62</v>
      </c>
      <c r="K14" s="239">
        <v>6369.67</v>
      </c>
      <c r="L14" s="239">
        <v>366.45</v>
      </c>
      <c r="M14" s="239">
        <v>12.68</v>
      </c>
      <c r="N14" s="27">
        <f t="shared" si="2"/>
        <v>1006.1214511041011</v>
      </c>
      <c r="O14" s="240">
        <f t="shared" si="3"/>
        <v>0.15795503552053733</v>
      </c>
    </row>
    <row r="15" spans="2:22" x14ac:dyDescent="0.25">
      <c r="B15" s="236">
        <v>13</v>
      </c>
      <c r="C15" s="237" t="s">
        <v>338</v>
      </c>
      <c r="D15" s="239">
        <v>251</v>
      </c>
      <c r="E15" s="239">
        <v>40.42</v>
      </c>
      <c r="F15" s="239">
        <f t="shared" si="0"/>
        <v>10145.42</v>
      </c>
      <c r="G15" s="239">
        <v>402.75</v>
      </c>
      <c r="H15" s="239">
        <v>52.43</v>
      </c>
      <c r="I15" s="239">
        <f t="shared" si="1"/>
        <v>350.32</v>
      </c>
      <c r="J15" s="239">
        <v>10495.25</v>
      </c>
      <c r="K15" s="239">
        <v>3324.39</v>
      </c>
      <c r="L15" s="239">
        <v>236</v>
      </c>
      <c r="M15" s="239">
        <v>14.96</v>
      </c>
      <c r="N15" s="27">
        <f t="shared" si="2"/>
        <v>701.55414438502669</v>
      </c>
      <c r="O15" s="240">
        <f t="shared" si="3"/>
        <v>0.21103244336104571</v>
      </c>
      <c r="Q15" t="s">
        <v>1707</v>
      </c>
    </row>
    <row r="16" spans="2:22" x14ac:dyDescent="0.25">
      <c r="B16" s="236">
        <v>14</v>
      </c>
      <c r="C16" s="237" t="s">
        <v>339</v>
      </c>
      <c r="D16" s="239">
        <v>1168.8</v>
      </c>
      <c r="E16" s="239">
        <v>7.7</v>
      </c>
      <c r="F16" s="239">
        <f t="shared" si="0"/>
        <v>8999.76</v>
      </c>
      <c r="G16" s="239">
        <v>3488.58</v>
      </c>
      <c r="H16" s="239">
        <v>126.48</v>
      </c>
      <c r="I16" s="239">
        <f t="shared" si="1"/>
        <v>3362.1</v>
      </c>
      <c r="J16" s="239">
        <v>12363.03</v>
      </c>
      <c r="K16" s="239">
        <v>9478.34</v>
      </c>
      <c r="L16" s="239">
        <v>382.17</v>
      </c>
      <c r="M16" s="239">
        <v>8.7200000000000006</v>
      </c>
      <c r="N16" s="27">
        <f t="shared" si="2"/>
        <v>1417.7786697247707</v>
      </c>
      <c r="O16" s="240">
        <f t="shared" si="3"/>
        <v>0.14958090443313604</v>
      </c>
      <c r="Q16" t="s">
        <v>1704</v>
      </c>
    </row>
    <row r="17" spans="2:17" x14ac:dyDescent="0.25">
      <c r="B17" s="236">
        <v>15</v>
      </c>
      <c r="C17" s="237" t="s">
        <v>340</v>
      </c>
      <c r="D17" s="239">
        <v>158.38</v>
      </c>
      <c r="E17" s="239">
        <v>50.34</v>
      </c>
      <c r="F17" s="239">
        <f t="shared" si="0"/>
        <v>7972.8492000000006</v>
      </c>
      <c r="G17" s="239">
        <v>1977.8</v>
      </c>
      <c r="H17" s="239">
        <v>478.22</v>
      </c>
      <c r="I17" s="239">
        <f t="shared" si="1"/>
        <v>1499.58</v>
      </c>
      <c r="J17" s="239">
        <v>9471.7999999999993</v>
      </c>
      <c r="K17" s="239">
        <v>7530.11</v>
      </c>
      <c r="L17" s="239">
        <v>57.81</v>
      </c>
      <c r="M17" s="239">
        <v>15.92</v>
      </c>
      <c r="N17" s="27">
        <f t="shared" si="2"/>
        <v>594.96231155778889</v>
      </c>
      <c r="O17" s="240">
        <f t="shared" si="3"/>
        <v>7.9011104958332468E-2</v>
      </c>
      <c r="Q17" t="s">
        <v>1710</v>
      </c>
    </row>
    <row r="18" spans="2:17" x14ac:dyDescent="0.25">
      <c r="B18" s="236">
        <v>16</v>
      </c>
      <c r="C18" s="237" t="s">
        <v>341</v>
      </c>
      <c r="D18" s="239">
        <v>194.37</v>
      </c>
      <c r="E18" s="239">
        <v>22.66</v>
      </c>
      <c r="F18" s="239">
        <f t="shared" si="0"/>
        <v>4404.4242000000004</v>
      </c>
      <c r="G18" s="239">
        <v>75.41</v>
      </c>
      <c r="H18" s="239">
        <v>478.16</v>
      </c>
      <c r="I18" s="239">
        <f t="shared" si="1"/>
        <v>-402.75</v>
      </c>
      <c r="J18" s="239">
        <v>4001.93</v>
      </c>
      <c r="K18" s="239">
        <v>2214.23</v>
      </c>
      <c r="L18" s="239">
        <v>115.08</v>
      </c>
      <c r="M18" s="239">
        <v>13.67</v>
      </c>
      <c r="N18" s="27">
        <f t="shared" si="2"/>
        <v>292.75274323335771</v>
      </c>
      <c r="O18" s="240">
        <f t="shared" si="3"/>
        <v>0.13221424297988812</v>
      </c>
      <c r="Q18" t="s">
        <v>1706</v>
      </c>
    </row>
    <row r="19" spans="2:17" x14ac:dyDescent="0.25">
      <c r="B19" s="236">
        <v>17</v>
      </c>
      <c r="C19" s="237" t="s">
        <v>342</v>
      </c>
      <c r="D19" s="239">
        <v>213.18</v>
      </c>
      <c r="E19" s="239">
        <v>20.55</v>
      </c>
      <c r="F19" s="239">
        <f t="shared" si="0"/>
        <v>4380.8490000000002</v>
      </c>
      <c r="G19" s="239">
        <v>69.73</v>
      </c>
      <c r="H19" s="239">
        <v>48.87</v>
      </c>
      <c r="I19" s="239">
        <f t="shared" si="1"/>
        <v>20.860000000000007</v>
      </c>
      <c r="J19" s="239">
        <v>4400.8500000000004</v>
      </c>
      <c r="K19" s="239">
        <v>2879.05</v>
      </c>
      <c r="L19" s="239">
        <v>259.89999999999998</v>
      </c>
      <c r="M19" s="239">
        <v>10.9</v>
      </c>
      <c r="N19" s="27">
        <f t="shared" si="2"/>
        <v>403.74770642201838</v>
      </c>
      <c r="O19" s="240">
        <f t="shared" si="3"/>
        <v>0.14023643438704378</v>
      </c>
      <c r="Q19" t="s">
        <v>1705</v>
      </c>
    </row>
    <row r="20" spans="2:17" x14ac:dyDescent="0.25">
      <c r="B20" s="236">
        <v>18</v>
      </c>
      <c r="C20" s="237" t="s">
        <v>343</v>
      </c>
      <c r="D20" s="239">
        <v>227.92</v>
      </c>
      <c r="E20" s="239">
        <v>13.07</v>
      </c>
      <c r="F20" s="239">
        <f t="shared" si="0"/>
        <v>2978.9144000000001</v>
      </c>
      <c r="G20" s="239">
        <v>1640.01</v>
      </c>
      <c r="H20" s="239">
        <v>163.72</v>
      </c>
      <c r="I20" s="239">
        <f t="shared" si="1"/>
        <v>1476.29</v>
      </c>
      <c r="J20" s="239">
        <v>4444.26</v>
      </c>
      <c r="K20" s="239">
        <v>2494.44</v>
      </c>
      <c r="L20" s="239">
        <v>-164.18</v>
      </c>
      <c r="M20" s="239">
        <v>16.829999999999998</v>
      </c>
      <c r="N20" s="27">
        <f t="shared" si="2"/>
        <v>264.0677361853833</v>
      </c>
      <c r="O20" s="240">
        <f t="shared" si="3"/>
        <v>0.10586253274698261</v>
      </c>
      <c r="Q20" t="s">
        <v>1714</v>
      </c>
    </row>
    <row r="21" spans="2:17" x14ac:dyDescent="0.25">
      <c r="B21" s="236">
        <v>19</v>
      </c>
      <c r="C21" s="237" t="s">
        <v>344</v>
      </c>
      <c r="D21" s="239">
        <v>199.89</v>
      </c>
      <c r="E21" s="239">
        <v>12.89</v>
      </c>
      <c r="F21" s="239">
        <f t="shared" si="0"/>
        <v>2576.5821000000001</v>
      </c>
      <c r="G21" s="239">
        <v>542.15</v>
      </c>
      <c r="H21" s="239">
        <v>977.93</v>
      </c>
      <c r="I21" s="239">
        <f t="shared" si="1"/>
        <v>-435.78</v>
      </c>
      <c r="J21" s="239">
        <v>2141.23</v>
      </c>
      <c r="K21" s="239">
        <v>2514.42</v>
      </c>
      <c r="L21" s="239">
        <v>291.12</v>
      </c>
      <c r="M21" s="239">
        <v>4.8600000000000003</v>
      </c>
      <c r="N21" s="27">
        <f t="shared" si="2"/>
        <v>440.58230452674894</v>
      </c>
      <c r="O21" s="240">
        <f t="shared" si="3"/>
        <v>0.17522223993077884</v>
      </c>
      <c r="Q21" t="s">
        <v>1716</v>
      </c>
    </row>
    <row r="22" spans="2:17" x14ac:dyDescent="0.25">
      <c r="B22" s="236">
        <v>20</v>
      </c>
      <c r="C22" s="237" t="s">
        <v>345</v>
      </c>
      <c r="D22" s="239">
        <v>788.5</v>
      </c>
      <c r="E22" s="239">
        <v>2.75</v>
      </c>
      <c r="F22" s="239">
        <f t="shared" si="0"/>
        <v>2168.375</v>
      </c>
      <c r="G22" s="239">
        <v>627.30999999999995</v>
      </c>
      <c r="H22" s="239">
        <v>167.17</v>
      </c>
      <c r="I22" s="239">
        <f t="shared" si="1"/>
        <v>460.14</v>
      </c>
      <c r="J22" s="239">
        <v>2628.3</v>
      </c>
      <c r="K22" s="239">
        <v>1752.16</v>
      </c>
      <c r="L22" s="239">
        <v>60.26</v>
      </c>
      <c r="M22" s="239">
        <v>10.84</v>
      </c>
      <c r="N22" s="27">
        <f t="shared" si="2"/>
        <v>242.46309963099634</v>
      </c>
      <c r="O22" s="240">
        <f t="shared" si="3"/>
        <v>0.13837954275351355</v>
      </c>
    </row>
    <row r="23" spans="2:17" x14ac:dyDescent="0.25">
      <c r="B23" s="236">
        <v>21</v>
      </c>
      <c r="C23" s="237" t="s">
        <v>346</v>
      </c>
      <c r="D23" s="239">
        <v>63.76</v>
      </c>
      <c r="E23" s="239">
        <v>25.83</v>
      </c>
      <c r="F23" s="239">
        <f t="shared" si="0"/>
        <v>1646.9207999999999</v>
      </c>
      <c r="G23" s="239">
        <v>2506.14</v>
      </c>
      <c r="H23" s="239">
        <v>21.88</v>
      </c>
      <c r="I23" s="239">
        <f t="shared" si="1"/>
        <v>2484.2599999999998</v>
      </c>
      <c r="J23" s="239">
        <v>4131.3500000000004</v>
      </c>
      <c r="K23" s="239">
        <v>991.09</v>
      </c>
      <c r="L23" s="239">
        <v>-484.95</v>
      </c>
      <c r="M23" s="239">
        <v>33.1</v>
      </c>
      <c r="N23" s="27">
        <f t="shared" si="2"/>
        <v>124.8141993957704</v>
      </c>
      <c r="O23" s="240">
        <f t="shared" si="3"/>
        <v>0.12593629175531021</v>
      </c>
    </row>
    <row r="24" spans="2:17" x14ac:dyDescent="0.25">
      <c r="B24" s="236">
        <v>22</v>
      </c>
      <c r="C24" s="237" t="s">
        <v>347</v>
      </c>
      <c r="D24" s="239">
        <v>1029.5</v>
      </c>
      <c r="E24" s="239">
        <v>1.4</v>
      </c>
      <c r="F24" s="239">
        <f t="shared" si="0"/>
        <v>1441.3</v>
      </c>
      <c r="G24" s="239">
        <v>714.15</v>
      </c>
      <c r="H24" s="239">
        <v>144.36000000000001</v>
      </c>
      <c r="I24" s="239">
        <f t="shared" si="1"/>
        <v>569.79</v>
      </c>
      <c r="J24" s="239">
        <v>2011.86</v>
      </c>
      <c r="K24" s="239">
        <v>505.39</v>
      </c>
      <c r="L24" s="239">
        <v>20.07</v>
      </c>
      <c r="M24" s="239">
        <v>29.65</v>
      </c>
      <c r="N24" s="27">
        <f t="shared" si="2"/>
        <v>67.853625632377742</v>
      </c>
      <c r="O24" s="240">
        <f t="shared" si="3"/>
        <v>0.1342599292276811</v>
      </c>
    </row>
    <row r="25" spans="2:17" x14ac:dyDescent="0.25">
      <c r="B25" s="236">
        <v>23</v>
      </c>
      <c r="C25" s="237" t="s">
        <v>348</v>
      </c>
      <c r="D25" s="239">
        <v>90.08</v>
      </c>
      <c r="E25" s="239">
        <v>14.79</v>
      </c>
      <c r="F25" s="239">
        <f t="shared" si="0"/>
        <v>1332.2831999999999</v>
      </c>
      <c r="G25" s="239">
        <v>142.97999999999999</v>
      </c>
      <c r="H25" s="239">
        <v>49.94</v>
      </c>
      <c r="I25" s="239">
        <f t="shared" si="1"/>
        <v>93.039999999999992</v>
      </c>
      <c r="J25" s="239">
        <v>1468.94</v>
      </c>
      <c r="K25" s="239">
        <v>760.48</v>
      </c>
      <c r="L25" s="239">
        <v>37.549999999999997</v>
      </c>
      <c r="M25" s="239">
        <v>18.350000000000001</v>
      </c>
      <c r="N25" s="27">
        <f t="shared" si="2"/>
        <v>80.051226158038148</v>
      </c>
      <c r="O25" s="240">
        <f t="shared" si="3"/>
        <v>0.10526407815858162</v>
      </c>
    </row>
    <row r="26" spans="2:17" x14ac:dyDescent="0.25">
      <c r="B26" s="236">
        <v>24</v>
      </c>
      <c r="C26" s="237" t="s">
        <v>349</v>
      </c>
      <c r="D26" s="239">
        <v>101.72</v>
      </c>
      <c r="E26" s="239">
        <v>11.13</v>
      </c>
      <c r="F26" s="239">
        <f t="shared" si="0"/>
        <v>1132.1436000000001</v>
      </c>
      <c r="G26" s="239">
        <v>135.71</v>
      </c>
      <c r="H26" s="239">
        <v>235.72</v>
      </c>
      <c r="I26" s="239">
        <f t="shared" si="1"/>
        <v>-100.00999999999999</v>
      </c>
      <c r="J26" s="239">
        <v>1031.6600000000001</v>
      </c>
      <c r="K26" s="239">
        <v>1575.4</v>
      </c>
      <c r="L26" s="239">
        <v>13.97</v>
      </c>
      <c r="M26" s="239">
        <v>14.2</v>
      </c>
      <c r="N26" s="27">
        <f t="shared" si="2"/>
        <v>72.652112676056348</v>
      </c>
      <c r="O26" s="240">
        <f t="shared" si="3"/>
        <v>4.6116613352835054E-2</v>
      </c>
    </row>
    <row r="27" spans="2:17" x14ac:dyDescent="0.25">
      <c r="B27" s="241">
        <v>25</v>
      </c>
      <c r="C27" s="242" t="s">
        <v>350</v>
      </c>
      <c r="D27" s="243">
        <v>198.47</v>
      </c>
      <c r="E27" s="243">
        <v>4.5199999999999996</v>
      </c>
      <c r="F27" s="243">
        <f t="shared" si="0"/>
        <v>897.08439999999996</v>
      </c>
      <c r="G27" s="243">
        <v>252.47</v>
      </c>
      <c r="H27" s="243">
        <v>21.38</v>
      </c>
      <c r="I27" s="243">
        <f t="shared" si="1"/>
        <v>231.09</v>
      </c>
      <c r="J27" s="243">
        <v>1128.83</v>
      </c>
      <c r="K27" s="243">
        <v>1393.11</v>
      </c>
      <c r="L27" s="243">
        <v>32.659999999999997</v>
      </c>
      <c r="M27" s="243">
        <v>7.73</v>
      </c>
      <c r="N27" s="51">
        <f t="shared" si="2"/>
        <v>146.03234152652004</v>
      </c>
      <c r="O27" s="244">
        <f t="shared" si="3"/>
        <v>0.10482470266276177</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91BA-0333-45BF-ABB8-72F6D3FDD6F3}">
  <sheetPr>
    <tabColor rgb="FF002060"/>
  </sheetPr>
  <dimension ref="B7:G35"/>
  <sheetViews>
    <sheetView showGridLines="0" topLeftCell="A5" zoomScale="80" zoomScaleNormal="80" workbookViewId="0">
      <selection activeCell="F27" sqref="F27"/>
    </sheetView>
  </sheetViews>
  <sheetFormatPr defaultRowHeight="15" x14ac:dyDescent="0.25"/>
  <cols>
    <col min="1" max="1" width="1.85546875" customWidth="1"/>
    <col min="3" max="3" width="10.42578125" customWidth="1"/>
    <col min="6" max="6" width="14.5703125" customWidth="1"/>
    <col min="7" max="7" width="10.28515625" bestFit="1" customWidth="1"/>
  </cols>
  <sheetData>
    <row r="7" spans="2:7" x14ac:dyDescent="0.25">
      <c r="B7" s="322" t="s">
        <v>227</v>
      </c>
      <c r="C7" s="322"/>
    </row>
    <row r="9" spans="2:7" x14ac:dyDescent="0.25">
      <c r="B9" s="91" t="s">
        <v>225</v>
      </c>
      <c r="C9" s="110" t="s">
        <v>226</v>
      </c>
      <c r="E9" s="20" t="s">
        <v>228</v>
      </c>
      <c r="F9" s="20"/>
      <c r="G9" s="113">
        <f t="array" ref="G9">PRODUCT(1+C10:C34)^(1/25)-1</f>
        <v>0.11696191456978311</v>
      </c>
    </row>
    <row r="10" spans="2:7" x14ac:dyDescent="0.25">
      <c r="B10" s="18">
        <v>2000</v>
      </c>
      <c r="C10" s="77">
        <v>-0.14649999999999999</v>
      </c>
      <c r="E10" s="20" t="s">
        <v>229</v>
      </c>
      <c r="F10" s="20"/>
      <c r="G10" s="112">
        <v>1.35E-2</v>
      </c>
    </row>
    <row r="11" spans="2:7" x14ac:dyDescent="0.25">
      <c r="B11" s="18">
        <v>2001</v>
      </c>
      <c r="C11" s="77">
        <v>-0.1618</v>
      </c>
      <c r="E11" s="19" t="s">
        <v>230</v>
      </c>
      <c r="G11" s="111">
        <f>SUM(G9:G10)</f>
        <v>0.13046191456978312</v>
      </c>
    </row>
    <row r="12" spans="2:7" x14ac:dyDescent="0.25">
      <c r="B12" s="18">
        <v>2002</v>
      </c>
      <c r="C12" s="77">
        <v>3.2500000000000001E-2</v>
      </c>
    </row>
    <row r="13" spans="2:7" x14ac:dyDescent="0.25">
      <c r="B13" s="18">
        <v>2003</v>
      </c>
      <c r="C13" s="77">
        <v>0.71900000000000008</v>
      </c>
      <c r="E13" s="19" t="s">
        <v>231</v>
      </c>
      <c r="G13" s="177">
        <f>'Data Sheet'!K27</f>
        <v>1650.54</v>
      </c>
    </row>
    <row r="14" spans="2:7" x14ac:dyDescent="0.25">
      <c r="B14" s="18">
        <v>2004</v>
      </c>
      <c r="C14" s="77">
        <v>0.10679999999999999</v>
      </c>
    </row>
    <row r="15" spans="2:7" x14ac:dyDescent="0.25">
      <c r="B15" s="18">
        <v>2005</v>
      </c>
      <c r="C15" s="77">
        <v>0.36340000000000006</v>
      </c>
    </row>
    <row r="16" spans="2:7" x14ac:dyDescent="0.25">
      <c r="B16" s="18">
        <v>2006</v>
      </c>
      <c r="C16" s="77">
        <v>0.39829999999999999</v>
      </c>
    </row>
    <row r="17" spans="2:3" x14ac:dyDescent="0.25">
      <c r="B17" s="18">
        <v>2007</v>
      </c>
      <c r="C17" s="77">
        <v>0.54770000000000008</v>
      </c>
    </row>
    <row r="18" spans="2:3" x14ac:dyDescent="0.25">
      <c r="B18" s="18">
        <v>2008</v>
      </c>
      <c r="C18" s="77">
        <v>-0.51790000000000003</v>
      </c>
    </row>
    <row r="19" spans="2:3" x14ac:dyDescent="0.25">
      <c r="B19" s="18">
        <v>2009</v>
      </c>
      <c r="C19" s="77">
        <v>0.75760000000000005</v>
      </c>
    </row>
    <row r="20" spans="2:3" x14ac:dyDescent="0.25">
      <c r="B20" s="18">
        <v>2010</v>
      </c>
      <c r="C20" s="77">
        <v>0.17949999999999999</v>
      </c>
    </row>
    <row r="21" spans="2:3" x14ac:dyDescent="0.25">
      <c r="B21" s="18">
        <v>2011</v>
      </c>
      <c r="C21" s="77">
        <v>-0.2462</v>
      </c>
    </row>
    <row r="22" spans="2:3" x14ac:dyDescent="0.25">
      <c r="B22" s="18">
        <v>2012</v>
      </c>
      <c r="C22" s="77">
        <v>0.27699999999999997</v>
      </c>
    </row>
    <row r="23" spans="2:3" x14ac:dyDescent="0.25">
      <c r="B23" s="18">
        <v>2013</v>
      </c>
      <c r="C23" s="77">
        <v>6.7599999999999993E-2</v>
      </c>
    </row>
    <row r="24" spans="2:3" x14ac:dyDescent="0.25">
      <c r="B24" s="18">
        <v>2014</v>
      </c>
      <c r="C24" s="77">
        <v>0.31390000000000001</v>
      </c>
    </row>
    <row r="25" spans="2:3" x14ac:dyDescent="0.25">
      <c r="B25" s="18">
        <v>2015</v>
      </c>
      <c r="C25" s="77">
        <v>-4.0599999999999997E-2</v>
      </c>
    </row>
    <row r="26" spans="2:3" x14ac:dyDescent="0.25">
      <c r="B26" s="18">
        <v>2016</v>
      </c>
      <c r="C26" s="77">
        <v>3.0099999999999998E-2</v>
      </c>
    </row>
    <row r="27" spans="2:3" x14ac:dyDescent="0.25">
      <c r="B27" s="18">
        <v>2017</v>
      </c>
      <c r="C27" s="77">
        <v>0.28649999999999998</v>
      </c>
    </row>
    <row r="28" spans="2:3" x14ac:dyDescent="0.25">
      <c r="B28" s="18">
        <v>2018</v>
      </c>
      <c r="C28" s="77">
        <v>3.15E-2</v>
      </c>
    </row>
    <row r="29" spans="2:3" x14ac:dyDescent="0.25">
      <c r="B29" s="18">
        <v>2019</v>
      </c>
      <c r="C29" s="77">
        <v>0.1202</v>
      </c>
    </row>
    <row r="30" spans="2:3" x14ac:dyDescent="0.25">
      <c r="B30" s="18">
        <v>2020</v>
      </c>
      <c r="C30" s="77">
        <v>0.14899999999999999</v>
      </c>
    </row>
    <row r="31" spans="2:3" x14ac:dyDescent="0.25">
      <c r="B31" s="18">
        <v>2021</v>
      </c>
      <c r="C31" s="77">
        <v>0.2412</v>
      </c>
    </row>
    <row r="32" spans="2:3" x14ac:dyDescent="0.25">
      <c r="B32" s="18">
        <v>2022</v>
      </c>
      <c r="C32" s="77">
        <v>4.3200000000000002E-2</v>
      </c>
    </row>
    <row r="33" spans="2:3" x14ac:dyDescent="0.25">
      <c r="B33" s="18">
        <v>2023</v>
      </c>
      <c r="C33" s="77">
        <v>0.19420000000000001</v>
      </c>
    </row>
    <row r="34" spans="2:3" x14ac:dyDescent="0.25">
      <c r="B34" s="18">
        <v>2024</v>
      </c>
      <c r="C34" s="77">
        <v>8.7499999999999994E-2</v>
      </c>
    </row>
    <row r="35" spans="2:3" x14ac:dyDescent="0.25">
      <c r="B35" s="18"/>
    </row>
  </sheetData>
  <mergeCells count="1">
    <mergeCell ref="B7:C7"/>
  </mergeCells>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17878-8412-40C0-A9D0-659486CDFA16}">
  <sheetPr>
    <tabColor rgb="FF002060"/>
  </sheetPr>
  <dimension ref="B3:AG1244"/>
  <sheetViews>
    <sheetView showGridLines="0" topLeftCell="Q1" zoomScale="80" zoomScaleNormal="80" workbookViewId="0">
      <selection activeCell="AF7" sqref="AF7"/>
    </sheetView>
  </sheetViews>
  <sheetFormatPr defaultRowHeight="15" x14ac:dyDescent="0.25"/>
  <cols>
    <col min="1" max="1" width="1.85546875" customWidth="1"/>
    <col min="2" max="2" width="15.7109375" bestFit="1" customWidth="1"/>
    <col min="3" max="3" width="12.28515625" customWidth="1"/>
    <col min="4" max="4" width="16" customWidth="1"/>
    <col min="6" max="6" width="12.28515625" bestFit="1" customWidth="1"/>
    <col min="7" max="7" width="15.28515625" bestFit="1" customWidth="1"/>
    <col min="9" max="9" width="20.85546875" bestFit="1" customWidth="1"/>
    <col min="10" max="10" width="12.7109375" bestFit="1" customWidth="1"/>
    <col min="11" max="11" width="14.5703125" bestFit="1" customWidth="1"/>
    <col min="12" max="13" width="12" bestFit="1" customWidth="1"/>
    <col min="14" max="14" width="13.42578125" bestFit="1" customWidth="1"/>
    <col min="15" max="15" width="12" bestFit="1" customWidth="1"/>
    <col min="16" max="16" width="12.7109375" bestFit="1" customWidth="1"/>
    <col min="17" max="17" width="12.5703125" bestFit="1" customWidth="1"/>
    <col min="27" max="27" width="11.28515625" bestFit="1" customWidth="1"/>
    <col min="28" max="28" width="9.85546875" bestFit="1" customWidth="1"/>
    <col min="29" max="29" width="8.140625" bestFit="1" customWidth="1"/>
    <col min="30" max="30" width="9.85546875" bestFit="1" customWidth="1"/>
    <col min="32" max="32" width="21.7109375" bestFit="1" customWidth="1"/>
  </cols>
  <sheetData>
    <row r="3" spans="2:33" x14ac:dyDescent="0.25">
      <c r="AA3" t="s">
        <v>148</v>
      </c>
      <c r="AB3" s="260" t="s">
        <v>308</v>
      </c>
      <c r="AC3" s="260" t="s">
        <v>713</v>
      </c>
      <c r="AD3" s="260" t="str">
        <f>AC3</f>
        <v>Vol.</v>
      </c>
      <c r="AF3" s="18" t="s">
        <v>1690</v>
      </c>
      <c r="AG3" s="32">
        <v>0.59230000000000005</v>
      </c>
    </row>
    <row r="4" spans="2:33" x14ac:dyDescent="0.25">
      <c r="AA4" s="268">
        <v>44200</v>
      </c>
      <c r="AB4" s="269">
        <v>5327.2</v>
      </c>
      <c r="AC4" s="14" t="s">
        <v>714</v>
      </c>
      <c r="AD4">
        <f t="shared" ref="AD4:AD67" si="0">(IF(RIGHT(AC4,1)="K",
    VALUE(LEFT(AC4,LEN(AC4)-1))*1000,
    IF(RIGHT(AC4,1)="M",
       VALUE(LEFT(AC4,LEN(AC4)-1))*1000000,
       VALUE(AC4)
    )
))/10000</f>
        <v>45.378</v>
      </c>
      <c r="AF4" s="18" t="s">
        <v>1691</v>
      </c>
      <c r="AG4" s="32">
        <v>0.15329999999999999</v>
      </c>
    </row>
    <row r="5" spans="2:33" x14ac:dyDescent="0.25">
      <c r="AA5" s="268">
        <v>44201</v>
      </c>
      <c r="AB5" s="269">
        <v>5341.2</v>
      </c>
      <c r="AC5" s="14" t="s">
        <v>715</v>
      </c>
      <c r="AD5">
        <f t="shared" si="0"/>
        <v>53.095999999999997</v>
      </c>
      <c r="AF5" s="18" t="s">
        <v>1692</v>
      </c>
      <c r="AG5" s="32">
        <v>0.16650000000000001</v>
      </c>
    </row>
    <row r="6" spans="2:33" s="27" customFormat="1" x14ac:dyDescent="0.25">
      <c r="B6" s="53" t="s">
        <v>153</v>
      </c>
      <c r="C6" s="51"/>
      <c r="D6" s="51"/>
      <c r="E6" s="51"/>
      <c r="F6" s="51"/>
      <c r="G6" s="51"/>
      <c r="H6" s="51"/>
      <c r="I6" s="51"/>
      <c r="J6" s="51"/>
      <c r="AA6" s="268">
        <v>44202</v>
      </c>
      <c r="AB6" s="269">
        <v>5448.35</v>
      </c>
      <c r="AC6" s="14" t="s">
        <v>716</v>
      </c>
      <c r="AD6">
        <f t="shared" si="0"/>
        <v>70.144999999999996</v>
      </c>
      <c r="AF6" s="237" t="s">
        <v>1702</v>
      </c>
      <c r="AG6" s="28">
        <f>0.05%+8.55%+0.2%</f>
        <v>8.8000000000000009E-2</v>
      </c>
    </row>
    <row r="7" spans="2:33" s="27" customFormat="1" x14ac:dyDescent="0.25">
      <c r="B7" s="69"/>
      <c r="AA7" s="268">
        <v>44203</v>
      </c>
      <c r="AB7" s="269">
        <v>5397.95</v>
      </c>
      <c r="AC7" s="14" t="s">
        <v>717</v>
      </c>
      <c r="AD7">
        <f t="shared" si="0"/>
        <v>74.239999999999995</v>
      </c>
      <c r="AG7" s="270"/>
    </row>
    <row r="8" spans="2:33" x14ac:dyDescent="0.25">
      <c r="B8" s="322" t="str">
        <f>'Data Sheet'!$B$1&amp;" Returns"</f>
        <v>ULTRATECH CEMENT LTD Returns</v>
      </c>
      <c r="C8" s="322"/>
      <c r="D8" s="322"/>
      <c r="F8" s="322" t="s">
        <v>151</v>
      </c>
      <c r="G8" s="322"/>
      <c r="I8" s="322" t="s">
        <v>152</v>
      </c>
      <c r="J8" s="322"/>
      <c r="AA8" s="268">
        <v>44204</v>
      </c>
      <c r="AB8" s="269">
        <v>5591.75</v>
      </c>
      <c r="AC8" s="14" t="s">
        <v>718</v>
      </c>
      <c r="AD8">
        <f t="shared" si="0"/>
        <v>80.268000000000001</v>
      </c>
    </row>
    <row r="9" spans="2:33" s="27" customFormat="1" x14ac:dyDescent="0.25">
      <c r="AA9" s="268">
        <v>44207</v>
      </c>
      <c r="AB9" s="269">
        <v>5623.7</v>
      </c>
      <c r="AC9" s="14" t="s">
        <v>719</v>
      </c>
      <c r="AD9">
        <f t="shared" si="0"/>
        <v>71.457999999999998</v>
      </c>
    </row>
    <row r="10" spans="2:33" x14ac:dyDescent="0.25">
      <c r="B10" s="70" t="s">
        <v>148</v>
      </c>
      <c r="C10" s="71" t="s">
        <v>149</v>
      </c>
      <c r="D10" s="71" t="s">
        <v>150</v>
      </c>
      <c r="E10" s="15"/>
      <c r="F10" s="71" t="s">
        <v>149</v>
      </c>
      <c r="G10" s="71" t="s">
        <v>150</v>
      </c>
      <c r="I10" s="72" t="s">
        <v>154</v>
      </c>
      <c r="J10" s="14">
        <f>J35</f>
        <v>1.2661066359509003</v>
      </c>
      <c r="AA10" s="268">
        <v>44208</v>
      </c>
      <c r="AB10" s="269">
        <v>5639</v>
      </c>
      <c r="AC10" s="14" t="s">
        <v>720</v>
      </c>
      <c r="AD10">
        <f t="shared" si="0"/>
        <v>59.143999999999998</v>
      </c>
    </row>
    <row r="11" spans="2:33" x14ac:dyDescent="0.25">
      <c r="B11" s="67">
        <v>45928</v>
      </c>
      <c r="C11" s="66">
        <v>12019</v>
      </c>
      <c r="F11" s="68">
        <v>24894.25</v>
      </c>
      <c r="I11" s="20" t="s">
        <v>155</v>
      </c>
      <c r="J11" s="77">
        <v>0.75</v>
      </c>
      <c r="AA11" s="268">
        <v>44209</v>
      </c>
      <c r="AB11" s="269">
        <v>5650.75</v>
      </c>
      <c r="AC11" s="14" t="s">
        <v>721</v>
      </c>
      <c r="AD11">
        <f t="shared" si="0"/>
        <v>42.323999999999998</v>
      </c>
    </row>
    <row r="12" spans="2:33" x14ac:dyDescent="0.25">
      <c r="B12" s="67">
        <v>45921</v>
      </c>
      <c r="C12" s="66">
        <v>12070</v>
      </c>
      <c r="D12" s="32">
        <f>C12/C11-1</f>
        <v>4.2432814710042788E-3</v>
      </c>
      <c r="F12" s="68">
        <v>24654.7</v>
      </c>
      <c r="G12" s="32">
        <f>F12/F11-1</f>
        <v>-9.6227040380810758E-3</v>
      </c>
      <c r="AA12" s="268">
        <v>44210</v>
      </c>
      <c r="AB12" s="269">
        <v>5582.35</v>
      </c>
      <c r="AC12" s="14" t="s">
        <v>722</v>
      </c>
      <c r="AD12">
        <f t="shared" si="0"/>
        <v>46.42</v>
      </c>
    </row>
    <row r="13" spans="2:33" x14ac:dyDescent="0.25">
      <c r="B13" s="67">
        <v>45914</v>
      </c>
      <c r="C13" s="66">
        <v>12508</v>
      </c>
      <c r="D13" s="32">
        <f t="shared" ref="D13:D76" si="1">C13/C12-1</f>
        <v>3.6288318144159115E-2</v>
      </c>
      <c r="F13" s="68">
        <v>25327.05</v>
      </c>
      <c r="G13" s="32">
        <f t="shared" ref="G13:G76" si="2">F13/F12-1</f>
        <v>2.7270662388915623E-2</v>
      </c>
      <c r="I13" s="20" t="s">
        <v>156</v>
      </c>
      <c r="J13" s="78">
        <v>1</v>
      </c>
      <c r="AA13" s="268">
        <v>44211</v>
      </c>
      <c r="AB13" s="269">
        <v>5452.25</v>
      </c>
      <c r="AC13" s="14" t="s">
        <v>723</v>
      </c>
      <c r="AD13">
        <f t="shared" si="0"/>
        <v>58.987000000000002</v>
      </c>
    </row>
    <row r="14" spans="2:33" x14ac:dyDescent="0.25">
      <c r="B14" s="67">
        <v>45907</v>
      </c>
      <c r="C14" s="66">
        <v>12370</v>
      </c>
      <c r="D14" s="32">
        <f t="shared" si="1"/>
        <v>-1.1032938919091739E-2</v>
      </c>
      <c r="F14" s="68">
        <v>25114</v>
      </c>
      <c r="G14" s="32">
        <f t="shared" si="2"/>
        <v>-8.4119548072120187E-3</v>
      </c>
      <c r="I14" s="20" t="s">
        <v>157</v>
      </c>
      <c r="J14" s="77">
        <v>0.25</v>
      </c>
      <c r="AA14" s="268">
        <v>44214</v>
      </c>
      <c r="AB14" s="269">
        <v>5386</v>
      </c>
      <c r="AC14" s="14" t="s">
        <v>724</v>
      </c>
      <c r="AD14">
        <f t="shared" si="0"/>
        <v>46.16</v>
      </c>
    </row>
    <row r="15" spans="2:33" x14ac:dyDescent="0.25">
      <c r="B15" s="67">
        <v>45900</v>
      </c>
      <c r="C15" s="66">
        <v>12601</v>
      </c>
      <c r="D15" s="32">
        <f t="shared" si="1"/>
        <v>1.867421180274853E-2</v>
      </c>
      <c r="F15" s="68">
        <v>24741</v>
      </c>
      <c r="G15" s="32">
        <f t="shared" si="2"/>
        <v>-1.4852273632236956E-2</v>
      </c>
      <c r="AA15" s="268">
        <v>44215</v>
      </c>
      <c r="AB15" s="269">
        <v>5490.1</v>
      </c>
      <c r="AC15" s="14" t="s">
        <v>725</v>
      </c>
      <c r="AD15">
        <f t="shared" si="0"/>
        <v>48.341999999999999</v>
      </c>
    </row>
    <row r="16" spans="2:33" x14ac:dyDescent="0.25">
      <c r="B16" s="67">
        <v>45893</v>
      </c>
      <c r="C16" s="66">
        <v>12640</v>
      </c>
      <c r="D16" s="32">
        <f t="shared" si="1"/>
        <v>3.0949924609158241E-3</v>
      </c>
      <c r="F16" s="68">
        <v>24426.85</v>
      </c>
      <c r="G16" s="32">
        <f t="shared" si="2"/>
        <v>-1.2697546582595698E-2</v>
      </c>
      <c r="I16" s="79" t="s">
        <v>158</v>
      </c>
      <c r="J16" s="80">
        <f>(J10*J11)+(J13*J14)</f>
        <v>1.1995799769631752</v>
      </c>
      <c r="AA16" s="268">
        <v>44216</v>
      </c>
      <c r="AB16" s="269">
        <v>5547.1</v>
      </c>
      <c r="AC16" s="14" t="s">
        <v>726</v>
      </c>
      <c r="AD16">
        <f t="shared" si="0"/>
        <v>32.106000000000002</v>
      </c>
    </row>
    <row r="17" spans="2:30" x14ac:dyDescent="0.25">
      <c r="B17" s="67">
        <v>45886</v>
      </c>
      <c r="C17" s="66">
        <v>12589</v>
      </c>
      <c r="D17" s="32">
        <f t="shared" si="1"/>
        <v>-4.0348101265822445E-3</v>
      </c>
      <c r="F17" s="68">
        <v>24870.1</v>
      </c>
      <c r="G17" s="32">
        <f t="shared" si="2"/>
        <v>1.8146015552557904E-2</v>
      </c>
      <c r="AA17" s="268">
        <v>44217</v>
      </c>
      <c r="AB17" s="269">
        <v>5543.45</v>
      </c>
      <c r="AC17" s="14" t="s">
        <v>727</v>
      </c>
      <c r="AD17">
        <f t="shared" si="0"/>
        <v>48.134999999999998</v>
      </c>
    </row>
    <row r="18" spans="2:30" x14ac:dyDescent="0.25">
      <c r="B18" s="67">
        <v>45879</v>
      </c>
      <c r="C18" s="66">
        <v>12317</v>
      </c>
      <c r="D18" s="32">
        <f t="shared" si="1"/>
        <v>-2.1606164111525938E-2</v>
      </c>
      <c r="F18" s="68">
        <v>24631.3</v>
      </c>
      <c r="G18" s="32">
        <f t="shared" si="2"/>
        <v>-9.6018914278591661E-3</v>
      </c>
      <c r="I18" t="s">
        <v>159</v>
      </c>
      <c r="AA18" s="268">
        <v>44218</v>
      </c>
      <c r="AB18" s="269">
        <v>5534.8</v>
      </c>
      <c r="AC18" s="14" t="s">
        <v>728</v>
      </c>
      <c r="AD18">
        <f t="shared" si="0"/>
        <v>68.069000000000003</v>
      </c>
    </row>
    <row r="19" spans="2:30" ht="15.75" thickBot="1" x14ac:dyDescent="0.3">
      <c r="B19" s="67">
        <v>45872</v>
      </c>
      <c r="C19" s="66">
        <v>12157</v>
      </c>
      <c r="D19" s="32">
        <f t="shared" si="1"/>
        <v>-1.2990176179264457E-2</v>
      </c>
      <c r="F19" s="68">
        <v>24363.3</v>
      </c>
      <c r="G19" s="32">
        <f t="shared" si="2"/>
        <v>-1.0880465099284198E-2</v>
      </c>
      <c r="AA19" s="268">
        <v>44221</v>
      </c>
      <c r="AB19" s="269">
        <v>5368.4</v>
      </c>
      <c r="AC19" s="14" t="s">
        <v>729</v>
      </c>
      <c r="AD19">
        <f t="shared" si="0"/>
        <v>324</v>
      </c>
    </row>
    <row r="20" spans="2:30" x14ac:dyDescent="0.25">
      <c r="B20" s="67">
        <v>45865</v>
      </c>
      <c r="C20" s="66">
        <v>12113</v>
      </c>
      <c r="D20" s="32">
        <f t="shared" si="1"/>
        <v>-3.6193139754874259E-3</v>
      </c>
      <c r="F20" s="68">
        <v>24565.35</v>
      </c>
      <c r="G20" s="32">
        <f t="shared" si="2"/>
        <v>8.2932115107559046E-3</v>
      </c>
      <c r="I20" s="76" t="s">
        <v>160</v>
      </c>
      <c r="J20" s="76"/>
      <c r="AA20" s="268">
        <v>44223</v>
      </c>
      <c r="AB20" s="269">
        <v>5404.85</v>
      </c>
      <c r="AC20" s="14" t="s">
        <v>730</v>
      </c>
      <c r="AD20">
        <f t="shared" si="0"/>
        <v>121</v>
      </c>
    </row>
    <row r="21" spans="2:30" x14ac:dyDescent="0.25">
      <c r="B21" s="67">
        <v>45858</v>
      </c>
      <c r="C21" s="66">
        <v>12250</v>
      </c>
      <c r="D21" s="32">
        <f t="shared" si="1"/>
        <v>1.131016263518525E-2</v>
      </c>
      <c r="F21" s="68">
        <v>24837</v>
      </c>
      <c r="G21" s="32">
        <f t="shared" si="2"/>
        <v>1.1058258889045103E-2</v>
      </c>
      <c r="I21" s="73" t="s">
        <v>161</v>
      </c>
      <c r="J21" s="73">
        <v>0.65855728130581426</v>
      </c>
      <c r="AA21" s="268">
        <v>44224</v>
      </c>
      <c r="AB21" s="269">
        <v>5443.7</v>
      </c>
      <c r="AC21" s="14" t="s">
        <v>731</v>
      </c>
      <c r="AD21">
        <f t="shared" si="0"/>
        <v>57.655000000000001</v>
      </c>
    </row>
    <row r="22" spans="2:30" x14ac:dyDescent="0.25">
      <c r="B22" s="67">
        <v>45851</v>
      </c>
      <c r="C22" s="66">
        <v>12498</v>
      </c>
      <c r="D22" s="32">
        <f t="shared" si="1"/>
        <v>2.0244897959183605E-2</v>
      </c>
      <c r="F22" s="68">
        <v>24968.400000000001</v>
      </c>
      <c r="G22" s="32">
        <f t="shared" si="2"/>
        <v>5.2904940210170004E-3</v>
      </c>
      <c r="I22" s="73" t="s">
        <v>162</v>
      </c>
      <c r="J22" s="73">
        <v>0.43369769276090542</v>
      </c>
      <c r="AA22" s="268">
        <v>44225</v>
      </c>
      <c r="AB22" s="269">
        <v>5327.25</v>
      </c>
      <c r="AC22" s="14" t="s">
        <v>732</v>
      </c>
      <c r="AD22">
        <f t="shared" si="0"/>
        <v>74.555999999999997</v>
      </c>
    </row>
    <row r="23" spans="2:30" x14ac:dyDescent="0.25">
      <c r="B23" s="67">
        <v>45844</v>
      </c>
      <c r="C23" s="66">
        <v>12495</v>
      </c>
      <c r="D23" s="32">
        <f t="shared" si="1"/>
        <v>-2.4003840614494898E-4</v>
      </c>
      <c r="F23" s="68">
        <v>25149.85</v>
      </c>
      <c r="G23" s="32">
        <f t="shared" si="2"/>
        <v>7.267185722753533E-3</v>
      </c>
      <c r="I23" s="73" t="s">
        <v>163</v>
      </c>
      <c r="J23" s="73">
        <v>0.42809073922388469</v>
      </c>
      <c r="AA23" s="268">
        <v>44228</v>
      </c>
      <c r="AB23" s="269">
        <v>5744.15</v>
      </c>
      <c r="AC23" s="14" t="s">
        <v>733</v>
      </c>
      <c r="AD23">
        <f t="shared" si="0"/>
        <v>146</v>
      </c>
    </row>
    <row r="24" spans="2:30" x14ac:dyDescent="0.25">
      <c r="B24" s="67">
        <v>45837</v>
      </c>
      <c r="C24" s="66">
        <v>12506</v>
      </c>
      <c r="D24" s="32">
        <f t="shared" si="1"/>
        <v>8.8035214085624425E-4</v>
      </c>
      <c r="F24" s="68">
        <v>25461</v>
      </c>
      <c r="G24" s="32">
        <f t="shared" si="2"/>
        <v>1.2371843172026997E-2</v>
      </c>
      <c r="I24" s="73" t="s">
        <v>164</v>
      </c>
      <c r="J24" s="73">
        <v>2.5273875863498052E-2</v>
      </c>
      <c r="AA24" s="268">
        <v>44229</v>
      </c>
      <c r="AB24" s="269">
        <v>6123.55</v>
      </c>
      <c r="AC24" s="14" t="s">
        <v>734</v>
      </c>
      <c r="AD24">
        <f t="shared" si="0"/>
        <v>225</v>
      </c>
    </row>
    <row r="25" spans="2:30" ht="15.75" thickBot="1" x14ac:dyDescent="0.3">
      <c r="B25" s="67">
        <v>45830</v>
      </c>
      <c r="C25" s="66">
        <v>12213</v>
      </c>
      <c r="D25" s="32">
        <f t="shared" si="1"/>
        <v>-2.3428754197984958E-2</v>
      </c>
      <c r="F25" s="68">
        <v>25637.8</v>
      </c>
      <c r="G25" s="32">
        <f t="shared" si="2"/>
        <v>6.9439534975059836E-3</v>
      </c>
      <c r="I25" s="74" t="s">
        <v>165</v>
      </c>
      <c r="J25" s="74">
        <v>103</v>
      </c>
      <c r="AA25" s="268">
        <v>44230</v>
      </c>
      <c r="AB25" s="269">
        <v>6074.7</v>
      </c>
      <c r="AC25" s="14" t="s">
        <v>735</v>
      </c>
      <c r="AD25">
        <f t="shared" si="0"/>
        <v>95.277000000000001</v>
      </c>
    </row>
    <row r="26" spans="2:30" x14ac:dyDescent="0.25">
      <c r="B26" s="67">
        <v>45823</v>
      </c>
      <c r="C26" s="66">
        <v>11458</v>
      </c>
      <c r="D26" s="32">
        <f t="shared" si="1"/>
        <v>-6.1819372799475913E-2</v>
      </c>
      <c r="F26" s="68">
        <v>25112.400000000001</v>
      </c>
      <c r="G26" s="32">
        <f t="shared" si="2"/>
        <v>-2.0493178041797622E-2</v>
      </c>
      <c r="AA26" s="268">
        <v>44231</v>
      </c>
      <c r="AB26" s="269">
        <v>6182.8</v>
      </c>
      <c r="AC26" s="14" t="s">
        <v>736</v>
      </c>
      <c r="AD26">
        <f t="shared" si="0"/>
        <v>68.325999999999993</v>
      </c>
    </row>
    <row r="27" spans="2:30" ht="15.75" thickBot="1" x14ac:dyDescent="0.3">
      <c r="B27" s="67">
        <v>45816</v>
      </c>
      <c r="C27" s="66">
        <v>11224</v>
      </c>
      <c r="D27" s="32">
        <f t="shared" si="1"/>
        <v>-2.0422412288357505E-2</v>
      </c>
      <c r="F27" s="68">
        <v>24718.6</v>
      </c>
      <c r="G27" s="32">
        <f t="shared" si="2"/>
        <v>-1.568149599401103E-2</v>
      </c>
      <c r="I27" t="s">
        <v>166</v>
      </c>
      <c r="AA27" s="268">
        <v>44232</v>
      </c>
      <c r="AB27" s="269">
        <v>6352.1</v>
      </c>
      <c r="AC27" s="14" t="s">
        <v>737</v>
      </c>
      <c r="AD27">
        <f t="shared" si="0"/>
        <v>117</v>
      </c>
    </row>
    <row r="28" spans="2:30" x14ac:dyDescent="0.25">
      <c r="B28" s="67">
        <v>45809</v>
      </c>
      <c r="C28" s="66">
        <v>11253</v>
      </c>
      <c r="D28" s="32">
        <f t="shared" si="1"/>
        <v>2.5837491090521247E-3</v>
      </c>
      <c r="F28" s="68">
        <v>25003.05</v>
      </c>
      <c r="G28" s="32">
        <f t="shared" si="2"/>
        <v>1.1507528743537332E-2</v>
      </c>
      <c r="I28" s="75"/>
      <c r="J28" s="75" t="s">
        <v>170</v>
      </c>
      <c r="K28" s="75" t="s">
        <v>171</v>
      </c>
      <c r="L28" s="75" t="s">
        <v>172</v>
      </c>
      <c r="M28" s="75" t="s">
        <v>173</v>
      </c>
      <c r="N28" s="75" t="s">
        <v>174</v>
      </c>
      <c r="AA28" s="268">
        <v>44235</v>
      </c>
      <c r="AB28" s="269">
        <v>6368.15</v>
      </c>
      <c r="AC28" s="14" t="s">
        <v>738</v>
      </c>
      <c r="AD28">
        <f t="shared" si="0"/>
        <v>76.944000000000003</v>
      </c>
    </row>
    <row r="29" spans="2:30" x14ac:dyDescent="0.25">
      <c r="B29" s="67">
        <v>45802</v>
      </c>
      <c r="C29" s="66">
        <v>11210</v>
      </c>
      <c r="D29" s="32">
        <f t="shared" si="1"/>
        <v>-3.821203234692927E-3</v>
      </c>
      <c r="F29" s="68">
        <v>24750.7</v>
      </c>
      <c r="G29" s="32">
        <f t="shared" si="2"/>
        <v>-1.0092768682220754E-2</v>
      </c>
      <c r="I29" s="73" t="s">
        <v>167</v>
      </c>
      <c r="J29" s="73">
        <v>1</v>
      </c>
      <c r="K29" s="73">
        <v>4.9408748162993552E-2</v>
      </c>
      <c r="L29" s="73">
        <v>4.9408748162993552E-2</v>
      </c>
      <c r="M29" s="73">
        <v>77.349970870518618</v>
      </c>
      <c r="N29" s="73">
        <v>4.0151982120875056E-14</v>
      </c>
      <c r="AA29" s="268">
        <v>44236</v>
      </c>
      <c r="AB29" s="269">
        <v>6420.4</v>
      </c>
      <c r="AC29" s="14" t="s">
        <v>739</v>
      </c>
      <c r="AD29">
        <f t="shared" si="0"/>
        <v>94.768000000000001</v>
      </c>
    </row>
    <row r="30" spans="2:30" x14ac:dyDescent="0.25">
      <c r="B30" s="67">
        <v>45795</v>
      </c>
      <c r="C30" s="66">
        <v>11746</v>
      </c>
      <c r="D30" s="32">
        <f t="shared" si="1"/>
        <v>4.7814451382694134E-2</v>
      </c>
      <c r="F30" s="68">
        <v>24853.15</v>
      </c>
      <c r="G30" s="32">
        <f t="shared" si="2"/>
        <v>4.139276868937003E-3</v>
      </c>
      <c r="I30" s="73" t="s">
        <v>168</v>
      </c>
      <c r="J30" s="73">
        <v>101</v>
      </c>
      <c r="K30" s="73">
        <v>6.4515648917514448E-2</v>
      </c>
      <c r="L30" s="73">
        <v>6.387688011635094E-4</v>
      </c>
      <c r="M30" s="73"/>
      <c r="N30" s="73"/>
      <c r="AA30" s="268">
        <v>44237</v>
      </c>
      <c r="AB30" s="269">
        <v>6392.15</v>
      </c>
      <c r="AC30" s="14" t="s">
        <v>740</v>
      </c>
      <c r="AD30">
        <f t="shared" si="0"/>
        <v>105</v>
      </c>
    </row>
    <row r="31" spans="2:30" ht="15.75" thickBot="1" x14ac:dyDescent="0.3">
      <c r="B31" s="67">
        <v>45788</v>
      </c>
      <c r="C31" s="66">
        <v>11905</v>
      </c>
      <c r="D31" s="32">
        <f t="shared" si="1"/>
        <v>1.3536523071683959E-2</v>
      </c>
      <c r="F31" s="68">
        <v>25019.8</v>
      </c>
      <c r="G31" s="32">
        <f t="shared" si="2"/>
        <v>6.705387445856914E-3</v>
      </c>
      <c r="I31" s="74" t="s">
        <v>12</v>
      </c>
      <c r="J31" s="74">
        <v>102</v>
      </c>
      <c r="K31" s="74">
        <v>0.113924397080508</v>
      </c>
      <c r="L31" s="74"/>
      <c r="M31" s="74"/>
      <c r="N31" s="74"/>
      <c r="AA31" s="268">
        <v>44238</v>
      </c>
      <c r="AB31" s="269">
        <v>6427.15</v>
      </c>
      <c r="AC31" s="14" t="s">
        <v>741</v>
      </c>
      <c r="AD31">
        <f t="shared" si="0"/>
        <v>39.046999999999997</v>
      </c>
    </row>
    <row r="32" spans="2:30" ht="15.75" thickBot="1" x14ac:dyDescent="0.3">
      <c r="B32" s="67">
        <v>45781</v>
      </c>
      <c r="C32" s="66">
        <v>11364</v>
      </c>
      <c r="D32" s="32">
        <f t="shared" si="1"/>
        <v>-4.5443091138177238E-2</v>
      </c>
      <c r="F32" s="68">
        <v>24008</v>
      </c>
      <c r="G32" s="32">
        <f t="shared" si="2"/>
        <v>-4.0439971542538311E-2</v>
      </c>
      <c r="AA32" s="268">
        <v>44239</v>
      </c>
      <c r="AB32" s="269">
        <v>6397.25</v>
      </c>
      <c r="AC32" s="14" t="s">
        <v>742</v>
      </c>
      <c r="AD32">
        <f t="shared" si="0"/>
        <v>40.887</v>
      </c>
    </row>
    <row r="33" spans="2:30" x14ac:dyDescent="0.25">
      <c r="B33" s="67">
        <v>45774</v>
      </c>
      <c r="C33" s="66">
        <v>11644</v>
      </c>
      <c r="D33" s="32">
        <f t="shared" si="1"/>
        <v>2.4639211545230522E-2</v>
      </c>
      <c r="F33" s="68">
        <v>24346.7</v>
      </c>
      <c r="G33" s="32">
        <f t="shared" si="2"/>
        <v>1.4107797400866318E-2</v>
      </c>
      <c r="I33" s="75"/>
      <c r="J33" s="75" t="s">
        <v>175</v>
      </c>
      <c r="K33" s="75" t="s">
        <v>164</v>
      </c>
      <c r="L33" s="75" t="s">
        <v>176</v>
      </c>
      <c r="M33" s="75" t="s">
        <v>177</v>
      </c>
      <c r="N33" s="75" t="s">
        <v>178</v>
      </c>
      <c r="O33" s="75" t="s">
        <v>179</v>
      </c>
      <c r="P33" s="75" t="s">
        <v>180</v>
      </c>
      <c r="Q33" s="75" t="s">
        <v>181</v>
      </c>
      <c r="AA33" s="268">
        <v>44242</v>
      </c>
      <c r="AB33" s="269">
        <v>6407.75</v>
      </c>
      <c r="AC33" s="14" t="s">
        <v>743</v>
      </c>
      <c r="AD33">
        <f t="shared" si="0"/>
        <v>27.785</v>
      </c>
    </row>
    <row r="34" spans="2:30" x14ac:dyDescent="0.25">
      <c r="B34" s="67">
        <v>45767</v>
      </c>
      <c r="C34" s="66">
        <v>12237</v>
      </c>
      <c r="D34" s="32">
        <f t="shared" si="1"/>
        <v>5.0927516317416766E-2</v>
      </c>
      <c r="F34" s="68">
        <v>24039.35</v>
      </c>
      <c r="G34" s="32">
        <f t="shared" si="2"/>
        <v>-1.2623887426222113E-2</v>
      </c>
      <c r="I34" s="73" t="s">
        <v>169</v>
      </c>
      <c r="J34" s="73">
        <v>-3.0222425624621893E-4</v>
      </c>
      <c r="K34" s="73">
        <v>2.5085051593925953E-3</v>
      </c>
      <c r="L34" s="73">
        <v>-0.12047982246103849</v>
      </c>
      <c r="M34" s="73">
        <v>0.90434241060183751</v>
      </c>
      <c r="N34" s="73">
        <v>-5.2784237120074009E-3</v>
      </c>
      <c r="O34" s="73">
        <v>4.6739751995149631E-3</v>
      </c>
      <c r="P34" s="73">
        <v>-5.2784237120074009E-3</v>
      </c>
      <c r="Q34" s="73">
        <v>4.6739751995149631E-3</v>
      </c>
      <c r="AA34" s="268">
        <v>44243</v>
      </c>
      <c r="AB34" s="269">
        <v>6457.8</v>
      </c>
      <c r="AC34" s="14" t="s">
        <v>744</v>
      </c>
      <c r="AD34">
        <f t="shared" si="0"/>
        <v>59.572000000000003</v>
      </c>
    </row>
    <row r="35" spans="2:30" ht="15.75" thickBot="1" x14ac:dyDescent="0.3">
      <c r="B35" s="67">
        <v>45760</v>
      </c>
      <c r="C35" s="66">
        <v>11901</v>
      </c>
      <c r="D35" s="32">
        <f t="shared" si="1"/>
        <v>-2.7457710223093845E-2</v>
      </c>
      <c r="F35" s="68">
        <v>23851.65</v>
      </c>
      <c r="G35" s="32">
        <f t="shared" si="2"/>
        <v>-7.8080314151587338E-3</v>
      </c>
      <c r="I35" s="74" t="s">
        <v>182</v>
      </c>
      <c r="J35" s="74">
        <v>1.2661066359509003</v>
      </c>
      <c r="K35" s="74">
        <v>0.14395945962442261</v>
      </c>
      <c r="L35" s="74">
        <v>8.7948832209710961</v>
      </c>
      <c r="M35" s="74">
        <v>4.0151982120871888E-14</v>
      </c>
      <c r="N35" s="74">
        <v>0.98052979272519769</v>
      </c>
      <c r="O35" s="74">
        <v>1.551683479176603</v>
      </c>
      <c r="P35" s="74">
        <v>0.98052979272519769</v>
      </c>
      <c r="Q35" s="74">
        <v>1.551683479176603</v>
      </c>
      <c r="AA35" s="268">
        <v>44244</v>
      </c>
      <c r="AB35" s="269">
        <v>6419.2</v>
      </c>
      <c r="AC35" s="14" t="s">
        <v>745</v>
      </c>
      <c r="AD35">
        <f t="shared" si="0"/>
        <v>55.552</v>
      </c>
    </row>
    <row r="36" spans="2:30" x14ac:dyDescent="0.25">
      <c r="B36" s="67">
        <v>45753</v>
      </c>
      <c r="C36" s="66">
        <v>11502.65</v>
      </c>
      <c r="D36" s="32">
        <f t="shared" si="1"/>
        <v>-3.3471977144777787E-2</v>
      </c>
      <c r="F36" s="68">
        <v>22828.55</v>
      </c>
      <c r="G36" s="32">
        <f t="shared" si="2"/>
        <v>-4.2894307102443685E-2</v>
      </c>
      <c r="AA36" s="268">
        <v>44245</v>
      </c>
      <c r="AB36" s="269">
        <v>6325.85</v>
      </c>
      <c r="AC36" s="14" t="s">
        <v>746</v>
      </c>
      <c r="AD36">
        <f t="shared" si="0"/>
        <v>57.396999999999998</v>
      </c>
    </row>
    <row r="37" spans="2:30" x14ac:dyDescent="0.25">
      <c r="B37" s="67">
        <v>45746</v>
      </c>
      <c r="C37" s="66">
        <v>11498.65</v>
      </c>
      <c r="D37" s="32">
        <f t="shared" si="1"/>
        <v>-3.4774595419317933E-4</v>
      </c>
      <c r="F37" s="68">
        <v>22904.45</v>
      </c>
      <c r="G37" s="32">
        <f t="shared" si="2"/>
        <v>3.3247840971064591E-3</v>
      </c>
      <c r="AA37" s="268">
        <v>44246</v>
      </c>
      <c r="AB37" s="269">
        <v>6208.5</v>
      </c>
      <c r="AC37" s="14" t="s">
        <v>747</v>
      </c>
      <c r="AD37">
        <f t="shared" si="0"/>
        <v>49.966999999999999</v>
      </c>
    </row>
    <row r="38" spans="2:30" x14ac:dyDescent="0.25">
      <c r="B38" s="67">
        <v>45739</v>
      </c>
      <c r="C38" s="66">
        <v>11509.55</v>
      </c>
      <c r="D38" s="32">
        <f t="shared" si="1"/>
        <v>9.4793736656040295E-4</v>
      </c>
      <c r="F38" s="68">
        <v>23519.35</v>
      </c>
      <c r="G38" s="32">
        <f t="shared" si="2"/>
        <v>2.6846311524616251E-2</v>
      </c>
      <c r="AA38" s="268">
        <v>44249</v>
      </c>
      <c r="AB38" s="269">
        <v>6175.1</v>
      </c>
      <c r="AC38" s="14" t="s">
        <v>748</v>
      </c>
      <c r="AD38">
        <f t="shared" si="0"/>
        <v>52.841000000000001</v>
      </c>
    </row>
    <row r="39" spans="2:30" x14ac:dyDescent="0.25">
      <c r="B39" s="67">
        <v>45732</v>
      </c>
      <c r="C39" s="66">
        <v>10976.75</v>
      </c>
      <c r="D39" s="32">
        <f t="shared" si="1"/>
        <v>-4.6291992302044727E-2</v>
      </c>
      <c r="F39" s="68">
        <v>23350.400000000001</v>
      </c>
      <c r="G39" s="32">
        <f t="shared" si="2"/>
        <v>-7.1834468214468927E-3</v>
      </c>
      <c r="AA39" s="268">
        <v>44250</v>
      </c>
      <c r="AB39" s="269">
        <v>6268.45</v>
      </c>
      <c r="AC39" s="14" t="s">
        <v>749</v>
      </c>
      <c r="AD39">
        <f t="shared" si="0"/>
        <v>45.381</v>
      </c>
    </row>
    <row r="40" spans="2:30" x14ac:dyDescent="0.25">
      <c r="B40" s="67">
        <v>45725</v>
      </c>
      <c r="C40" s="66">
        <v>10452.1</v>
      </c>
      <c r="D40" s="32">
        <f t="shared" si="1"/>
        <v>-4.7796478921356522E-2</v>
      </c>
      <c r="F40" s="68">
        <v>22397.200000000001</v>
      </c>
      <c r="G40" s="32">
        <f t="shared" si="2"/>
        <v>-4.0821570508428162E-2</v>
      </c>
      <c r="AA40" s="268">
        <v>44251</v>
      </c>
      <c r="AB40" s="269">
        <v>6414.55</v>
      </c>
      <c r="AC40" s="14" t="s">
        <v>750</v>
      </c>
      <c r="AD40">
        <f t="shared" si="0"/>
        <v>37.856000000000002</v>
      </c>
    </row>
    <row r="41" spans="2:30" x14ac:dyDescent="0.25">
      <c r="B41" s="67">
        <v>45718</v>
      </c>
      <c r="C41" s="66">
        <v>10582.4</v>
      </c>
      <c r="D41" s="32">
        <f t="shared" si="1"/>
        <v>1.2466394313104479E-2</v>
      </c>
      <c r="F41" s="68">
        <v>22552.5</v>
      </c>
      <c r="G41" s="32">
        <f t="shared" si="2"/>
        <v>6.9339024520922443E-3</v>
      </c>
      <c r="AA41" s="268">
        <v>44252</v>
      </c>
      <c r="AB41" s="269">
        <v>6383.3</v>
      </c>
      <c r="AC41" s="14" t="s">
        <v>751</v>
      </c>
      <c r="AD41">
        <f t="shared" si="0"/>
        <v>80.307000000000002</v>
      </c>
    </row>
    <row r="42" spans="2:30" x14ac:dyDescent="0.25">
      <c r="B42" s="67">
        <v>45711</v>
      </c>
      <c r="C42" s="66">
        <v>10128.450000000001</v>
      </c>
      <c r="D42" s="32">
        <f t="shared" si="1"/>
        <v>-4.2896696401572343E-2</v>
      </c>
      <c r="F42" s="68">
        <v>22124.7</v>
      </c>
      <c r="G42" s="32">
        <f t="shared" si="2"/>
        <v>-1.8969072164948475E-2</v>
      </c>
      <c r="AA42" s="268">
        <v>44253</v>
      </c>
      <c r="AB42" s="269">
        <v>6115</v>
      </c>
      <c r="AC42" s="14" t="s">
        <v>752</v>
      </c>
      <c r="AD42">
        <f t="shared" si="0"/>
        <v>131</v>
      </c>
    </row>
    <row r="43" spans="2:30" x14ac:dyDescent="0.25">
      <c r="B43" s="67">
        <v>45704</v>
      </c>
      <c r="C43" s="66">
        <v>11157.25</v>
      </c>
      <c r="D43" s="32">
        <f t="shared" si="1"/>
        <v>0.10157526571193021</v>
      </c>
      <c r="F43" s="68">
        <v>22795.9</v>
      </c>
      <c r="G43" s="32">
        <f t="shared" si="2"/>
        <v>3.0337134514818231E-2</v>
      </c>
      <c r="AA43" s="268">
        <v>44256</v>
      </c>
      <c r="AB43" s="269">
        <v>6365.05</v>
      </c>
      <c r="AC43" s="14" t="s">
        <v>753</v>
      </c>
      <c r="AD43">
        <f t="shared" si="0"/>
        <v>60.93</v>
      </c>
    </row>
    <row r="44" spans="2:30" x14ac:dyDescent="0.25">
      <c r="B44" s="67">
        <v>45697</v>
      </c>
      <c r="C44" s="66">
        <v>11263.85</v>
      </c>
      <c r="D44" s="32">
        <f t="shared" si="1"/>
        <v>9.5543256626857698E-3</v>
      </c>
      <c r="F44" s="68">
        <v>22929.25</v>
      </c>
      <c r="G44" s="32">
        <f t="shared" si="2"/>
        <v>5.8497361367613188E-3</v>
      </c>
      <c r="AA44" s="268">
        <v>44257</v>
      </c>
      <c r="AB44" s="269">
        <v>6423.1</v>
      </c>
      <c r="AC44" s="14" t="s">
        <v>754</v>
      </c>
      <c r="AD44">
        <f t="shared" si="0"/>
        <v>43.805</v>
      </c>
    </row>
    <row r="45" spans="2:30" x14ac:dyDescent="0.25">
      <c r="B45" s="67">
        <v>45690</v>
      </c>
      <c r="C45" s="66">
        <v>11640.6</v>
      </c>
      <c r="D45" s="32">
        <f t="shared" si="1"/>
        <v>3.3447711040186068E-2</v>
      </c>
      <c r="F45" s="68">
        <v>23559.95</v>
      </c>
      <c r="G45" s="32">
        <f t="shared" si="2"/>
        <v>2.7506351058146361E-2</v>
      </c>
      <c r="AA45" s="268">
        <v>44258</v>
      </c>
      <c r="AB45" s="269">
        <v>6500.5</v>
      </c>
      <c r="AC45" s="14" t="s">
        <v>755</v>
      </c>
      <c r="AD45">
        <f t="shared" si="0"/>
        <v>46.741999999999997</v>
      </c>
    </row>
    <row r="46" spans="2:30" x14ac:dyDescent="0.25">
      <c r="B46" s="67">
        <v>45683</v>
      </c>
      <c r="C46" s="66">
        <v>11487.45</v>
      </c>
      <c r="D46" s="32">
        <f t="shared" si="1"/>
        <v>-1.3156538322766864E-2</v>
      </c>
      <c r="F46" s="68">
        <v>23508.400000000001</v>
      </c>
      <c r="G46" s="32">
        <f t="shared" si="2"/>
        <v>-2.188035203809835E-3</v>
      </c>
      <c r="AA46" s="268">
        <v>44259</v>
      </c>
      <c r="AB46" s="269">
        <v>6775.55</v>
      </c>
      <c r="AC46" s="14" t="s">
        <v>756</v>
      </c>
      <c r="AD46">
        <f t="shared" si="0"/>
        <v>130</v>
      </c>
    </row>
    <row r="47" spans="2:30" x14ac:dyDescent="0.25">
      <c r="B47" s="67">
        <v>45676</v>
      </c>
      <c r="C47" s="66">
        <v>11285.85</v>
      </c>
      <c r="D47" s="32">
        <f t="shared" si="1"/>
        <v>-1.7549586722901966E-2</v>
      </c>
      <c r="F47" s="68">
        <v>23092.2</v>
      </c>
      <c r="G47" s="32">
        <f t="shared" si="2"/>
        <v>-1.7704309948784247E-2</v>
      </c>
      <c r="AA47" s="268">
        <v>44260</v>
      </c>
      <c r="AB47" s="269">
        <v>6810.3</v>
      </c>
      <c r="AC47" s="14" t="s">
        <v>757</v>
      </c>
      <c r="AD47">
        <f t="shared" si="0"/>
        <v>183</v>
      </c>
    </row>
    <row r="48" spans="2:30" x14ac:dyDescent="0.25">
      <c r="B48" s="67">
        <v>45669</v>
      </c>
      <c r="C48" s="66">
        <v>10580</v>
      </c>
      <c r="D48" s="32">
        <f t="shared" si="1"/>
        <v>-6.2542918787685475E-2</v>
      </c>
      <c r="F48" s="68">
        <v>23203.200000000001</v>
      </c>
      <c r="G48" s="32">
        <f t="shared" si="2"/>
        <v>4.8068178865590117E-3</v>
      </c>
      <c r="AA48" s="268">
        <v>44263</v>
      </c>
      <c r="AB48" s="269">
        <v>6668.15</v>
      </c>
      <c r="AC48" s="14" t="s">
        <v>758</v>
      </c>
      <c r="AD48">
        <f t="shared" si="0"/>
        <v>65.850999999999999</v>
      </c>
    </row>
    <row r="49" spans="2:30" x14ac:dyDescent="0.25">
      <c r="B49" s="67">
        <v>45662</v>
      </c>
      <c r="C49" s="66">
        <v>10865.2</v>
      </c>
      <c r="D49" s="32">
        <f t="shared" si="1"/>
        <v>2.6956521739130546E-2</v>
      </c>
      <c r="F49" s="68">
        <v>23431.5</v>
      </c>
      <c r="G49" s="32">
        <f t="shared" si="2"/>
        <v>9.8391601158460684E-3</v>
      </c>
      <c r="AA49" s="268">
        <v>44264</v>
      </c>
      <c r="AB49" s="269">
        <v>6697.4</v>
      </c>
      <c r="AC49" s="14" t="s">
        <v>759</v>
      </c>
      <c r="AD49">
        <f t="shared" si="0"/>
        <v>48.304000000000002</v>
      </c>
    </row>
    <row r="50" spans="2:30" x14ac:dyDescent="0.25">
      <c r="B50" s="67">
        <v>45655</v>
      </c>
      <c r="C50" s="66">
        <v>11786</v>
      </c>
      <c r="D50" s="32">
        <f t="shared" si="1"/>
        <v>8.4747634650075288E-2</v>
      </c>
      <c r="F50" s="68">
        <v>24004.75</v>
      </c>
      <c r="G50" s="32">
        <f t="shared" si="2"/>
        <v>2.4464929688666981E-2</v>
      </c>
      <c r="AA50" s="268">
        <v>44265</v>
      </c>
      <c r="AB50" s="269">
        <v>6764.05</v>
      </c>
      <c r="AC50" s="14" t="s">
        <v>760</v>
      </c>
      <c r="AD50">
        <f t="shared" si="0"/>
        <v>30.277000000000001</v>
      </c>
    </row>
    <row r="51" spans="2:30" x14ac:dyDescent="0.25">
      <c r="B51" s="67">
        <v>45648</v>
      </c>
      <c r="C51" s="66">
        <v>11406.55</v>
      </c>
      <c r="D51" s="32">
        <f t="shared" si="1"/>
        <v>-3.2194977091464461E-2</v>
      </c>
      <c r="F51" s="68">
        <v>23813.4</v>
      </c>
      <c r="G51" s="32">
        <f t="shared" si="2"/>
        <v>-7.9713390058216982E-3</v>
      </c>
      <c r="AA51" s="268">
        <v>44267</v>
      </c>
      <c r="AB51" s="269">
        <v>6638.15</v>
      </c>
      <c r="AC51" s="14" t="s">
        <v>761</v>
      </c>
      <c r="AD51">
        <f t="shared" si="0"/>
        <v>67.381</v>
      </c>
    </row>
    <row r="52" spans="2:30" x14ac:dyDescent="0.25">
      <c r="B52" s="67">
        <v>45641</v>
      </c>
      <c r="C52" s="66">
        <v>11422.8</v>
      </c>
      <c r="D52" s="32">
        <f t="shared" si="1"/>
        <v>1.4246200647873852E-3</v>
      </c>
      <c r="F52" s="68">
        <v>23587.5</v>
      </c>
      <c r="G52" s="32">
        <f t="shared" si="2"/>
        <v>-9.4862556375822082E-3</v>
      </c>
      <c r="AA52" s="268">
        <v>44270</v>
      </c>
      <c r="AB52" s="269">
        <v>6561.45</v>
      </c>
      <c r="AC52" s="14" t="s">
        <v>762</v>
      </c>
      <c r="AD52">
        <f t="shared" si="0"/>
        <v>34.904000000000003</v>
      </c>
    </row>
    <row r="53" spans="2:30" x14ac:dyDescent="0.25">
      <c r="B53" s="67">
        <v>45634</v>
      </c>
      <c r="C53" s="66">
        <v>12083.9</v>
      </c>
      <c r="D53" s="32">
        <f t="shared" si="1"/>
        <v>5.7875477115943541E-2</v>
      </c>
      <c r="F53" s="68">
        <v>24768.3</v>
      </c>
      <c r="G53" s="32">
        <f t="shared" si="2"/>
        <v>5.0060413354531041E-2</v>
      </c>
      <c r="AA53" s="268">
        <v>44271</v>
      </c>
      <c r="AB53" s="269">
        <v>6639.95</v>
      </c>
      <c r="AC53" s="14" t="s">
        <v>763</v>
      </c>
      <c r="AD53">
        <f t="shared" si="0"/>
        <v>61.421999999999997</v>
      </c>
    </row>
    <row r="54" spans="2:30" x14ac:dyDescent="0.25">
      <c r="B54" s="67">
        <v>45627</v>
      </c>
      <c r="C54" s="66">
        <v>11848.5</v>
      </c>
      <c r="D54" s="32">
        <f t="shared" si="1"/>
        <v>-1.9480465743675457E-2</v>
      </c>
      <c r="F54" s="68">
        <v>24677.8</v>
      </c>
      <c r="G54" s="32">
        <f t="shared" si="2"/>
        <v>-3.653864011660013E-3</v>
      </c>
      <c r="AA54" s="268">
        <v>44272</v>
      </c>
      <c r="AB54" s="269">
        <v>6520.25</v>
      </c>
      <c r="AC54" s="14" t="s">
        <v>764</v>
      </c>
      <c r="AD54">
        <f t="shared" si="0"/>
        <v>44.328000000000003</v>
      </c>
    </row>
    <row r="55" spans="2:30" x14ac:dyDescent="0.25">
      <c r="B55" s="67">
        <v>45620</v>
      </c>
      <c r="C55" s="66">
        <v>11202.15</v>
      </c>
      <c r="D55" s="32">
        <f t="shared" si="1"/>
        <v>-5.4551209013799284E-2</v>
      </c>
      <c r="F55" s="68">
        <v>24131.1</v>
      </c>
      <c r="G55" s="32">
        <f t="shared" si="2"/>
        <v>-2.2153514494809179E-2</v>
      </c>
      <c r="AA55" s="268">
        <v>44273</v>
      </c>
      <c r="AB55" s="269">
        <v>6510.05</v>
      </c>
      <c r="AC55" s="14" t="s">
        <v>765</v>
      </c>
      <c r="AD55">
        <f t="shared" si="0"/>
        <v>34.581000000000003</v>
      </c>
    </row>
    <row r="56" spans="2:30" x14ac:dyDescent="0.25">
      <c r="B56" s="67">
        <v>45613</v>
      </c>
      <c r="C56" s="66">
        <v>11375.3</v>
      </c>
      <c r="D56" s="32">
        <f t="shared" si="1"/>
        <v>1.5456854264583209E-2</v>
      </c>
      <c r="F56" s="68">
        <v>23907.25</v>
      </c>
      <c r="G56" s="32">
        <f t="shared" si="2"/>
        <v>-9.2764109385812255E-3</v>
      </c>
      <c r="AA56" s="268">
        <v>44274</v>
      </c>
      <c r="AB56" s="269">
        <v>6672</v>
      </c>
      <c r="AC56" s="14" t="s">
        <v>766</v>
      </c>
      <c r="AD56">
        <f t="shared" si="0"/>
        <v>65.445999999999998</v>
      </c>
    </row>
    <row r="57" spans="2:30" x14ac:dyDescent="0.25">
      <c r="B57" s="67">
        <v>45606</v>
      </c>
      <c r="C57" s="66">
        <v>10728.5</v>
      </c>
      <c r="D57" s="32">
        <f t="shared" si="1"/>
        <v>-5.6860038856118011E-2</v>
      </c>
      <c r="F57" s="68">
        <v>23532.7</v>
      </c>
      <c r="G57" s="32">
        <f t="shared" si="2"/>
        <v>-1.5666795637306663E-2</v>
      </c>
      <c r="AA57" s="268">
        <v>44277</v>
      </c>
      <c r="AB57" s="269">
        <v>6728</v>
      </c>
      <c r="AC57" s="14" t="s">
        <v>767</v>
      </c>
      <c r="AD57">
        <f t="shared" si="0"/>
        <v>46.771999999999998</v>
      </c>
    </row>
    <row r="58" spans="2:30" x14ac:dyDescent="0.25">
      <c r="B58" s="67">
        <v>45599</v>
      </c>
      <c r="C58" s="66">
        <v>11043.35</v>
      </c>
      <c r="D58" s="32">
        <f t="shared" si="1"/>
        <v>2.9347066225474228E-2</v>
      </c>
      <c r="F58" s="68">
        <v>24148.2</v>
      </c>
      <c r="G58" s="32">
        <f t="shared" si="2"/>
        <v>2.6155094825498049E-2</v>
      </c>
      <c r="AA58" s="268">
        <v>44278</v>
      </c>
      <c r="AB58" s="269">
        <v>6939.1</v>
      </c>
      <c r="AC58" s="14" t="s">
        <v>768</v>
      </c>
      <c r="AD58">
        <f t="shared" si="0"/>
        <v>89.046000000000006</v>
      </c>
    </row>
    <row r="59" spans="2:30" x14ac:dyDescent="0.25">
      <c r="B59" s="67">
        <v>45592</v>
      </c>
      <c r="C59" s="66">
        <v>11145.8</v>
      </c>
      <c r="D59" s="32">
        <f t="shared" si="1"/>
        <v>9.2770762495075765E-3</v>
      </c>
      <c r="F59" s="68">
        <v>24304.35</v>
      </c>
      <c r="G59" s="32">
        <f t="shared" si="2"/>
        <v>6.4663204710908584E-3</v>
      </c>
      <c r="AA59" s="268">
        <v>44279</v>
      </c>
      <c r="AB59" s="269">
        <v>6858.65</v>
      </c>
      <c r="AC59" s="14" t="s">
        <v>769</v>
      </c>
      <c r="AD59">
        <f t="shared" si="0"/>
        <v>71.638999999999996</v>
      </c>
    </row>
    <row r="60" spans="2:30" x14ac:dyDescent="0.25">
      <c r="B60" s="67">
        <v>45585</v>
      </c>
      <c r="C60" s="66">
        <v>10995.2</v>
      </c>
      <c r="D60" s="32">
        <f t="shared" si="1"/>
        <v>-1.3511816110104102E-2</v>
      </c>
      <c r="F60" s="68">
        <v>24180.799999999999</v>
      </c>
      <c r="G60" s="32">
        <f t="shared" si="2"/>
        <v>-5.0834521392261189E-3</v>
      </c>
      <c r="AA60" s="268">
        <v>44280</v>
      </c>
      <c r="AB60" s="269">
        <v>6666.5</v>
      </c>
      <c r="AC60" s="14" t="s">
        <v>770</v>
      </c>
      <c r="AD60">
        <f t="shared" si="0"/>
        <v>54.737000000000002</v>
      </c>
    </row>
    <row r="61" spans="2:30" x14ac:dyDescent="0.25">
      <c r="B61" s="67">
        <v>45578</v>
      </c>
      <c r="C61" s="66">
        <v>11069.3</v>
      </c>
      <c r="D61" s="32">
        <f t="shared" si="1"/>
        <v>6.7393044237484823E-3</v>
      </c>
      <c r="F61" s="68">
        <v>24854.05</v>
      </c>
      <c r="G61" s="32">
        <f t="shared" si="2"/>
        <v>2.7842337722490562E-2</v>
      </c>
      <c r="AA61" s="268">
        <v>44281</v>
      </c>
      <c r="AB61" s="269">
        <v>6735.25</v>
      </c>
      <c r="AC61" s="14" t="s">
        <v>771</v>
      </c>
      <c r="AD61">
        <f t="shared" si="0"/>
        <v>30.375</v>
      </c>
    </row>
    <row r="62" spans="2:30" x14ac:dyDescent="0.25">
      <c r="B62" s="67">
        <v>45571</v>
      </c>
      <c r="C62" s="66">
        <v>11421.3</v>
      </c>
      <c r="D62" s="32">
        <f t="shared" si="1"/>
        <v>3.1799662128589867E-2</v>
      </c>
      <c r="F62" s="68">
        <v>24964.25</v>
      </c>
      <c r="G62" s="32">
        <f t="shared" si="2"/>
        <v>4.4338850207512603E-3</v>
      </c>
      <c r="AA62" s="268">
        <v>44285</v>
      </c>
      <c r="AB62" s="269">
        <v>6785.6</v>
      </c>
      <c r="AC62" s="14" t="s">
        <v>772</v>
      </c>
      <c r="AD62">
        <f t="shared" si="0"/>
        <v>42.244</v>
      </c>
    </row>
    <row r="63" spans="2:30" x14ac:dyDescent="0.25">
      <c r="B63" s="67">
        <v>45564</v>
      </c>
      <c r="C63" s="66">
        <v>11450.25</v>
      </c>
      <c r="D63" s="32">
        <f t="shared" si="1"/>
        <v>2.534737726878733E-3</v>
      </c>
      <c r="F63" s="68">
        <v>25014.6</v>
      </c>
      <c r="G63" s="32">
        <f t="shared" si="2"/>
        <v>2.0168841443264363E-3</v>
      </c>
      <c r="AA63" s="268">
        <v>44286</v>
      </c>
      <c r="AB63" s="269">
        <v>6737.95</v>
      </c>
      <c r="AC63" s="14" t="s">
        <v>773</v>
      </c>
      <c r="AD63">
        <f t="shared" si="0"/>
        <v>64.760000000000005</v>
      </c>
    </row>
    <row r="64" spans="2:30" x14ac:dyDescent="0.25">
      <c r="B64" s="67">
        <v>45557</v>
      </c>
      <c r="C64" s="66">
        <v>11952.3</v>
      </c>
      <c r="D64" s="32">
        <f t="shared" si="1"/>
        <v>4.3846204231348551E-2</v>
      </c>
      <c r="F64" s="68">
        <v>26178.95</v>
      </c>
      <c r="G64" s="32">
        <f t="shared" si="2"/>
        <v>4.6546816659071233E-2</v>
      </c>
      <c r="AA64" s="268">
        <v>44287</v>
      </c>
      <c r="AB64" s="269">
        <v>6898.85</v>
      </c>
      <c r="AC64" s="14" t="s">
        <v>774</v>
      </c>
      <c r="AD64">
        <f t="shared" si="0"/>
        <v>53.174999999999997</v>
      </c>
    </row>
    <row r="65" spans="2:30" x14ac:dyDescent="0.25">
      <c r="B65" s="67">
        <v>45550</v>
      </c>
      <c r="C65" s="66">
        <v>11798.3</v>
      </c>
      <c r="D65" s="32">
        <f t="shared" si="1"/>
        <v>-1.2884549417267022E-2</v>
      </c>
      <c r="F65" s="68">
        <v>25790.95</v>
      </c>
      <c r="G65" s="32">
        <f t="shared" si="2"/>
        <v>-1.4821068071866894E-2</v>
      </c>
      <c r="AA65" s="268">
        <v>44291</v>
      </c>
      <c r="AB65" s="269">
        <v>6795.8</v>
      </c>
      <c r="AC65" s="14" t="s">
        <v>775</v>
      </c>
      <c r="AD65">
        <f t="shared" si="0"/>
        <v>54.094999999999999</v>
      </c>
    </row>
    <row r="66" spans="2:30" x14ac:dyDescent="0.25">
      <c r="B66" s="67">
        <v>45543</v>
      </c>
      <c r="C66" s="66">
        <v>11717.95</v>
      </c>
      <c r="D66" s="32">
        <f t="shared" si="1"/>
        <v>-6.8103031792714486E-3</v>
      </c>
      <c r="F66" s="68">
        <v>25356.5</v>
      </c>
      <c r="G66" s="32">
        <f t="shared" si="2"/>
        <v>-1.684505611464493E-2</v>
      </c>
      <c r="AA66" s="268">
        <v>44292</v>
      </c>
      <c r="AB66" s="269">
        <v>6736.65</v>
      </c>
      <c r="AC66" s="14" t="s">
        <v>776</v>
      </c>
      <c r="AD66">
        <f t="shared" si="0"/>
        <v>50.832999999999998</v>
      </c>
    </row>
    <row r="67" spans="2:30" x14ac:dyDescent="0.25">
      <c r="B67" s="67">
        <v>45536</v>
      </c>
      <c r="C67" s="66">
        <v>11432.85</v>
      </c>
      <c r="D67" s="32">
        <f t="shared" si="1"/>
        <v>-2.4330194274595818E-2</v>
      </c>
      <c r="F67" s="68">
        <v>24852.15</v>
      </c>
      <c r="G67" s="32">
        <f t="shared" si="2"/>
        <v>-1.9890363417664036E-2</v>
      </c>
      <c r="AA67" s="268">
        <v>44293</v>
      </c>
      <c r="AB67" s="269">
        <v>6760.05</v>
      </c>
      <c r="AC67" s="14" t="s">
        <v>777</v>
      </c>
      <c r="AD67">
        <f t="shared" si="0"/>
        <v>30.148</v>
      </c>
    </row>
    <row r="68" spans="2:30" x14ac:dyDescent="0.25">
      <c r="B68" s="67">
        <v>45529</v>
      </c>
      <c r="C68" s="66">
        <v>11301.9</v>
      </c>
      <c r="D68" s="32">
        <f t="shared" si="1"/>
        <v>-1.1453836969784525E-2</v>
      </c>
      <c r="F68" s="68">
        <v>25235.9</v>
      </c>
      <c r="G68" s="32">
        <f t="shared" si="2"/>
        <v>1.544131996628062E-2</v>
      </c>
      <c r="AA68" s="268">
        <v>44294</v>
      </c>
      <c r="AB68" s="269">
        <v>6971.25</v>
      </c>
      <c r="AC68" s="14" t="s">
        <v>778</v>
      </c>
      <c r="AD68">
        <f t="shared" ref="AD68:AD131" si="3">(IF(RIGHT(AC68,1)="K",
    VALUE(LEFT(AC68,LEN(AC68)-1))*1000,
    IF(RIGHT(AC68,1)="M",
       VALUE(LEFT(AC68,LEN(AC68)-1))*1000000,
       VALUE(AC68)
    )
))/10000</f>
        <v>63.53</v>
      </c>
    </row>
    <row r="69" spans="2:30" x14ac:dyDescent="0.25">
      <c r="B69" s="67">
        <v>45522</v>
      </c>
      <c r="C69" s="66">
        <v>11341.8</v>
      </c>
      <c r="D69" s="32">
        <f t="shared" si="1"/>
        <v>3.5303798476362669E-3</v>
      </c>
      <c r="F69" s="68">
        <v>24823.15</v>
      </c>
      <c r="G69" s="32">
        <f t="shared" si="2"/>
        <v>-1.6355667917530181E-2</v>
      </c>
      <c r="AA69" s="268">
        <v>44295</v>
      </c>
      <c r="AB69" s="269">
        <v>6825.85</v>
      </c>
      <c r="AC69" s="14" t="s">
        <v>779</v>
      </c>
      <c r="AD69">
        <f t="shared" si="3"/>
        <v>59.276000000000003</v>
      </c>
    </row>
    <row r="70" spans="2:30" x14ac:dyDescent="0.25">
      <c r="B70" s="67">
        <v>45515</v>
      </c>
      <c r="C70" s="66">
        <v>11295.7</v>
      </c>
      <c r="D70" s="32">
        <f t="shared" si="1"/>
        <v>-4.0646105556435552E-3</v>
      </c>
      <c r="F70" s="68">
        <v>24541.15</v>
      </c>
      <c r="G70" s="32">
        <f t="shared" si="2"/>
        <v>-1.1360363209342861E-2</v>
      </c>
      <c r="AA70" s="268">
        <v>44298</v>
      </c>
      <c r="AB70" s="269">
        <v>6509.4</v>
      </c>
      <c r="AC70" s="14" t="s">
        <v>780</v>
      </c>
      <c r="AD70">
        <f t="shared" si="3"/>
        <v>58.572000000000003</v>
      </c>
    </row>
    <row r="71" spans="2:30" x14ac:dyDescent="0.25">
      <c r="B71" s="67">
        <v>45508</v>
      </c>
      <c r="C71" s="66">
        <v>11300.35</v>
      </c>
      <c r="D71" s="32">
        <f t="shared" si="1"/>
        <v>4.1166107456813705E-4</v>
      </c>
      <c r="F71" s="68">
        <v>24367.5</v>
      </c>
      <c r="G71" s="32">
        <f t="shared" si="2"/>
        <v>-7.0758705276647849E-3</v>
      </c>
      <c r="AA71" s="268">
        <v>44299</v>
      </c>
      <c r="AB71" s="269">
        <v>6604.45</v>
      </c>
      <c r="AC71" s="14" t="s">
        <v>781</v>
      </c>
      <c r="AD71">
        <f t="shared" si="3"/>
        <v>55.119</v>
      </c>
    </row>
    <row r="72" spans="2:30" x14ac:dyDescent="0.25">
      <c r="B72" s="67">
        <v>45501</v>
      </c>
      <c r="C72" s="66">
        <v>11764.5</v>
      </c>
      <c r="D72" s="32">
        <f t="shared" si="1"/>
        <v>4.1073949036976698E-2</v>
      </c>
      <c r="F72" s="68">
        <v>24717.7</v>
      </c>
      <c r="G72" s="32">
        <f t="shared" si="2"/>
        <v>1.4371601518415877E-2</v>
      </c>
      <c r="AA72" s="268">
        <v>44301</v>
      </c>
      <c r="AB72" s="269">
        <v>6539.3</v>
      </c>
      <c r="AC72" s="14" t="s">
        <v>782</v>
      </c>
      <c r="AD72">
        <f t="shared" si="3"/>
        <v>49.067999999999998</v>
      </c>
    </row>
    <row r="73" spans="2:30" x14ac:dyDescent="0.25">
      <c r="B73" s="67">
        <v>45494</v>
      </c>
      <c r="C73" s="66">
        <v>11673.05</v>
      </c>
      <c r="D73" s="32">
        <f t="shared" si="1"/>
        <v>-7.7733860342557026E-3</v>
      </c>
      <c r="F73" s="68">
        <v>24834.85</v>
      </c>
      <c r="G73" s="32">
        <f t="shared" si="2"/>
        <v>4.7395186445340354E-3</v>
      </c>
      <c r="AA73" s="268">
        <v>44302</v>
      </c>
      <c r="AB73" s="269">
        <v>6715.2</v>
      </c>
      <c r="AC73" s="14" t="s">
        <v>783</v>
      </c>
      <c r="AD73">
        <f t="shared" si="3"/>
        <v>63.692</v>
      </c>
    </row>
    <row r="74" spans="2:30" x14ac:dyDescent="0.25">
      <c r="B74" s="67">
        <v>45487</v>
      </c>
      <c r="C74" s="66">
        <v>11258.3</v>
      </c>
      <c r="D74" s="32">
        <f t="shared" si="1"/>
        <v>-3.5530559708045417E-2</v>
      </c>
      <c r="F74" s="68">
        <v>24530.9</v>
      </c>
      <c r="G74" s="32">
        <f t="shared" si="2"/>
        <v>-1.2238849842056476E-2</v>
      </c>
      <c r="AA74" s="268">
        <v>44305</v>
      </c>
      <c r="AB74" s="269">
        <v>6509.75</v>
      </c>
      <c r="AC74" s="14" t="s">
        <v>784</v>
      </c>
      <c r="AD74">
        <f t="shared" si="3"/>
        <v>55.951000000000001</v>
      </c>
    </row>
    <row r="75" spans="2:30" x14ac:dyDescent="0.25">
      <c r="B75" s="67">
        <v>45480</v>
      </c>
      <c r="C75" s="66">
        <v>11602.3</v>
      </c>
      <c r="D75" s="32">
        <f t="shared" si="1"/>
        <v>3.055523480454414E-2</v>
      </c>
      <c r="F75" s="68">
        <v>24502.15</v>
      </c>
      <c r="G75" s="32">
        <f t="shared" si="2"/>
        <v>-1.1719912436967128E-3</v>
      </c>
      <c r="AA75" s="268">
        <v>44306</v>
      </c>
      <c r="AB75" s="269">
        <v>6200.85</v>
      </c>
      <c r="AC75" s="14" t="s">
        <v>785</v>
      </c>
      <c r="AD75">
        <f t="shared" si="3"/>
        <v>127</v>
      </c>
    </row>
    <row r="76" spans="2:30" x14ac:dyDescent="0.25">
      <c r="B76" s="67">
        <v>45473</v>
      </c>
      <c r="C76" s="66">
        <v>11690.15</v>
      </c>
      <c r="D76" s="32">
        <f t="shared" si="1"/>
        <v>7.5717745619403587E-3</v>
      </c>
      <c r="F76" s="68">
        <v>24323.85</v>
      </c>
      <c r="G76" s="32">
        <f t="shared" si="2"/>
        <v>-7.2769124342150215E-3</v>
      </c>
      <c r="AA76" s="268">
        <v>44308</v>
      </c>
      <c r="AB76" s="269">
        <v>6092.3</v>
      </c>
      <c r="AC76" s="14" t="s">
        <v>786</v>
      </c>
      <c r="AD76">
        <f t="shared" si="3"/>
        <v>180</v>
      </c>
    </row>
    <row r="77" spans="2:30" x14ac:dyDescent="0.25">
      <c r="B77" s="67">
        <v>45466</v>
      </c>
      <c r="C77" s="66">
        <v>11667.9</v>
      </c>
      <c r="D77" s="32">
        <f t="shared" ref="D77:D114" si="4">C77/C76-1</f>
        <v>-1.9033117624667195E-3</v>
      </c>
      <c r="F77" s="68">
        <v>24010.6</v>
      </c>
      <c r="G77" s="32">
        <f t="shared" ref="G77:G114" si="5">F77/F76-1</f>
        <v>-1.2878306682535867E-2</v>
      </c>
      <c r="AA77" s="268">
        <v>44309</v>
      </c>
      <c r="AB77" s="269">
        <v>6067.9</v>
      </c>
      <c r="AC77" s="14" t="s">
        <v>787</v>
      </c>
      <c r="AD77">
        <f t="shared" si="3"/>
        <v>96.844999999999999</v>
      </c>
    </row>
    <row r="78" spans="2:30" x14ac:dyDescent="0.25">
      <c r="B78" s="67">
        <v>45459</v>
      </c>
      <c r="C78" s="66">
        <v>10662.4</v>
      </c>
      <c r="D78" s="32">
        <f t="shared" si="4"/>
        <v>-8.6176604187557349E-2</v>
      </c>
      <c r="F78" s="68">
        <v>23501.1</v>
      </c>
      <c r="G78" s="32">
        <f t="shared" si="5"/>
        <v>-2.1219794590722429E-2</v>
      </c>
      <c r="AA78" s="268">
        <v>44312</v>
      </c>
      <c r="AB78" s="269">
        <v>6275.9</v>
      </c>
      <c r="AC78" s="14" t="s">
        <v>788</v>
      </c>
      <c r="AD78">
        <f t="shared" si="3"/>
        <v>69.778999999999996</v>
      </c>
    </row>
    <row r="79" spans="2:30" x14ac:dyDescent="0.25">
      <c r="B79" s="67">
        <v>45452</v>
      </c>
      <c r="C79" s="66">
        <v>11242.8</v>
      </c>
      <c r="D79" s="32">
        <f t="shared" si="4"/>
        <v>5.4434273709483838E-2</v>
      </c>
      <c r="F79" s="68">
        <v>23465.599999999999</v>
      </c>
      <c r="G79" s="32">
        <f t="shared" si="5"/>
        <v>-1.5105675904532045E-3</v>
      </c>
      <c r="AA79" s="268">
        <v>44313</v>
      </c>
      <c r="AB79" s="269">
        <v>6326.8</v>
      </c>
      <c r="AC79" s="14" t="s">
        <v>789</v>
      </c>
      <c r="AD79">
        <f t="shared" si="3"/>
        <v>51.290999999999997</v>
      </c>
    </row>
    <row r="80" spans="2:30" x14ac:dyDescent="0.25">
      <c r="B80" s="67">
        <v>45445</v>
      </c>
      <c r="C80" s="66">
        <v>10463.15</v>
      </c>
      <c r="D80" s="32">
        <f t="shared" si="4"/>
        <v>-6.9346604048813432E-2</v>
      </c>
      <c r="F80" s="68">
        <v>23290.15</v>
      </c>
      <c r="G80" s="32">
        <f t="shared" si="5"/>
        <v>-7.4769023591980677E-3</v>
      </c>
      <c r="AA80" s="268">
        <v>44314</v>
      </c>
      <c r="AB80" s="269">
        <v>6360.8</v>
      </c>
      <c r="AC80" s="14" t="s">
        <v>790</v>
      </c>
      <c r="AD80">
        <f t="shared" si="3"/>
        <v>41.444000000000003</v>
      </c>
    </row>
    <row r="81" spans="2:30" x14ac:dyDescent="0.25">
      <c r="B81" s="67">
        <v>45438</v>
      </c>
      <c r="C81" s="66">
        <v>9915.5</v>
      </c>
      <c r="D81" s="32">
        <f t="shared" si="4"/>
        <v>-5.2340834261192848E-2</v>
      </c>
      <c r="F81" s="68">
        <v>22530.7</v>
      </c>
      <c r="G81" s="32">
        <f t="shared" si="5"/>
        <v>-3.2608205614820029E-2</v>
      </c>
      <c r="AA81" s="268">
        <v>44315</v>
      </c>
      <c r="AB81" s="269">
        <v>6382.45</v>
      </c>
      <c r="AC81" s="14" t="s">
        <v>791</v>
      </c>
      <c r="AD81">
        <f t="shared" si="3"/>
        <v>40.686999999999998</v>
      </c>
    </row>
    <row r="82" spans="2:30" x14ac:dyDescent="0.25">
      <c r="B82" s="67">
        <v>45431</v>
      </c>
      <c r="C82" s="66">
        <v>10231.1</v>
      </c>
      <c r="D82" s="32">
        <f t="shared" si="4"/>
        <v>3.1828954666935694E-2</v>
      </c>
      <c r="F82" s="68">
        <v>22957.1</v>
      </c>
      <c r="G82" s="32">
        <f t="shared" si="5"/>
        <v>1.8925288606212787E-2</v>
      </c>
      <c r="AA82" s="268">
        <v>44316</v>
      </c>
      <c r="AB82" s="269">
        <v>6278.95</v>
      </c>
      <c r="AC82" s="14" t="s">
        <v>792</v>
      </c>
      <c r="AD82">
        <f t="shared" si="3"/>
        <v>47.518000000000001</v>
      </c>
    </row>
    <row r="83" spans="2:30" x14ac:dyDescent="0.25">
      <c r="B83" s="67">
        <v>45424</v>
      </c>
      <c r="C83" s="66">
        <v>9890.35</v>
      </c>
      <c r="D83" s="32">
        <f t="shared" si="4"/>
        <v>-3.3305314189090107E-2</v>
      </c>
      <c r="F83" s="68">
        <v>22466.1</v>
      </c>
      <c r="G83" s="32">
        <f t="shared" si="5"/>
        <v>-2.1387718832082458E-2</v>
      </c>
      <c r="AA83" s="268">
        <v>44319</v>
      </c>
      <c r="AB83" s="269">
        <v>6350.15</v>
      </c>
      <c r="AC83" s="14" t="s">
        <v>793</v>
      </c>
      <c r="AD83">
        <f t="shared" si="3"/>
        <v>40.206000000000003</v>
      </c>
    </row>
    <row r="84" spans="2:30" x14ac:dyDescent="0.25">
      <c r="B84" s="67">
        <v>45417</v>
      </c>
      <c r="C84" s="66">
        <v>9491.7000000000007</v>
      </c>
      <c r="D84" s="32">
        <f t="shared" si="4"/>
        <v>-4.0306965880883894E-2</v>
      </c>
      <c r="F84" s="68">
        <v>22055.200000000001</v>
      </c>
      <c r="G84" s="32">
        <f t="shared" si="5"/>
        <v>-1.8289778822314418E-2</v>
      </c>
      <c r="AA84" s="268">
        <v>44320</v>
      </c>
      <c r="AB84" s="269">
        <v>6296.45</v>
      </c>
      <c r="AC84" s="14" t="s">
        <v>794</v>
      </c>
      <c r="AD84">
        <f t="shared" si="3"/>
        <v>33.034999999999997</v>
      </c>
    </row>
    <row r="85" spans="2:30" x14ac:dyDescent="0.25">
      <c r="B85" s="67">
        <v>45410</v>
      </c>
      <c r="C85" s="66">
        <v>9816.2999999999993</v>
      </c>
      <c r="D85" s="32">
        <f t="shared" si="4"/>
        <v>3.4198299566990054E-2</v>
      </c>
      <c r="F85" s="68">
        <v>22475.85</v>
      </c>
      <c r="G85" s="32">
        <f t="shared" si="5"/>
        <v>1.9072599659037293E-2</v>
      </c>
      <c r="AA85" s="268">
        <v>44321</v>
      </c>
      <c r="AB85" s="269">
        <v>6380.35</v>
      </c>
      <c r="AC85" s="14" t="s">
        <v>795</v>
      </c>
      <c r="AD85">
        <f t="shared" si="3"/>
        <v>21.597000000000001</v>
      </c>
    </row>
    <row r="86" spans="2:30" x14ac:dyDescent="0.25">
      <c r="B86" s="67">
        <v>45403</v>
      </c>
      <c r="C86" s="66">
        <v>9700.9</v>
      </c>
      <c r="D86" s="32">
        <f t="shared" si="4"/>
        <v>-1.175595692878173E-2</v>
      </c>
      <c r="F86" s="68">
        <v>22419.95</v>
      </c>
      <c r="G86" s="32">
        <f t="shared" si="5"/>
        <v>-2.4871139467471659E-3</v>
      </c>
      <c r="AA86" s="268">
        <v>44322</v>
      </c>
      <c r="AB86" s="269">
        <v>6405.45</v>
      </c>
      <c r="AC86" s="14" t="s">
        <v>796</v>
      </c>
      <c r="AD86">
        <f t="shared" si="3"/>
        <v>24.663</v>
      </c>
    </row>
    <row r="87" spans="2:30" x14ac:dyDescent="0.25">
      <c r="B87" s="67">
        <v>45396</v>
      </c>
      <c r="C87" s="66">
        <v>9363.9500000000007</v>
      </c>
      <c r="D87" s="32">
        <f t="shared" si="4"/>
        <v>-3.4733890669937706E-2</v>
      </c>
      <c r="F87" s="68">
        <v>22147</v>
      </c>
      <c r="G87" s="32">
        <f t="shared" si="5"/>
        <v>-1.2174425009868428E-2</v>
      </c>
      <c r="AA87" s="268">
        <v>44323</v>
      </c>
      <c r="AB87" s="269">
        <v>6481.9</v>
      </c>
      <c r="AC87" s="14" t="s">
        <v>797</v>
      </c>
      <c r="AD87">
        <f t="shared" si="3"/>
        <v>74.558000000000007</v>
      </c>
    </row>
    <row r="88" spans="2:30" x14ac:dyDescent="0.25">
      <c r="B88" s="67">
        <v>45389</v>
      </c>
      <c r="C88" s="66">
        <v>9652.5499999999993</v>
      </c>
      <c r="D88" s="32">
        <f t="shared" si="4"/>
        <v>3.0820326891963123E-2</v>
      </c>
      <c r="F88" s="68">
        <v>22519.4</v>
      </c>
      <c r="G88" s="32">
        <f t="shared" si="5"/>
        <v>1.6814918499119536E-2</v>
      </c>
      <c r="AA88" s="268">
        <v>44326</v>
      </c>
      <c r="AB88" s="269">
        <v>6403.1</v>
      </c>
      <c r="AC88" s="14" t="s">
        <v>798</v>
      </c>
      <c r="AD88">
        <f t="shared" si="3"/>
        <v>87.200999999999993</v>
      </c>
    </row>
    <row r="89" spans="2:30" x14ac:dyDescent="0.25">
      <c r="B89" s="67">
        <v>45382</v>
      </c>
      <c r="C89" s="66">
        <v>9823.6</v>
      </c>
      <c r="D89" s="32">
        <f t="shared" si="4"/>
        <v>1.7720705927449343E-2</v>
      </c>
      <c r="F89" s="68">
        <v>22513.7</v>
      </c>
      <c r="G89" s="32">
        <f t="shared" si="5"/>
        <v>-2.5311509187642134E-4</v>
      </c>
      <c r="AA89" s="268">
        <v>44327</v>
      </c>
      <c r="AB89" s="269">
        <v>6490.6</v>
      </c>
      <c r="AC89" s="14" t="s">
        <v>799</v>
      </c>
      <c r="AD89">
        <f t="shared" si="3"/>
        <v>114</v>
      </c>
    </row>
    <row r="90" spans="2:30" x14ac:dyDescent="0.25">
      <c r="B90" s="67">
        <v>45375</v>
      </c>
      <c r="C90" s="66">
        <v>9749.15</v>
      </c>
      <c r="D90" s="32">
        <f t="shared" si="4"/>
        <v>-7.5786880573314175E-3</v>
      </c>
      <c r="F90" s="68">
        <v>22326.9</v>
      </c>
      <c r="G90" s="32">
        <f t="shared" si="5"/>
        <v>-8.2971701674979803E-3</v>
      </c>
      <c r="AA90" s="268">
        <v>44328</v>
      </c>
      <c r="AB90" s="269">
        <v>6388.85</v>
      </c>
      <c r="AC90" s="14" t="s">
        <v>800</v>
      </c>
      <c r="AD90">
        <f t="shared" si="3"/>
        <v>39.265999999999998</v>
      </c>
    </row>
    <row r="91" spans="2:30" x14ac:dyDescent="0.25">
      <c r="B91" s="67">
        <v>45368</v>
      </c>
      <c r="C91" s="66">
        <v>9681.75</v>
      </c>
      <c r="D91" s="32">
        <f t="shared" si="4"/>
        <v>-6.913423221511561E-3</v>
      </c>
      <c r="F91" s="68">
        <v>22096.75</v>
      </c>
      <c r="G91" s="32">
        <f t="shared" si="5"/>
        <v>-1.0308193255669229E-2</v>
      </c>
      <c r="AA91" s="268">
        <v>44330</v>
      </c>
      <c r="AB91" s="269">
        <v>6368.1</v>
      </c>
      <c r="AC91" s="14" t="s">
        <v>801</v>
      </c>
      <c r="AD91">
        <f t="shared" si="3"/>
        <v>40.527999999999999</v>
      </c>
    </row>
    <row r="92" spans="2:30" x14ac:dyDescent="0.25">
      <c r="B92" s="67">
        <v>45361</v>
      </c>
      <c r="C92" s="66">
        <v>9632.9500000000007</v>
      </c>
      <c r="D92" s="32">
        <f t="shared" si="4"/>
        <v>-5.0404110827070303E-3</v>
      </c>
      <c r="F92" s="68">
        <v>22023.35</v>
      </c>
      <c r="G92" s="32">
        <f t="shared" si="5"/>
        <v>-3.3217554617761547E-3</v>
      </c>
      <c r="AA92" s="268">
        <v>44333</v>
      </c>
      <c r="AB92" s="269">
        <v>6532.35</v>
      </c>
      <c r="AC92" s="14" t="s">
        <v>802</v>
      </c>
      <c r="AD92">
        <f t="shared" si="3"/>
        <v>35.728999999999999</v>
      </c>
    </row>
    <row r="93" spans="2:30" x14ac:dyDescent="0.25">
      <c r="B93" s="67">
        <v>45354</v>
      </c>
      <c r="C93" s="66">
        <v>9673.15</v>
      </c>
      <c r="D93" s="32">
        <f t="shared" si="4"/>
        <v>4.1731764412769046E-3</v>
      </c>
      <c r="F93" s="68">
        <v>22493.55</v>
      </c>
      <c r="G93" s="32">
        <f t="shared" si="5"/>
        <v>2.1350067087886337E-2</v>
      </c>
      <c r="AA93" s="268">
        <v>44334</v>
      </c>
      <c r="AB93" s="269">
        <v>6653</v>
      </c>
      <c r="AC93" s="14" t="s">
        <v>803</v>
      </c>
      <c r="AD93">
        <f t="shared" si="3"/>
        <v>45.101999999999997</v>
      </c>
    </row>
    <row r="94" spans="2:30" x14ac:dyDescent="0.25">
      <c r="B94" s="67">
        <v>45347</v>
      </c>
      <c r="C94" s="66">
        <v>10135.5</v>
      </c>
      <c r="D94" s="32">
        <f t="shared" si="4"/>
        <v>4.7797253221546265E-2</v>
      </c>
      <c r="F94" s="68">
        <v>22338.75</v>
      </c>
      <c r="G94" s="32">
        <f t="shared" si="5"/>
        <v>-6.8819728322118134E-3</v>
      </c>
      <c r="AA94" s="268">
        <v>44335</v>
      </c>
      <c r="AB94" s="269">
        <v>6561.2</v>
      </c>
      <c r="AC94" s="14" t="s">
        <v>804</v>
      </c>
      <c r="AD94">
        <f t="shared" si="3"/>
        <v>47.594999999999999</v>
      </c>
    </row>
    <row r="95" spans="2:30" x14ac:dyDescent="0.25">
      <c r="B95" s="67">
        <v>45340</v>
      </c>
      <c r="C95" s="66">
        <v>10000.9</v>
      </c>
      <c r="D95" s="32">
        <f t="shared" si="4"/>
        <v>-1.3280055251344347E-2</v>
      </c>
      <c r="F95" s="68">
        <v>22212.7</v>
      </c>
      <c r="G95" s="32">
        <f t="shared" si="5"/>
        <v>-5.6426612948351496E-3</v>
      </c>
      <c r="AA95" s="268">
        <v>44336</v>
      </c>
      <c r="AB95" s="269">
        <v>6573.85</v>
      </c>
      <c r="AC95" s="14" t="s">
        <v>805</v>
      </c>
      <c r="AD95">
        <f t="shared" si="3"/>
        <v>25.608999999999998</v>
      </c>
    </row>
    <row r="96" spans="2:30" x14ac:dyDescent="0.25">
      <c r="B96" s="67">
        <v>45333</v>
      </c>
      <c r="C96" s="66">
        <v>9916.2000000000007</v>
      </c>
      <c r="D96" s="32">
        <f t="shared" si="4"/>
        <v>-8.4692377686007569E-3</v>
      </c>
      <c r="F96" s="68">
        <v>22040.7</v>
      </c>
      <c r="G96" s="32">
        <f t="shared" si="5"/>
        <v>-7.7433180117680855E-3</v>
      </c>
      <c r="AA96" s="268">
        <v>44337</v>
      </c>
      <c r="AB96" s="269">
        <v>6637.6</v>
      </c>
      <c r="AC96" s="14" t="s">
        <v>806</v>
      </c>
      <c r="AD96">
        <f t="shared" si="3"/>
        <v>30.702999999999999</v>
      </c>
    </row>
    <row r="97" spans="2:30" x14ac:dyDescent="0.25">
      <c r="B97" s="67">
        <v>45326</v>
      </c>
      <c r="C97" s="66">
        <v>9945.75</v>
      </c>
      <c r="D97" s="32">
        <f t="shared" si="4"/>
        <v>2.9799721667573831E-3</v>
      </c>
      <c r="F97" s="68">
        <v>21782.5</v>
      </c>
      <c r="G97" s="32">
        <f t="shared" si="5"/>
        <v>-1.1714691457167858E-2</v>
      </c>
      <c r="AA97" s="268">
        <v>44340</v>
      </c>
      <c r="AB97" s="269">
        <v>6562.4</v>
      </c>
      <c r="AC97" s="14" t="s">
        <v>807</v>
      </c>
      <c r="AD97">
        <f t="shared" si="3"/>
        <v>28.85</v>
      </c>
    </row>
    <row r="98" spans="2:30" x14ac:dyDescent="0.25">
      <c r="B98" s="67">
        <v>45319</v>
      </c>
      <c r="C98" s="66">
        <v>10098.549999999999</v>
      </c>
      <c r="D98" s="32">
        <f t="shared" si="4"/>
        <v>1.5363346152879265E-2</v>
      </c>
      <c r="F98" s="68">
        <v>21853.8</v>
      </c>
      <c r="G98" s="32">
        <f t="shared" si="5"/>
        <v>3.273269826695735E-3</v>
      </c>
      <c r="AA98" s="268">
        <v>44341</v>
      </c>
      <c r="AB98" s="269">
        <v>6556.6</v>
      </c>
      <c r="AC98" s="14" t="s">
        <v>808</v>
      </c>
      <c r="AD98">
        <f t="shared" si="3"/>
        <v>17.613</v>
      </c>
    </row>
    <row r="99" spans="2:30" x14ac:dyDescent="0.25">
      <c r="B99" s="67">
        <v>45312</v>
      </c>
      <c r="C99" s="66">
        <v>9969.35</v>
      </c>
      <c r="D99" s="32">
        <f t="shared" si="4"/>
        <v>-1.2793915958231539E-2</v>
      </c>
      <c r="F99" s="68">
        <v>21352.6</v>
      </c>
      <c r="G99" s="32">
        <f t="shared" si="5"/>
        <v>-2.2934226541837188E-2</v>
      </c>
      <c r="AA99" s="268">
        <v>44342</v>
      </c>
      <c r="AB99" s="269">
        <v>6580.9</v>
      </c>
      <c r="AC99" s="14" t="s">
        <v>809</v>
      </c>
      <c r="AD99">
        <f t="shared" si="3"/>
        <v>24.802</v>
      </c>
    </row>
    <row r="100" spans="2:30" x14ac:dyDescent="0.25">
      <c r="B100" s="67">
        <v>45305</v>
      </c>
      <c r="C100" s="66">
        <v>10093.700000000001</v>
      </c>
      <c r="D100" s="32">
        <f t="shared" si="4"/>
        <v>1.2473230451333306E-2</v>
      </c>
      <c r="F100" s="68">
        <v>21622.400000000001</v>
      </c>
      <c r="G100" s="32">
        <f t="shared" si="5"/>
        <v>1.2635463596939234E-2</v>
      </c>
      <c r="AA100" s="268">
        <v>44343</v>
      </c>
      <c r="AB100" s="269">
        <v>6673.25</v>
      </c>
      <c r="AC100" s="14" t="s">
        <v>810</v>
      </c>
      <c r="AD100">
        <f t="shared" si="3"/>
        <v>171</v>
      </c>
    </row>
    <row r="101" spans="2:30" x14ac:dyDescent="0.25">
      <c r="B101" s="67">
        <v>45298</v>
      </c>
      <c r="C101" s="66">
        <v>9808.4500000000007</v>
      </c>
      <c r="D101" s="32">
        <f t="shared" si="4"/>
        <v>-2.8260201908120952E-2</v>
      </c>
      <c r="F101" s="68">
        <v>21894.55</v>
      </c>
      <c r="G101" s="32">
        <f t="shared" si="5"/>
        <v>1.2586484386561958E-2</v>
      </c>
      <c r="AA101" s="268">
        <v>44344</v>
      </c>
      <c r="AB101" s="269">
        <v>6598.5</v>
      </c>
      <c r="AC101" s="14" t="s">
        <v>811</v>
      </c>
      <c r="AD101">
        <f t="shared" si="3"/>
        <v>28.509</v>
      </c>
    </row>
    <row r="102" spans="2:30" x14ac:dyDescent="0.25">
      <c r="B102" s="67">
        <v>45291</v>
      </c>
      <c r="C102" s="66">
        <v>10016.049999999999</v>
      </c>
      <c r="D102" s="32">
        <f t="shared" si="4"/>
        <v>2.1165423690796992E-2</v>
      </c>
      <c r="F102" s="68">
        <v>21710.799999999999</v>
      </c>
      <c r="G102" s="32">
        <f t="shared" si="5"/>
        <v>-8.3924995033010097E-3</v>
      </c>
      <c r="AA102" s="268">
        <v>44347</v>
      </c>
      <c r="AB102" s="269">
        <v>6708</v>
      </c>
      <c r="AC102" s="14" t="s">
        <v>812</v>
      </c>
      <c r="AD102">
        <f t="shared" si="3"/>
        <v>32.844999999999999</v>
      </c>
    </row>
    <row r="103" spans="2:30" x14ac:dyDescent="0.25">
      <c r="B103" s="67">
        <v>45284</v>
      </c>
      <c r="C103" s="66">
        <v>10503.05</v>
      </c>
      <c r="D103" s="32">
        <f t="shared" si="4"/>
        <v>4.8621961751388998E-2</v>
      </c>
      <c r="F103" s="68">
        <v>21731.4</v>
      </c>
      <c r="G103" s="32">
        <f t="shared" si="5"/>
        <v>9.4883652375776784E-4</v>
      </c>
      <c r="AA103" s="268">
        <v>44348</v>
      </c>
      <c r="AB103" s="269">
        <v>6601.35</v>
      </c>
      <c r="AC103" s="14" t="s">
        <v>813</v>
      </c>
      <c r="AD103">
        <f t="shared" si="3"/>
        <v>39.798999999999999</v>
      </c>
    </row>
    <row r="104" spans="2:30" x14ac:dyDescent="0.25">
      <c r="B104" s="67">
        <v>45277</v>
      </c>
      <c r="C104" s="66">
        <v>9969</v>
      </c>
      <c r="D104" s="32">
        <f t="shared" si="4"/>
        <v>-5.0847134879868139E-2</v>
      </c>
      <c r="F104" s="68">
        <v>21349.4</v>
      </c>
      <c r="G104" s="32">
        <f t="shared" si="5"/>
        <v>-1.7578250825993735E-2</v>
      </c>
      <c r="AA104" s="268">
        <v>44349</v>
      </c>
      <c r="AB104" s="269">
        <v>6594.2</v>
      </c>
      <c r="AC104" s="14" t="s">
        <v>814</v>
      </c>
      <c r="AD104">
        <f t="shared" si="3"/>
        <v>56.77</v>
      </c>
    </row>
    <row r="105" spans="2:30" x14ac:dyDescent="0.25">
      <c r="B105" s="67">
        <v>45270</v>
      </c>
      <c r="C105" s="66">
        <v>10029.450000000001</v>
      </c>
      <c r="D105" s="32">
        <f t="shared" si="4"/>
        <v>6.0637977730966242E-3</v>
      </c>
      <c r="F105" s="68">
        <v>21456.65</v>
      </c>
      <c r="G105" s="32">
        <f t="shared" si="5"/>
        <v>5.023560381087977E-3</v>
      </c>
      <c r="AA105" s="268">
        <v>44350</v>
      </c>
      <c r="AB105" s="269">
        <v>6641.7</v>
      </c>
      <c r="AC105" s="14" t="s">
        <v>815</v>
      </c>
      <c r="AD105">
        <f t="shared" si="3"/>
        <v>34.948</v>
      </c>
    </row>
    <row r="106" spans="2:30" x14ac:dyDescent="0.25">
      <c r="B106" s="67">
        <v>45263</v>
      </c>
      <c r="C106" s="66">
        <v>9413.5499999999993</v>
      </c>
      <c r="D106" s="32">
        <f t="shared" si="4"/>
        <v>-6.1409150053093775E-2</v>
      </c>
      <c r="F106" s="68">
        <v>20969.400000000001</v>
      </c>
      <c r="G106" s="32">
        <f t="shared" si="5"/>
        <v>-2.2708577527246754E-2</v>
      </c>
      <c r="AA106" s="268">
        <v>44351</v>
      </c>
      <c r="AB106" s="269">
        <v>6664.3</v>
      </c>
      <c r="AC106" s="14" t="s">
        <v>816</v>
      </c>
      <c r="AD106">
        <f t="shared" si="3"/>
        <v>20.55</v>
      </c>
    </row>
    <row r="107" spans="2:30" x14ac:dyDescent="0.25">
      <c r="B107" s="67">
        <v>45256</v>
      </c>
      <c r="C107" s="66">
        <v>9033.85</v>
      </c>
      <c r="D107" s="32">
        <f t="shared" si="4"/>
        <v>-4.0335473864801186E-2</v>
      </c>
      <c r="F107" s="68">
        <v>20267.900000000001</v>
      </c>
      <c r="G107" s="32">
        <f t="shared" si="5"/>
        <v>-3.3453508445639879E-2</v>
      </c>
      <c r="AA107" s="268">
        <v>44354</v>
      </c>
      <c r="AB107" s="269">
        <v>6849.65</v>
      </c>
      <c r="AC107" s="14" t="s">
        <v>817</v>
      </c>
      <c r="AD107">
        <f t="shared" si="3"/>
        <v>61.704000000000001</v>
      </c>
    </row>
    <row r="108" spans="2:30" x14ac:dyDescent="0.25">
      <c r="B108" s="67">
        <v>45249</v>
      </c>
      <c r="C108" s="66">
        <v>8556.2000000000007</v>
      </c>
      <c r="D108" s="32">
        <f t="shared" si="4"/>
        <v>-5.2873359641791629E-2</v>
      </c>
      <c r="F108" s="68">
        <v>19794.7</v>
      </c>
      <c r="G108" s="32">
        <f t="shared" si="5"/>
        <v>-2.3347263406667706E-2</v>
      </c>
      <c r="AA108" s="268">
        <v>44355</v>
      </c>
      <c r="AB108" s="269">
        <v>6794.4</v>
      </c>
      <c r="AC108" s="14" t="s">
        <v>818</v>
      </c>
      <c r="AD108">
        <f t="shared" si="3"/>
        <v>21.863</v>
      </c>
    </row>
    <row r="109" spans="2:30" x14ac:dyDescent="0.25">
      <c r="B109" s="67">
        <v>45242</v>
      </c>
      <c r="C109" s="66">
        <v>8790.9500000000007</v>
      </c>
      <c r="D109" s="32">
        <f t="shared" si="4"/>
        <v>2.7436245062060216E-2</v>
      </c>
      <c r="F109" s="68">
        <v>19731.8</v>
      </c>
      <c r="G109" s="32">
        <f t="shared" si="5"/>
        <v>-3.1776182513502116E-3</v>
      </c>
      <c r="AA109" s="268">
        <v>44356</v>
      </c>
      <c r="AB109" s="269">
        <v>6724.75</v>
      </c>
      <c r="AC109" s="14" t="s">
        <v>819</v>
      </c>
      <c r="AD109">
        <f t="shared" si="3"/>
        <v>34.51</v>
      </c>
    </row>
    <row r="110" spans="2:30" x14ac:dyDescent="0.25">
      <c r="B110" s="67">
        <v>45235</v>
      </c>
      <c r="C110" s="66">
        <v>8710.85</v>
      </c>
      <c r="D110" s="32">
        <f t="shared" si="4"/>
        <v>-9.1116432239974898E-3</v>
      </c>
      <c r="F110" s="68">
        <v>19425.349999999999</v>
      </c>
      <c r="G110" s="32">
        <f t="shared" si="5"/>
        <v>-1.5530767593427863E-2</v>
      </c>
      <c r="AA110" s="268">
        <v>44357</v>
      </c>
      <c r="AB110" s="269">
        <v>6709.65</v>
      </c>
      <c r="AC110" s="14" t="s">
        <v>820</v>
      </c>
      <c r="AD110">
        <f t="shared" si="3"/>
        <v>19.87</v>
      </c>
    </row>
    <row r="111" spans="2:30" x14ac:dyDescent="0.25">
      <c r="B111" s="67">
        <v>45228</v>
      </c>
      <c r="C111" s="66">
        <v>8522.6</v>
      </c>
      <c r="D111" s="32">
        <f t="shared" si="4"/>
        <v>-2.1610979410734865E-2</v>
      </c>
      <c r="F111" s="68">
        <v>19230.599999999999</v>
      </c>
      <c r="G111" s="32">
        <f t="shared" si="5"/>
        <v>-1.0025559385030358E-2</v>
      </c>
      <c r="AA111" s="268">
        <v>44358</v>
      </c>
      <c r="AB111" s="269">
        <v>6662.85</v>
      </c>
      <c r="AC111" s="14" t="s">
        <v>821</v>
      </c>
      <c r="AD111">
        <f t="shared" si="3"/>
        <v>19.300999999999998</v>
      </c>
    </row>
    <row r="112" spans="2:30" x14ac:dyDescent="0.25">
      <c r="B112" s="67">
        <v>45221</v>
      </c>
      <c r="C112" s="66">
        <v>8210.15</v>
      </c>
      <c r="D112" s="32">
        <f t="shared" si="4"/>
        <v>-3.6661347476122375E-2</v>
      </c>
      <c r="F112" s="68">
        <v>19047.25</v>
      </c>
      <c r="G112" s="32">
        <f t="shared" si="5"/>
        <v>-9.5342839016983039E-3</v>
      </c>
      <c r="AA112" s="268">
        <v>44361</v>
      </c>
      <c r="AB112" s="269">
        <v>6678.5</v>
      </c>
      <c r="AC112" s="14" t="s">
        <v>822</v>
      </c>
      <c r="AD112">
        <f t="shared" si="3"/>
        <v>16</v>
      </c>
    </row>
    <row r="113" spans="2:30" x14ac:dyDescent="0.25">
      <c r="B113" s="67">
        <v>45214</v>
      </c>
      <c r="C113" s="66">
        <v>8461.0499999999993</v>
      </c>
      <c r="D113" s="32">
        <f t="shared" si="4"/>
        <v>3.0559733987807647E-2</v>
      </c>
      <c r="F113" s="68">
        <v>19542.650000000001</v>
      </c>
      <c r="G113" s="32">
        <f t="shared" si="5"/>
        <v>2.6009003924451157E-2</v>
      </c>
      <c r="AA113" s="268">
        <v>44362</v>
      </c>
      <c r="AB113" s="269">
        <v>6668.3</v>
      </c>
      <c r="AC113" s="14" t="s">
        <v>823</v>
      </c>
      <c r="AD113">
        <f t="shared" si="3"/>
        <v>19.312999999999999</v>
      </c>
    </row>
    <row r="114" spans="2:30" x14ac:dyDescent="0.25">
      <c r="B114" s="67">
        <v>45207</v>
      </c>
      <c r="C114" s="66">
        <v>8369</v>
      </c>
      <c r="D114" s="32">
        <f t="shared" si="4"/>
        <v>-1.0879264393898969E-2</v>
      </c>
      <c r="F114" s="68">
        <v>19751.05</v>
      </c>
      <c r="G114" s="32">
        <f t="shared" si="5"/>
        <v>1.0663855720692839E-2</v>
      </c>
      <c r="AA114" s="268">
        <v>44363</v>
      </c>
      <c r="AB114" s="269">
        <v>6587.4</v>
      </c>
      <c r="AC114" s="14" t="s">
        <v>824</v>
      </c>
      <c r="AD114">
        <f t="shared" si="3"/>
        <v>22.41</v>
      </c>
    </row>
    <row r="115" spans="2:30" x14ac:dyDescent="0.25">
      <c r="C115" s="66"/>
      <c r="AA115" s="268">
        <v>44364</v>
      </c>
      <c r="AB115" s="269">
        <v>6704.85</v>
      </c>
      <c r="AC115" s="14" t="s">
        <v>825</v>
      </c>
      <c r="AD115">
        <f t="shared" si="3"/>
        <v>63.73</v>
      </c>
    </row>
    <row r="116" spans="2:30" x14ac:dyDescent="0.25">
      <c r="AA116" s="268">
        <v>44365</v>
      </c>
      <c r="AB116" s="269">
        <v>6693.9</v>
      </c>
      <c r="AC116" s="14" t="s">
        <v>826</v>
      </c>
      <c r="AD116">
        <f t="shared" si="3"/>
        <v>36.732999999999997</v>
      </c>
    </row>
    <row r="117" spans="2:30" x14ac:dyDescent="0.25">
      <c r="AA117" s="268">
        <v>44368</v>
      </c>
      <c r="AB117" s="269">
        <v>6775.5</v>
      </c>
      <c r="AC117" s="14" t="s">
        <v>827</v>
      </c>
      <c r="AD117">
        <f t="shared" si="3"/>
        <v>36.164999999999999</v>
      </c>
    </row>
    <row r="118" spans="2:30" x14ac:dyDescent="0.25">
      <c r="AA118" s="268">
        <v>44369</v>
      </c>
      <c r="AB118" s="269">
        <v>6858.95</v>
      </c>
      <c r="AC118" s="14" t="s">
        <v>828</v>
      </c>
      <c r="AD118">
        <f t="shared" si="3"/>
        <v>54.228000000000002</v>
      </c>
    </row>
    <row r="119" spans="2:30" x14ac:dyDescent="0.25">
      <c r="AA119" s="268">
        <v>44370</v>
      </c>
      <c r="AB119" s="269">
        <v>6903.35</v>
      </c>
      <c r="AC119" s="14" t="s">
        <v>829</v>
      </c>
      <c r="AD119">
        <f t="shared" si="3"/>
        <v>43.844000000000001</v>
      </c>
    </row>
    <row r="120" spans="2:30" x14ac:dyDescent="0.25">
      <c r="AA120" s="268">
        <v>44371</v>
      </c>
      <c r="AB120" s="269">
        <v>6961.95</v>
      </c>
      <c r="AC120" s="14" t="s">
        <v>830</v>
      </c>
      <c r="AD120">
        <f t="shared" si="3"/>
        <v>27.831</v>
      </c>
    </row>
    <row r="121" spans="2:30" x14ac:dyDescent="0.25">
      <c r="AA121" s="268">
        <v>44372</v>
      </c>
      <c r="AB121" s="269">
        <v>6923</v>
      </c>
      <c r="AC121" s="14" t="s">
        <v>831</v>
      </c>
      <c r="AD121">
        <f t="shared" si="3"/>
        <v>18.350000000000001</v>
      </c>
    </row>
    <row r="122" spans="2:30" x14ac:dyDescent="0.25">
      <c r="AA122" s="268">
        <v>44375</v>
      </c>
      <c r="AB122" s="269">
        <v>6869.45</v>
      </c>
      <c r="AC122" s="14" t="s">
        <v>832</v>
      </c>
      <c r="AD122">
        <f t="shared" si="3"/>
        <v>12.728</v>
      </c>
    </row>
    <row r="123" spans="2:30" x14ac:dyDescent="0.25">
      <c r="AA123" s="268">
        <v>44376</v>
      </c>
      <c r="AB123" s="269">
        <v>6824.7</v>
      </c>
      <c r="AC123" s="14" t="s">
        <v>833</v>
      </c>
      <c r="AD123">
        <f t="shared" si="3"/>
        <v>23.501000000000001</v>
      </c>
    </row>
    <row r="124" spans="2:30" x14ac:dyDescent="0.25">
      <c r="AA124" s="268">
        <v>44377</v>
      </c>
      <c r="AB124" s="269">
        <v>6776</v>
      </c>
      <c r="AC124" s="14" t="s">
        <v>834</v>
      </c>
      <c r="AD124">
        <f t="shared" si="3"/>
        <v>28.315000000000001</v>
      </c>
    </row>
    <row r="125" spans="2:30" x14ac:dyDescent="0.25">
      <c r="AA125" s="268">
        <v>44378</v>
      </c>
      <c r="AB125" s="269">
        <v>6707.25</v>
      </c>
      <c r="AC125" s="14" t="s">
        <v>835</v>
      </c>
      <c r="AD125">
        <f t="shared" si="3"/>
        <v>27.411000000000001</v>
      </c>
    </row>
    <row r="126" spans="2:30" x14ac:dyDescent="0.25">
      <c r="AA126" s="268">
        <v>44379</v>
      </c>
      <c r="AB126" s="269">
        <v>6719.9</v>
      </c>
      <c r="AC126" s="14" t="s">
        <v>836</v>
      </c>
      <c r="AD126">
        <f t="shared" si="3"/>
        <v>25.649000000000001</v>
      </c>
    </row>
    <row r="127" spans="2:30" x14ac:dyDescent="0.25">
      <c r="AA127" s="268">
        <v>44382</v>
      </c>
      <c r="AB127" s="269">
        <v>6719.85</v>
      </c>
      <c r="AC127" s="14" t="s">
        <v>837</v>
      </c>
      <c r="AD127">
        <f t="shared" si="3"/>
        <v>13.401</v>
      </c>
    </row>
    <row r="128" spans="2:30" x14ac:dyDescent="0.25">
      <c r="AA128" s="268">
        <v>44383</v>
      </c>
      <c r="AB128" s="269">
        <v>6933.05</v>
      </c>
      <c r="AC128" s="14" t="s">
        <v>838</v>
      </c>
      <c r="AD128">
        <f t="shared" si="3"/>
        <v>68.176000000000002</v>
      </c>
    </row>
    <row r="129" spans="27:30" x14ac:dyDescent="0.25">
      <c r="AA129" s="268">
        <v>44384</v>
      </c>
      <c r="AB129" s="269">
        <v>6925.1</v>
      </c>
      <c r="AC129" s="14" t="s">
        <v>839</v>
      </c>
      <c r="AD129">
        <f t="shared" si="3"/>
        <v>38.24</v>
      </c>
    </row>
    <row r="130" spans="27:30" x14ac:dyDescent="0.25">
      <c r="AA130" s="268">
        <v>44385</v>
      </c>
      <c r="AB130" s="269">
        <v>6901.9</v>
      </c>
      <c r="AC130" s="14" t="s">
        <v>840</v>
      </c>
      <c r="AD130">
        <f t="shared" si="3"/>
        <v>36.561</v>
      </c>
    </row>
    <row r="131" spans="27:30" x14ac:dyDescent="0.25">
      <c r="AA131" s="268">
        <v>44386</v>
      </c>
      <c r="AB131" s="269">
        <v>6899.55</v>
      </c>
      <c r="AC131" s="14" t="s">
        <v>841</v>
      </c>
      <c r="AD131">
        <f t="shared" si="3"/>
        <v>17.053999999999998</v>
      </c>
    </row>
    <row r="132" spans="27:30" x14ac:dyDescent="0.25">
      <c r="AA132" s="268">
        <v>44389</v>
      </c>
      <c r="AB132" s="269">
        <v>7093.75</v>
      </c>
      <c r="AC132" s="14" t="s">
        <v>842</v>
      </c>
      <c r="AD132">
        <f t="shared" ref="AD132:AD195" si="6">(IF(RIGHT(AC132,1)="K",
    VALUE(LEFT(AC132,LEN(AC132)-1))*1000,
    IF(RIGHT(AC132,1)="M",
       VALUE(LEFT(AC132,LEN(AC132)-1))*1000000,
       VALUE(AC132)
    )
))/10000</f>
        <v>61.076000000000001</v>
      </c>
    </row>
    <row r="133" spans="27:30" x14ac:dyDescent="0.25">
      <c r="AA133" s="268">
        <v>44390</v>
      </c>
      <c r="AB133" s="269">
        <v>7128.85</v>
      </c>
      <c r="AC133" s="14" t="s">
        <v>843</v>
      </c>
      <c r="AD133">
        <f t="shared" si="6"/>
        <v>37.286999999999999</v>
      </c>
    </row>
    <row r="134" spans="27:30" x14ac:dyDescent="0.25">
      <c r="AA134" s="268">
        <v>44391</v>
      </c>
      <c r="AB134" s="269">
        <v>7118.05</v>
      </c>
      <c r="AC134" s="14" t="s">
        <v>844</v>
      </c>
      <c r="AD134">
        <f t="shared" si="6"/>
        <v>37.975000000000001</v>
      </c>
    </row>
    <row r="135" spans="27:30" x14ac:dyDescent="0.25">
      <c r="AA135" s="268">
        <v>44392</v>
      </c>
      <c r="AB135" s="269">
        <v>7189.65</v>
      </c>
      <c r="AC135" s="14" t="s">
        <v>845</v>
      </c>
      <c r="AD135">
        <f t="shared" si="6"/>
        <v>29.216999999999999</v>
      </c>
    </row>
    <row r="136" spans="27:30" x14ac:dyDescent="0.25">
      <c r="AA136" s="268">
        <v>44393</v>
      </c>
      <c r="AB136" s="269">
        <v>7334.55</v>
      </c>
      <c r="AC136" s="14" t="s">
        <v>846</v>
      </c>
      <c r="AD136">
        <f t="shared" si="6"/>
        <v>43.637999999999998</v>
      </c>
    </row>
    <row r="137" spans="27:30" x14ac:dyDescent="0.25">
      <c r="AA137" s="268">
        <v>44396</v>
      </c>
      <c r="AB137" s="269">
        <v>7312.35</v>
      </c>
      <c r="AC137" s="14" t="s">
        <v>847</v>
      </c>
      <c r="AD137">
        <f t="shared" si="6"/>
        <v>36.511000000000003</v>
      </c>
    </row>
    <row r="138" spans="27:30" x14ac:dyDescent="0.25">
      <c r="AA138" s="268">
        <v>44397</v>
      </c>
      <c r="AB138" s="269">
        <v>7424.7</v>
      </c>
      <c r="AC138" s="14" t="s">
        <v>848</v>
      </c>
      <c r="AD138">
        <f t="shared" si="6"/>
        <v>95.388999999999996</v>
      </c>
    </row>
    <row r="139" spans="27:30" x14ac:dyDescent="0.25">
      <c r="AA139" s="268">
        <v>44399</v>
      </c>
      <c r="AB139" s="269">
        <v>7459</v>
      </c>
      <c r="AC139" s="14" t="s">
        <v>849</v>
      </c>
      <c r="AD139">
        <f t="shared" si="6"/>
        <v>116</v>
      </c>
    </row>
    <row r="140" spans="27:30" x14ac:dyDescent="0.25">
      <c r="AA140" s="268">
        <v>44400</v>
      </c>
      <c r="AB140" s="269">
        <v>7490.3</v>
      </c>
      <c r="AC140" s="14" t="s">
        <v>850</v>
      </c>
      <c r="AD140">
        <f t="shared" si="6"/>
        <v>81.361999999999995</v>
      </c>
    </row>
    <row r="141" spans="27:30" x14ac:dyDescent="0.25">
      <c r="AA141" s="268">
        <v>44403</v>
      </c>
      <c r="AB141" s="269">
        <v>7616.7</v>
      </c>
      <c r="AC141" s="14" t="s">
        <v>851</v>
      </c>
      <c r="AD141">
        <f t="shared" si="6"/>
        <v>36.935000000000002</v>
      </c>
    </row>
    <row r="142" spans="27:30" x14ac:dyDescent="0.25">
      <c r="AA142" s="268">
        <v>44404</v>
      </c>
      <c r="AB142" s="269">
        <v>7596.25</v>
      </c>
      <c r="AC142" s="14" t="s">
        <v>852</v>
      </c>
      <c r="AD142">
        <f t="shared" si="6"/>
        <v>29.751000000000001</v>
      </c>
    </row>
    <row r="143" spans="27:30" x14ac:dyDescent="0.25">
      <c r="AA143" s="268">
        <v>44405</v>
      </c>
      <c r="AB143" s="269">
        <v>7654.65</v>
      </c>
      <c r="AC143" s="14" t="s">
        <v>853</v>
      </c>
      <c r="AD143">
        <f t="shared" si="6"/>
        <v>28.952999999999999</v>
      </c>
    </row>
    <row r="144" spans="27:30" x14ac:dyDescent="0.25">
      <c r="AA144" s="268">
        <v>44406</v>
      </c>
      <c r="AB144" s="269">
        <v>7700.45</v>
      </c>
      <c r="AC144" s="14" t="s">
        <v>854</v>
      </c>
      <c r="AD144">
        <f t="shared" si="6"/>
        <v>22.783999999999999</v>
      </c>
    </row>
    <row r="145" spans="27:30" x14ac:dyDescent="0.25">
      <c r="AA145" s="268">
        <v>44407</v>
      </c>
      <c r="AB145" s="269">
        <v>7619.2</v>
      </c>
      <c r="AC145" s="14" t="s">
        <v>855</v>
      </c>
      <c r="AD145">
        <f t="shared" si="6"/>
        <v>24.510999999999999</v>
      </c>
    </row>
    <row r="146" spans="27:30" x14ac:dyDescent="0.25">
      <c r="AA146" s="268">
        <v>44410</v>
      </c>
      <c r="AB146" s="269">
        <v>7642.05</v>
      </c>
      <c r="AC146" s="14" t="s">
        <v>856</v>
      </c>
      <c r="AD146">
        <f t="shared" si="6"/>
        <v>20.245000000000001</v>
      </c>
    </row>
    <row r="147" spans="27:30" x14ac:dyDescent="0.25">
      <c r="AA147" s="268">
        <v>44411</v>
      </c>
      <c r="AB147" s="269">
        <v>7843.25</v>
      </c>
      <c r="AC147" s="14" t="s">
        <v>857</v>
      </c>
      <c r="AD147">
        <f t="shared" si="6"/>
        <v>38.521999999999998</v>
      </c>
    </row>
    <row r="148" spans="27:30" x14ac:dyDescent="0.25">
      <c r="AA148" s="268">
        <v>44412</v>
      </c>
      <c r="AB148" s="269">
        <v>7750</v>
      </c>
      <c r="AC148" s="14" t="s">
        <v>858</v>
      </c>
      <c r="AD148">
        <f t="shared" si="6"/>
        <v>25.801999999999996</v>
      </c>
    </row>
    <row r="149" spans="27:30" x14ac:dyDescent="0.25">
      <c r="AA149" s="268">
        <v>44413</v>
      </c>
      <c r="AB149" s="269">
        <v>7659</v>
      </c>
      <c r="AC149" s="14" t="s">
        <v>859</v>
      </c>
      <c r="AD149">
        <f t="shared" si="6"/>
        <v>17.366</v>
      </c>
    </row>
    <row r="150" spans="27:30" x14ac:dyDescent="0.25">
      <c r="AA150" s="268">
        <v>44414</v>
      </c>
      <c r="AB150" s="269">
        <v>7527.65</v>
      </c>
      <c r="AC150" s="14" t="s">
        <v>860</v>
      </c>
      <c r="AD150">
        <f t="shared" si="6"/>
        <v>25.007000000000001</v>
      </c>
    </row>
    <row r="151" spans="27:30" x14ac:dyDescent="0.25">
      <c r="AA151" s="268">
        <v>44417</v>
      </c>
      <c r="AB151" s="269">
        <v>7495.65</v>
      </c>
      <c r="AC151" s="14" t="s">
        <v>861</v>
      </c>
      <c r="AD151">
        <f t="shared" si="6"/>
        <v>23.693999999999999</v>
      </c>
    </row>
    <row r="152" spans="27:30" x14ac:dyDescent="0.25">
      <c r="AA152" s="268">
        <v>44418</v>
      </c>
      <c r="AB152" s="269">
        <v>7474.15</v>
      </c>
      <c r="AC152" s="14" t="s">
        <v>862</v>
      </c>
      <c r="AD152">
        <f t="shared" si="6"/>
        <v>16.459</v>
      </c>
    </row>
    <row r="153" spans="27:30" x14ac:dyDescent="0.25">
      <c r="AA153" s="268">
        <v>44419</v>
      </c>
      <c r="AB153" s="269">
        <v>7452.45</v>
      </c>
      <c r="AC153" s="14" t="s">
        <v>863</v>
      </c>
      <c r="AD153">
        <f t="shared" si="6"/>
        <v>12.933999999999999</v>
      </c>
    </row>
    <row r="154" spans="27:30" x14ac:dyDescent="0.25">
      <c r="AA154" s="268">
        <v>44420</v>
      </c>
      <c r="AB154" s="269">
        <v>7468.7</v>
      </c>
      <c r="AC154" s="14" t="s">
        <v>864</v>
      </c>
      <c r="AD154">
        <f t="shared" si="6"/>
        <v>20.605</v>
      </c>
    </row>
    <row r="155" spans="27:30" x14ac:dyDescent="0.25">
      <c r="AA155" s="268">
        <v>44421</v>
      </c>
      <c r="AB155" s="269">
        <v>7460.7</v>
      </c>
      <c r="AC155" s="14" t="s">
        <v>865</v>
      </c>
      <c r="AD155">
        <f t="shared" si="6"/>
        <v>20.751000000000001</v>
      </c>
    </row>
    <row r="156" spans="27:30" x14ac:dyDescent="0.25">
      <c r="AA156" s="268">
        <v>44424</v>
      </c>
      <c r="AB156" s="269">
        <v>7346.65</v>
      </c>
      <c r="AC156" s="14" t="s">
        <v>866</v>
      </c>
      <c r="AD156">
        <f t="shared" si="6"/>
        <v>19.196999999999999</v>
      </c>
    </row>
    <row r="157" spans="27:30" x14ac:dyDescent="0.25">
      <c r="AA157" s="268">
        <v>44425</v>
      </c>
      <c r="AB157" s="269">
        <v>7409.05</v>
      </c>
      <c r="AC157" s="14" t="s">
        <v>867</v>
      </c>
      <c r="AD157">
        <f t="shared" si="6"/>
        <v>20.399999999999999</v>
      </c>
    </row>
    <row r="158" spans="27:30" x14ac:dyDescent="0.25">
      <c r="AA158" s="268">
        <v>44426</v>
      </c>
      <c r="AB158" s="269">
        <v>7601.45</v>
      </c>
      <c r="AC158" s="14" t="s">
        <v>868</v>
      </c>
      <c r="AD158">
        <f t="shared" si="6"/>
        <v>72.498999999999995</v>
      </c>
    </row>
    <row r="159" spans="27:30" x14ac:dyDescent="0.25">
      <c r="AA159" s="268">
        <v>44428</v>
      </c>
      <c r="AB159" s="269">
        <v>7493.35</v>
      </c>
      <c r="AC159" s="14" t="s">
        <v>869</v>
      </c>
      <c r="AD159">
        <f t="shared" si="6"/>
        <v>35.874000000000002</v>
      </c>
    </row>
    <row r="160" spans="27:30" x14ac:dyDescent="0.25">
      <c r="AA160" s="268">
        <v>44431</v>
      </c>
      <c r="AB160" s="269">
        <v>7351</v>
      </c>
      <c r="AC160" s="14" t="s">
        <v>870</v>
      </c>
      <c r="AD160">
        <f t="shared" si="6"/>
        <v>31.021999999999998</v>
      </c>
    </row>
    <row r="161" spans="27:30" x14ac:dyDescent="0.25">
      <c r="AA161" s="268">
        <v>44432</v>
      </c>
      <c r="AB161" s="269">
        <v>7455.35</v>
      </c>
      <c r="AC161" s="14" t="s">
        <v>871</v>
      </c>
      <c r="AD161">
        <f t="shared" si="6"/>
        <v>17.445</v>
      </c>
    </row>
    <row r="162" spans="27:30" x14ac:dyDescent="0.25">
      <c r="AA162" s="268">
        <v>44433</v>
      </c>
      <c r="AB162" s="269">
        <v>7382.35</v>
      </c>
      <c r="AC162" s="14" t="s">
        <v>872</v>
      </c>
      <c r="AD162">
        <f t="shared" si="6"/>
        <v>14.615</v>
      </c>
    </row>
    <row r="163" spans="27:30" x14ac:dyDescent="0.25">
      <c r="AA163" s="268">
        <v>44434</v>
      </c>
      <c r="AB163" s="269">
        <v>7307.1</v>
      </c>
      <c r="AC163" s="14" t="s">
        <v>873</v>
      </c>
      <c r="AD163">
        <f t="shared" si="6"/>
        <v>18.324000000000002</v>
      </c>
    </row>
    <row r="164" spans="27:30" x14ac:dyDescent="0.25">
      <c r="AA164" s="268">
        <v>44435</v>
      </c>
      <c r="AB164" s="269">
        <v>7565.6</v>
      </c>
      <c r="AC164" s="14" t="s">
        <v>874</v>
      </c>
      <c r="AD164">
        <f t="shared" si="6"/>
        <v>49.737000000000002</v>
      </c>
    </row>
    <row r="165" spans="27:30" x14ac:dyDescent="0.25">
      <c r="AA165" s="268">
        <v>44438</v>
      </c>
      <c r="AB165" s="269">
        <v>7703.8</v>
      </c>
      <c r="AC165" s="14" t="s">
        <v>875</v>
      </c>
      <c r="AD165">
        <f t="shared" si="6"/>
        <v>31.995000000000001</v>
      </c>
    </row>
    <row r="166" spans="27:30" x14ac:dyDescent="0.25">
      <c r="AA166" s="268">
        <v>44439</v>
      </c>
      <c r="AB166" s="269">
        <v>7832.45</v>
      </c>
      <c r="AC166" s="14" t="s">
        <v>876</v>
      </c>
      <c r="AD166">
        <f t="shared" si="6"/>
        <v>47.597000000000001</v>
      </c>
    </row>
    <row r="167" spans="27:30" x14ac:dyDescent="0.25">
      <c r="AA167" s="268">
        <v>44440</v>
      </c>
      <c r="AB167" s="269">
        <v>7766.95</v>
      </c>
      <c r="AC167" s="14" t="s">
        <v>877</v>
      </c>
      <c r="AD167">
        <f t="shared" si="6"/>
        <v>35.281999999999996</v>
      </c>
    </row>
    <row r="168" spans="27:30" x14ac:dyDescent="0.25">
      <c r="AA168" s="268">
        <v>44441</v>
      </c>
      <c r="AB168" s="269">
        <v>7952.75</v>
      </c>
      <c r="AC168" s="14" t="s">
        <v>878</v>
      </c>
      <c r="AD168">
        <f t="shared" si="6"/>
        <v>39.305999999999997</v>
      </c>
    </row>
    <row r="169" spans="27:30" x14ac:dyDescent="0.25">
      <c r="AA169" s="268">
        <v>44442</v>
      </c>
      <c r="AB169" s="269">
        <v>7929.85</v>
      </c>
      <c r="AC169" s="14" t="s">
        <v>879</v>
      </c>
      <c r="AD169">
        <f t="shared" si="6"/>
        <v>19.844999999999999</v>
      </c>
    </row>
    <row r="170" spans="27:30" x14ac:dyDescent="0.25">
      <c r="AA170" s="268">
        <v>44445</v>
      </c>
      <c r="AB170" s="269">
        <v>7952.6</v>
      </c>
      <c r="AC170" s="14" t="s">
        <v>880</v>
      </c>
      <c r="AD170">
        <f t="shared" si="6"/>
        <v>21.263000000000002</v>
      </c>
    </row>
    <row r="171" spans="27:30" x14ac:dyDescent="0.25">
      <c r="AA171" s="268">
        <v>44446</v>
      </c>
      <c r="AB171" s="269">
        <v>8026.25</v>
      </c>
      <c r="AC171" s="14" t="s">
        <v>881</v>
      </c>
      <c r="AD171">
        <f t="shared" si="6"/>
        <v>24.068000000000001</v>
      </c>
    </row>
    <row r="172" spans="27:30" x14ac:dyDescent="0.25">
      <c r="AA172" s="268">
        <v>44447</v>
      </c>
      <c r="AB172" s="269">
        <v>7992.9</v>
      </c>
      <c r="AC172" s="14" t="s">
        <v>882</v>
      </c>
      <c r="AD172">
        <f t="shared" si="6"/>
        <v>19.806000000000001</v>
      </c>
    </row>
    <row r="173" spans="27:30" x14ac:dyDescent="0.25">
      <c r="AA173" s="268">
        <v>44448</v>
      </c>
      <c r="AB173" s="269">
        <v>7939.65</v>
      </c>
      <c r="AC173" s="14" t="s">
        <v>692</v>
      </c>
      <c r="AD173">
        <f t="shared" si="6"/>
        <v>15.968999999999999</v>
      </c>
    </row>
    <row r="174" spans="27:30" x14ac:dyDescent="0.25">
      <c r="AA174" s="268">
        <v>44452</v>
      </c>
      <c r="AB174" s="269">
        <v>7944.45</v>
      </c>
      <c r="AC174" s="14" t="s">
        <v>883</v>
      </c>
      <c r="AD174">
        <f t="shared" si="6"/>
        <v>18.706</v>
      </c>
    </row>
    <row r="175" spans="27:30" x14ac:dyDescent="0.25">
      <c r="AA175" s="268">
        <v>44453</v>
      </c>
      <c r="AB175" s="269">
        <v>7856.45</v>
      </c>
      <c r="AC175" s="14" t="s">
        <v>884</v>
      </c>
      <c r="AD175">
        <f t="shared" si="6"/>
        <v>16.841000000000001</v>
      </c>
    </row>
    <row r="176" spans="27:30" x14ac:dyDescent="0.25">
      <c r="AA176" s="268">
        <v>44454</v>
      </c>
      <c r="AB176" s="269">
        <v>7820.85</v>
      </c>
      <c r="AC176" s="14" t="s">
        <v>833</v>
      </c>
      <c r="AD176">
        <f t="shared" si="6"/>
        <v>23.501000000000001</v>
      </c>
    </row>
    <row r="177" spans="27:30" x14ac:dyDescent="0.25">
      <c r="AA177" s="268">
        <v>44455</v>
      </c>
      <c r="AB177" s="269">
        <v>7765.45</v>
      </c>
      <c r="AC177" s="14" t="s">
        <v>885</v>
      </c>
      <c r="AD177">
        <f t="shared" si="6"/>
        <v>21.608000000000001</v>
      </c>
    </row>
    <row r="178" spans="27:30" x14ac:dyDescent="0.25">
      <c r="AA178" s="268">
        <v>44456</v>
      </c>
      <c r="AB178" s="269">
        <v>7711.85</v>
      </c>
      <c r="AC178" s="14" t="s">
        <v>886</v>
      </c>
      <c r="AD178">
        <f t="shared" si="6"/>
        <v>50.320999999999998</v>
      </c>
    </row>
    <row r="179" spans="27:30" x14ac:dyDescent="0.25">
      <c r="AA179" s="268">
        <v>44459</v>
      </c>
      <c r="AB179" s="269">
        <v>7576</v>
      </c>
      <c r="AC179" s="14" t="s">
        <v>887</v>
      </c>
      <c r="AD179">
        <f t="shared" si="6"/>
        <v>29.108000000000001</v>
      </c>
    </row>
    <row r="180" spans="27:30" x14ac:dyDescent="0.25">
      <c r="AA180" s="268">
        <v>44460</v>
      </c>
      <c r="AB180" s="269">
        <v>7592.7</v>
      </c>
      <c r="AC180" s="14" t="s">
        <v>888</v>
      </c>
      <c r="AD180">
        <f t="shared" si="6"/>
        <v>21.492000000000001</v>
      </c>
    </row>
    <row r="181" spans="27:30" x14ac:dyDescent="0.25">
      <c r="AA181" s="268">
        <v>44461</v>
      </c>
      <c r="AB181" s="269">
        <v>7625.6</v>
      </c>
      <c r="AC181" s="14" t="s">
        <v>889</v>
      </c>
      <c r="AD181">
        <f t="shared" si="6"/>
        <v>20.606000000000002</v>
      </c>
    </row>
    <row r="182" spans="27:30" x14ac:dyDescent="0.25">
      <c r="AA182" s="268">
        <v>44462</v>
      </c>
      <c r="AB182" s="269">
        <v>7619.7</v>
      </c>
      <c r="AC182" s="14" t="s">
        <v>890</v>
      </c>
      <c r="AD182">
        <f t="shared" si="6"/>
        <v>20.199000000000002</v>
      </c>
    </row>
    <row r="183" spans="27:30" x14ac:dyDescent="0.25">
      <c r="AA183" s="268">
        <v>44463</v>
      </c>
      <c r="AB183" s="269">
        <v>7521.5</v>
      </c>
      <c r="AC183" s="14" t="s">
        <v>891</v>
      </c>
      <c r="AD183">
        <f t="shared" si="6"/>
        <v>34.125999999999998</v>
      </c>
    </row>
    <row r="184" spans="27:30" x14ac:dyDescent="0.25">
      <c r="AA184" s="268">
        <v>44466</v>
      </c>
      <c r="AB184" s="269">
        <v>7622.9</v>
      </c>
      <c r="AC184" s="14" t="s">
        <v>892</v>
      </c>
      <c r="AD184">
        <f t="shared" si="6"/>
        <v>26.151999999999997</v>
      </c>
    </row>
    <row r="185" spans="27:30" x14ac:dyDescent="0.25">
      <c r="AA185" s="268">
        <v>44467</v>
      </c>
      <c r="AB185" s="269">
        <v>7588.3</v>
      </c>
      <c r="AC185" s="14" t="s">
        <v>893</v>
      </c>
      <c r="AD185">
        <f t="shared" si="6"/>
        <v>40.302999999999997</v>
      </c>
    </row>
    <row r="186" spans="27:30" x14ac:dyDescent="0.25">
      <c r="AA186" s="268">
        <v>44468</v>
      </c>
      <c r="AB186" s="269">
        <v>7464.55</v>
      </c>
      <c r="AC186" s="14" t="s">
        <v>894</v>
      </c>
      <c r="AD186">
        <f t="shared" si="6"/>
        <v>49.063000000000002</v>
      </c>
    </row>
    <row r="187" spans="27:30" x14ac:dyDescent="0.25">
      <c r="AA187" s="268">
        <v>44469</v>
      </c>
      <c r="AB187" s="269">
        <v>7396.1</v>
      </c>
      <c r="AC187" s="14" t="s">
        <v>895</v>
      </c>
      <c r="AD187">
        <f t="shared" si="6"/>
        <v>42.29</v>
      </c>
    </row>
    <row r="188" spans="27:30" x14ac:dyDescent="0.25">
      <c r="AA188" s="268">
        <v>44470</v>
      </c>
      <c r="AB188" s="269">
        <v>7483.55</v>
      </c>
      <c r="AC188" s="14" t="s">
        <v>896</v>
      </c>
      <c r="AD188">
        <f t="shared" si="6"/>
        <v>36.665999999999997</v>
      </c>
    </row>
    <row r="189" spans="27:30" x14ac:dyDescent="0.25">
      <c r="AA189" s="268">
        <v>44473</v>
      </c>
      <c r="AB189" s="269">
        <v>7515.6</v>
      </c>
      <c r="AC189" s="14" t="s">
        <v>897</v>
      </c>
      <c r="AD189">
        <f t="shared" si="6"/>
        <v>33.979999999999997</v>
      </c>
    </row>
    <row r="190" spans="27:30" x14ac:dyDescent="0.25">
      <c r="AA190" s="268">
        <v>44474</v>
      </c>
      <c r="AB190" s="269">
        <v>7464</v>
      </c>
      <c r="AC190" s="14" t="s">
        <v>898</v>
      </c>
      <c r="AD190">
        <f t="shared" si="6"/>
        <v>22.931000000000001</v>
      </c>
    </row>
    <row r="191" spans="27:30" x14ac:dyDescent="0.25">
      <c r="AA191" s="268">
        <v>44475</v>
      </c>
      <c r="AB191" s="269">
        <v>7363</v>
      </c>
      <c r="AC191" s="14" t="s">
        <v>899</v>
      </c>
      <c r="AD191">
        <f t="shared" si="6"/>
        <v>27.981000000000002</v>
      </c>
    </row>
    <row r="192" spans="27:30" x14ac:dyDescent="0.25">
      <c r="AA192" s="268">
        <v>44476</v>
      </c>
      <c r="AB192" s="269">
        <v>7354.6</v>
      </c>
      <c r="AC192" s="14" t="s">
        <v>900</v>
      </c>
      <c r="AD192">
        <f t="shared" si="6"/>
        <v>58.311</v>
      </c>
    </row>
    <row r="193" spans="27:30" x14ac:dyDescent="0.25">
      <c r="AA193" s="268">
        <v>44477</v>
      </c>
      <c r="AB193" s="269">
        <v>7335.75</v>
      </c>
      <c r="AC193" s="14" t="s">
        <v>901</v>
      </c>
      <c r="AD193">
        <f t="shared" si="6"/>
        <v>23.431999999999999</v>
      </c>
    </row>
    <row r="194" spans="27:30" x14ac:dyDescent="0.25">
      <c r="AA194" s="268">
        <v>44480</v>
      </c>
      <c r="AB194" s="269">
        <v>7330.25</v>
      </c>
      <c r="AC194" s="14" t="s">
        <v>902</v>
      </c>
      <c r="AD194">
        <f t="shared" si="6"/>
        <v>34.604999999999997</v>
      </c>
    </row>
    <row r="195" spans="27:30" x14ac:dyDescent="0.25">
      <c r="AA195" s="268">
        <v>44481</v>
      </c>
      <c r="AB195" s="269">
        <v>7250.15</v>
      </c>
      <c r="AC195" s="14" t="s">
        <v>903</v>
      </c>
      <c r="AD195">
        <f t="shared" si="6"/>
        <v>40.741</v>
      </c>
    </row>
    <row r="196" spans="27:30" x14ac:dyDescent="0.25">
      <c r="AA196" s="268">
        <v>44482</v>
      </c>
      <c r="AB196" s="269">
        <v>7350.4</v>
      </c>
      <c r="AC196" s="14" t="s">
        <v>904</v>
      </c>
      <c r="AD196">
        <f t="shared" ref="AD196:AD259" si="7">(IF(RIGHT(AC196,1)="K",
    VALUE(LEFT(AC196,LEN(AC196)-1))*1000,
    IF(RIGHT(AC196,1)="M",
       VALUE(LEFT(AC196,LEN(AC196)-1))*1000000,
       VALUE(AC196)
    )
))/10000</f>
        <v>34.792000000000002</v>
      </c>
    </row>
    <row r="197" spans="27:30" x14ac:dyDescent="0.25">
      <c r="AA197" s="268">
        <v>44483</v>
      </c>
      <c r="AB197" s="269">
        <v>7395.5</v>
      </c>
      <c r="AC197" s="14" t="s">
        <v>905</v>
      </c>
      <c r="AD197">
        <f t="shared" si="7"/>
        <v>59.981999999999999</v>
      </c>
    </row>
    <row r="198" spans="27:30" x14ac:dyDescent="0.25">
      <c r="AA198" s="268">
        <v>44487</v>
      </c>
      <c r="AB198" s="269">
        <v>7399.3</v>
      </c>
      <c r="AC198" s="14" t="s">
        <v>906</v>
      </c>
      <c r="AD198">
        <f t="shared" si="7"/>
        <v>141</v>
      </c>
    </row>
    <row r="199" spans="27:30" x14ac:dyDescent="0.25">
      <c r="AA199" s="268">
        <v>44488</v>
      </c>
      <c r="AB199" s="269">
        <v>7170.1</v>
      </c>
      <c r="AC199" s="14" t="s">
        <v>907</v>
      </c>
      <c r="AD199">
        <f t="shared" si="7"/>
        <v>86.838999999999999</v>
      </c>
    </row>
    <row r="200" spans="27:30" x14ac:dyDescent="0.25">
      <c r="AA200" s="268">
        <v>44489</v>
      </c>
      <c r="AB200" s="269">
        <v>7129.6</v>
      </c>
      <c r="AC200" s="14" t="s">
        <v>908</v>
      </c>
      <c r="AD200">
        <f t="shared" si="7"/>
        <v>70.39</v>
      </c>
    </row>
    <row r="201" spans="27:30" x14ac:dyDescent="0.25">
      <c r="AA201" s="268">
        <v>44490</v>
      </c>
      <c r="AB201" s="269">
        <v>7129</v>
      </c>
      <c r="AC201" s="14" t="s">
        <v>909</v>
      </c>
      <c r="AD201">
        <f t="shared" si="7"/>
        <v>31.824999999999999</v>
      </c>
    </row>
    <row r="202" spans="27:30" x14ac:dyDescent="0.25">
      <c r="AA202" s="268">
        <v>44491</v>
      </c>
      <c r="AB202" s="269">
        <v>7149.6</v>
      </c>
      <c r="AC202" s="14" t="s">
        <v>910</v>
      </c>
      <c r="AD202">
        <f t="shared" si="7"/>
        <v>33.082000000000001</v>
      </c>
    </row>
    <row r="203" spans="27:30" x14ac:dyDescent="0.25">
      <c r="AA203" s="268">
        <v>44494</v>
      </c>
      <c r="AB203" s="269">
        <v>7149.8</v>
      </c>
      <c r="AC203" s="14" t="s">
        <v>911</v>
      </c>
      <c r="AD203">
        <f t="shared" si="7"/>
        <v>24.54</v>
      </c>
    </row>
    <row r="204" spans="27:30" x14ac:dyDescent="0.25">
      <c r="AA204" s="268">
        <v>44495</v>
      </c>
      <c r="AB204" s="269">
        <v>7269.1</v>
      </c>
      <c r="AC204" s="14" t="s">
        <v>912</v>
      </c>
      <c r="AD204">
        <f t="shared" si="7"/>
        <v>37.289000000000001</v>
      </c>
    </row>
    <row r="205" spans="27:30" x14ac:dyDescent="0.25">
      <c r="AA205" s="268">
        <v>44496</v>
      </c>
      <c r="AB205" s="269">
        <v>7354.2</v>
      </c>
      <c r="AC205" s="14" t="s">
        <v>913</v>
      </c>
      <c r="AD205">
        <f t="shared" si="7"/>
        <v>36.466000000000001</v>
      </c>
    </row>
    <row r="206" spans="27:30" x14ac:dyDescent="0.25">
      <c r="AA206" s="268">
        <v>44497</v>
      </c>
      <c r="AB206" s="269">
        <v>7446.65</v>
      </c>
      <c r="AC206" s="14" t="s">
        <v>914</v>
      </c>
      <c r="AD206">
        <f t="shared" si="7"/>
        <v>55.69</v>
      </c>
    </row>
    <row r="207" spans="27:30" x14ac:dyDescent="0.25">
      <c r="AA207" s="268">
        <v>44498</v>
      </c>
      <c r="AB207" s="269">
        <v>7636.05</v>
      </c>
      <c r="AC207" s="14" t="s">
        <v>915</v>
      </c>
      <c r="AD207">
        <f t="shared" si="7"/>
        <v>65.927999999999997</v>
      </c>
    </row>
    <row r="208" spans="27:30" x14ac:dyDescent="0.25">
      <c r="AA208" s="268">
        <v>44501</v>
      </c>
      <c r="AB208" s="269">
        <v>7775.1</v>
      </c>
      <c r="AC208" s="14" t="s">
        <v>916</v>
      </c>
      <c r="AD208">
        <f t="shared" si="7"/>
        <v>46.966000000000001</v>
      </c>
    </row>
    <row r="209" spans="27:30" x14ac:dyDescent="0.25">
      <c r="AA209" s="268">
        <v>44502</v>
      </c>
      <c r="AB209" s="269">
        <v>7713.35</v>
      </c>
      <c r="AC209" s="14" t="s">
        <v>917</v>
      </c>
      <c r="AD209">
        <f t="shared" si="7"/>
        <v>17.765999999999998</v>
      </c>
    </row>
    <row r="210" spans="27:30" x14ac:dyDescent="0.25">
      <c r="AA210" s="268">
        <v>44503</v>
      </c>
      <c r="AB210" s="269">
        <v>7887.85</v>
      </c>
      <c r="AC210" s="14" t="s">
        <v>918</v>
      </c>
      <c r="AD210">
        <f t="shared" si="7"/>
        <v>38.845999999999997</v>
      </c>
    </row>
    <row r="211" spans="27:30" x14ac:dyDescent="0.25">
      <c r="AA211" s="268">
        <v>44504</v>
      </c>
      <c r="AB211" s="269">
        <v>7880.8</v>
      </c>
      <c r="AC211" s="14" t="s">
        <v>919</v>
      </c>
      <c r="AD211">
        <f t="shared" si="7"/>
        <v>3.2610000000000001</v>
      </c>
    </row>
    <row r="212" spans="27:30" x14ac:dyDescent="0.25">
      <c r="AA212" s="268">
        <v>44508</v>
      </c>
      <c r="AB212" s="269">
        <v>8214.0499999999993</v>
      </c>
      <c r="AC212" s="14" t="s">
        <v>920</v>
      </c>
      <c r="AD212">
        <f t="shared" si="7"/>
        <v>82.52</v>
      </c>
    </row>
    <row r="213" spans="27:30" x14ac:dyDescent="0.25">
      <c r="AA213" s="268">
        <v>44509</v>
      </c>
      <c r="AB213" s="269">
        <v>8166</v>
      </c>
      <c r="AC213" s="14" t="s">
        <v>921</v>
      </c>
      <c r="AD213">
        <f t="shared" si="7"/>
        <v>25.306000000000001</v>
      </c>
    </row>
    <row r="214" spans="27:30" x14ac:dyDescent="0.25">
      <c r="AA214" s="268">
        <v>44510</v>
      </c>
      <c r="AB214" s="269">
        <v>8106.8</v>
      </c>
      <c r="AC214" s="14" t="s">
        <v>922</v>
      </c>
      <c r="AD214">
        <f t="shared" si="7"/>
        <v>20.914999999999999</v>
      </c>
    </row>
    <row r="215" spans="27:30" x14ac:dyDescent="0.25">
      <c r="AA215" s="268">
        <v>44511</v>
      </c>
      <c r="AB215" s="269">
        <v>8050.65</v>
      </c>
      <c r="AC215" s="14" t="s">
        <v>923</v>
      </c>
      <c r="AD215">
        <f t="shared" si="7"/>
        <v>12.581</v>
      </c>
    </row>
    <row r="216" spans="27:30" x14ac:dyDescent="0.25">
      <c r="AA216" s="268">
        <v>44512</v>
      </c>
      <c r="AB216" s="269">
        <v>8080.75</v>
      </c>
      <c r="AC216" s="14" t="s">
        <v>924</v>
      </c>
      <c r="AD216">
        <f t="shared" si="7"/>
        <v>18.050999999999998</v>
      </c>
    </row>
    <row r="217" spans="27:30" x14ac:dyDescent="0.25">
      <c r="AA217" s="268">
        <v>44515</v>
      </c>
      <c r="AB217" s="269">
        <v>8050.8</v>
      </c>
      <c r="AC217" s="14" t="s">
        <v>925</v>
      </c>
      <c r="AD217">
        <f t="shared" si="7"/>
        <v>11.907</v>
      </c>
    </row>
    <row r="218" spans="27:30" x14ac:dyDescent="0.25">
      <c r="AA218" s="268">
        <v>44516</v>
      </c>
      <c r="AB218" s="269">
        <v>7882.4</v>
      </c>
      <c r="AC218" s="14" t="s">
        <v>926</v>
      </c>
      <c r="AD218">
        <f t="shared" si="7"/>
        <v>27.797999999999998</v>
      </c>
    </row>
    <row r="219" spans="27:30" x14ac:dyDescent="0.25">
      <c r="AA219" s="268">
        <v>44517</v>
      </c>
      <c r="AB219" s="269">
        <v>7857.7</v>
      </c>
      <c r="AC219" s="14" t="s">
        <v>927</v>
      </c>
      <c r="AD219">
        <f t="shared" si="7"/>
        <v>18.361999999999998</v>
      </c>
    </row>
    <row r="220" spans="27:30" x14ac:dyDescent="0.25">
      <c r="AA220" s="268">
        <v>44518</v>
      </c>
      <c r="AB220" s="269">
        <v>7767.7</v>
      </c>
      <c r="AC220" s="14" t="s">
        <v>928</v>
      </c>
      <c r="AD220">
        <f t="shared" si="7"/>
        <v>19.681000000000001</v>
      </c>
    </row>
    <row r="221" spans="27:30" x14ac:dyDescent="0.25">
      <c r="AA221" s="268">
        <v>44522</v>
      </c>
      <c r="AB221" s="269">
        <v>7653.8</v>
      </c>
      <c r="AC221" s="14" t="s">
        <v>929</v>
      </c>
      <c r="AD221">
        <f t="shared" si="7"/>
        <v>38.363</v>
      </c>
    </row>
    <row r="222" spans="27:30" x14ac:dyDescent="0.25">
      <c r="AA222" s="268">
        <v>44523</v>
      </c>
      <c r="AB222" s="269">
        <v>7657.95</v>
      </c>
      <c r="AC222" s="14" t="s">
        <v>930</v>
      </c>
      <c r="AD222">
        <f t="shared" si="7"/>
        <v>47.537999999999997</v>
      </c>
    </row>
    <row r="223" spans="27:30" x14ac:dyDescent="0.25">
      <c r="AA223" s="268">
        <v>44524</v>
      </c>
      <c r="AB223" s="269">
        <v>7577.3</v>
      </c>
      <c r="AC223" s="14" t="s">
        <v>931</v>
      </c>
      <c r="AD223">
        <f t="shared" si="7"/>
        <v>29.277000000000001</v>
      </c>
    </row>
    <row r="224" spans="27:30" x14ac:dyDescent="0.25">
      <c r="AA224" s="268">
        <v>44525</v>
      </c>
      <c r="AB224" s="269">
        <v>7608.8</v>
      </c>
      <c r="AC224" s="14" t="s">
        <v>932</v>
      </c>
      <c r="AD224">
        <f t="shared" si="7"/>
        <v>17.399000000000001</v>
      </c>
    </row>
    <row r="225" spans="27:30" x14ac:dyDescent="0.25">
      <c r="AA225" s="268">
        <v>44526</v>
      </c>
      <c r="AB225" s="269">
        <v>7394.75</v>
      </c>
      <c r="AC225" s="14" t="s">
        <v>933</v>
      </c>
      <c r="AD225">
        <f t="shared" si="7"/>
        <v>26.581</v>
      </c>
    </row>
    <row r="226" spans="27:30" x14ac:dyDescent="0.25">
      <c r="AA226" s="268">
        <v>44529</v>
      </c>
      <c r="AB226" s="269">
        <v>7388.25</v>
      </c>
      <c r="AC226" s="14" t="s">
        <v>934</v>
      </c>
      <c r="AD226">
        <f t="shared" si="7"/>
        <v>38.241</v>
      </c>
    </row>
    <row r="227" spans="27:30" x14ac:dyDescent="0.25">
      <c r="AA227" s="268">
        <v>44530</v>
      </c>
      <c r="AB227" s="269">
        <v>7433.75</v>
      </c>
      <c r="AC227" s="14" t="s">
        <v>935</v>
      </c>
      <c r="AD227">
        <f t="shared" si="7"/>
        <v>54.765999999999998</v>
      </c>
    </row>
    <row r="228" spans="27:30" x14ac:dyDescent="0.25">
      <c r="AA228" s="268">
        <v>44531</v>
      </c>
      <c r="AB228" s="269">
        <v>7322.6</v>
      </c>
      <c r="AC228" s="14" t="s">
        <v>936</v>
      </c>
      <c r="AD228">
        <f t="shared" si="7"/>
        <v>50.975000000000001</v>
      </c>
    </row>
    <row r="229" spans="27:30" x14ac:dyDescent="0.25">
      <c r="AA229" s="268">
        <v>44532</v>
      </c>
      <c r="AB229" s="269">
        <v>7323.2</v>
      </c>
      <c r="AC229" s="14" t="s">
        <v>937</v>
      </c>
      <c r="AD229">
        <f t="shared" si="7"/>
        <v>23.969000000000001</v>
      </c>
    </row>
    <row r="230" spans="27:30" x14ac:dyDescent="0.25">
      <c r="AA230" s="268">
        <v>44533</v>
      </c>
      <c r="AB230" s="269">
        <v>7332.45</v>
      </c>
      <c r="AC230" s="14" t="s">
        <v>938</v>
      </c>
      <c r="AD230">
        <f t="shared" si="7"/>
        <v>40.143000000000001</v>
      </c>
    </row>
    <row r="231" spans="27:30" x14ac:dyDescent="0.25">
      <c r="AA231" s="268">
        <v>44536</v>
      </c>
      <c r="AB231" s="269">
        <v>7214.6</v>
      </c>
      <c r="AC231" s="14" t="s">
        <v>939</v>
      </c>
      <c r="AD231">
        <f t="shared" si="7"/>
        <v>17.385000000000002</v>
      </c>
    </row>
    <row r="232" spans="27:30" x14ac:dyDescent="0.25">
      <c r="AA232" s="268">
        <v>44537</v>
      </c>
      <c r="AB232" s="269">
        <v>7299.4</v>
      </c>
      <c r="AC232" s="14" t="s">
        <v>940</v>
      </c>
      <c r="AD232">
        <f t="shared" si="7"/>
        <v>16.265000000000001</v>
      </c>
    </row>
    <row r="233" spans="27:30" x14ac:dyDescent="0.25">
      <c r="AA233" s="268">
        <v>44538</v>
      </c>
      <c r="AB233" s="269">
        <v>7423.95</v>
      </c>
      <c r="AC233" s="14" t="s">
        <v>941</v>
      </c>
      <c r="AD233">
        <f t="shared" si="7"/>
        <v>20.959</v>
      </c>
    </row>
    <row r="234" spans="27:30" x14ac:dyDescent="0.25">
      <c r="AA234" s="268">
        <v>44539</v>
      </c>
      <c r="AB234" s="269">
        <v>7433.85</v>
      </c>
      <c r="AC234" s="14" t="s">
        <v>942</v>
      </c>
      <c r="AD234">
        <f t="shared" si="7"/>
        <v>19.858000000000001</v>
      </c>
    </row>
    <row r="235" spans="27:30" x14ac:dyDescent="0.25">
      <c r="AA235" s="268">
        <v>44540</v>
      </c>
      <c r="AB235" s="269">
        <v>7440.45</v>
      </c>
      <c r="AC235" s="14" t="s">
        <v>943</v>
      </c>
      <c r="AD235">
        <f t="shared" si="7"/>
        <v>14.473000000000001</v>
      </c>
    </row>
    <row r="236" spans="27:30" x14ac:dyDescent="0.25">
      <c r="AA236" s="268">
        <v>44543</v>
      </c>
      <c r="AB236" s="269">
        <v>7414.45</v>
      </c>
      <c r="AC236" s="14" t="s">
        <v>944</v>
      </c>
      <c r="AD236">
        <f t="shared" si="7"/>
        <v>22.007999999999999</v>
      </c>
    </row>
    <row r="237" spans="27:30" x14ac:dyDescent="0.25">
      <c r="AA237" s="268">
        <v>44544</v>
      </c>
      <c r="AB237" s="269">
        <v>7386.4</v>
      </c>
      <c r="AC237" s="14" t="s">
        <v>945</v>
      </c>
      <c r="AD237">
        <f t="shared" si="7"/>
        <v>21.052</v>
      </c>
    </row>
    <row r="238" spans="27:30" x14ac:dyDescent="0.25">
      <c r="AA238" s="268">
        <v>44545</v>
      </c>
      <c r="AB238" s="269">
        <v>7371.35</v>
      </c>
      <c r="AC238" s="14" t="s">
        <v>946</v>
      </c>
      <c r="AD238">
        <f t="shared" si="7"/>
        <v>11.305</v>
      </c>
    </row>
    <row r="239" spans="27:30" x14ac:dyDescent="0.25">
      <c r="AA239" s="268">
        <v>44546</v>
      </c>
      <c r="AB239" s="269">
        <v>7413.75</v>
      </c>
      <c r="AC239" s="14" t="s">
        <v>947</v>
      </c>
      <c r="AD239">
        <f t="shared" si="7"/>
        <v>14.058999999999999</v>
      </c>
    </row>
    <row r="240" spans="27:30" x14ac:dyDescent="0.25">
      <c r="AA240" s="268">
        <v>44547</v>
      </c>
      <c r="AB240" s="269">
        <v>7337.35</v>
      </c>
      <c r="AC240" s="14" t="s">
        <v>948</v>
      </c>
      <c r="AD240">
        <f t="shared" si="7"/>
        <v>27.960999999999999</v>
      </c>
    </row>
    <row r="241" spans="27:30" x14ac:dyDescent="0.25">
      <c r="AA241" s="268">
        <v>44550</v>
      </c>
      <c r="AB241" s="269">
        <v>7160.85</v>
      </c>
      <c r="AC241" s="14" t="s">
        <v>949</v>
      </c>
      <c r="AD241">
        <f t="shared" si="7"/>
        <v>28.581</v>
      </c>
    </row>
    <row r="242" spans="27:30" x14ac:dyDescent="0.25">
      <c r="AA242" s="268">
        <v>44551</v>
      </c>
      <c r="AB242" s="269">
        <v>7327.35</v>
      </c>
      <c r="AC242" s="14" t="s">
        <v>950</v>
      </c>
      <c r="AD242">
        <f t="shared" si="7"/>
        <v>24.11</v>
      </c>
    </row>
    <row r="243" spans="27:30" x14ac:dyDescent="0.25">
      <c r="AA243" s="268">
        <v>44552</v>
      </c>
      <c r="AB243" s="269">
        <v>7377.25</v>
      </c>
      <c r="AC243" s="14" t="s">
        <v>951</v>
      </c>
      <c r="AD243">
        <f t="shared" si="7"/>
        <v>15.897</v>
      </c>
    </row>
    <row r="244" spans="27:30" x14ac:dyDescent="0.25">
      <c r="AA244" s="268">
        <v>44553</v>
      </c>
      <c r="AB244" s="269">
        <v>7340.6</v>
      </c>
      <c r="AC244" s="14" t="s">
        <v>952</v>
      </c>
      <c r="AD244">
        <f t="shared" si="7"/>
        <v>21.015000000000001</v>
      </c>
    </row>
    <row r="245" spans="27:30" x14ac:dyDescent="0.25">
      <c r="AA245" s="268">
        <v>44554</v>
      </c>
      <c r="AB245" s="269">
        <v>7224.8</v>
      </c>
      <c r="AC245" s="14" t="s">
        <v>953</v>
      </c>
      <c r="AD245">
        <f t="shared" si="7"/>
        <v>27.033999999999999</v>
      </c>
    </row>
    <row r="246" spans="27:30" x14ac:dyDescent="0.25">
      <c r="AA246" s="268">
        <v>44557</v>
      </c>
      <c r="AB246" s="269">
        <v>7245.05</v>
      </c>
      <c r="AC246" s="14" t="s">
        <v>954</v>
      </c>
      <c r="AD246">
        <f t="shared" si="7"/>
        <v>14.292999999999999</v>
      </c>
    </row>
    <row r="247" spans="27:30" x14ac:dyDescent="0.25">
      <c r="AA247" s="268">
        <v>44558</v>
      </c>
      <c r="AB247" s="269">
        <v>7406.1</v>
      </c>
      <c r="AC247" s="14" t="s">
        <v>955</v>
      </c>
      <c r="AD247">
        <f t="shared" si="7"/>
        <v>18.59</v>
      </c>
    </row>
    <row r="248" spans="27:30" x14ac:dyDescent="0.25">
      <c r="AA248" s="268">
        <v>44559</v>
      </c>
      <c r="AB248" s="269">
        <v>7420.95</v>
      </c>
      <c r="AC248" s="14" t="s">
        <v>956</v>
      </c>
      <c r="AD248">
        <f t="shared" si="7"/>
        <v>21.99</v>
      </c>
    </row>
    <row r="249" spans="27:30" x14ac:dyDescent="0.25">
      <c r="AA249" s="268">
        <v>44560</v>
      </c>
      <c r="AB249" s="269">
        <v>7397.2</v>
      </c>
      <c r="AC249" s="14" t="s">
        <v>957</v>
      </c>
      <c r="AD249">
        <f t="shared" si="7"/>
        <v>24.370999999999999</v>
      </c>
    </row>
    <row r="250" spans="27:30" x14ac:dyDescent="0.25">
      <c r="AA250" s="268">
        <v>44561</v>
      </c>
      <c r="AB250" s="269">
        <v>7591.05</v>
      </c>
      <c r="AC250" s="14" t="s">
        <v>958</v>
      </c>
      <c r="AD250">
        <f t="shared" si="7"/>
        <v>25.837</v>
      </c>
    </row>
    <row r="251" spans="27:30" x14ac:dyDescent="0.25">
      <c r="AA251" s="268">
        <v>44564</v>
      </c>
      <c r="AB251" s="269">
        <v>7723.9</v>
      </c>
      <c r="AC251" s="14" t="s">
        <v>959</v>
      </c>
      <c r="AD251">
        <f t="shared" si="7"/>
        <v>25.053000000000001</v>
      </c>
    </row>
    <row r="252" spans="27:30" x14ac:dyDescent="0.25">
      <c r="AA252" s="268">
        <v>44565</v>
      </c>
      <c r="AB252" s="269">
        <v>7650.35</v>
      </c>
      <c r="AC252" s="14" t="s">
        <v>960</v>
      </c>
      <c r="AD252">
        <f t="shared" si="7"/>
        <v>31.518999999999998</v>
      </c>
    </row>
    <row r="253" spans="27:30" x14ac:dyDescent="0.25">
      <c r="AA253" s="268">
        <v>44566</v>
      </c>
      <c r="AB253" s="269">
        <v>7659.55</v>
      </c>
      <c r="AC253" s="14" t="s">
        <v>961</v>
      </c>
      <c r="AD253">
        <f t="shared" si="7"/>
        <v>40.087000000000003</v>
      </c>
    </row>
    <row r="254" spans="27:30" x14ac:dyDescent="0.25">
      <c r="AA254" s="268">
        <v>44567</v>
      </c>
      <c r="AB254" s="269">
        <v>7458.55</v>
      </c>
      <c r="AC254" s="14" t="s">
        <v>962</v>
      </c>
      <c r="AD254">
        <f t="shared" si="7"/>
        <v>40.344999999999999</v>
      </c>
    </row>
    <row r="255" spans="27:30" x14ac:dyDescent="0.25">
      <c r="AA255" s="268">
        <v>44568</v>
      </c>
      <c r="AB255" s="269">
        <v>7557.95</v>
      </c>
      <c r="AC255" s="14" t="s">
        <v>963</v>
      </c>
      <c r="AD255">
        <f t="shared" si="7"/>
        <v>54.350999999999999</v>
      </c>
    </row>
    <row r="256" spans="27:30" x14ac:dyDescent="0.25">
      <c r="AA256" s="268">
        <v>44571</v>
      </c>
      <c r="AB256" s="269">
        <v>7585.15</v>
      </c>
      <c r="AC256" s="14" t="s">
        <v>964</v>
      </c>
      <c r="AD256">
        <f t="shared" si="7"/>
        <v>21.312999999999999</v>
      </c>
    </row>
    <row r="257" spans="27:30" x14ac:dyDescent="0.25">
      <c r="AA257" s="268">
        <v>44572</v>
      </c>
      <c r="AB257" s="269">
        <v>7606.3</v>
      </c>
      <c r="AC257" s="14" t="s">
        <v>965</v>
      </c>
      <c r="AD257">
        <f t="shared" si="7"/>
        <v>23.43</v>
      </c>
    </row>
    <row r="258" spans="27:30" x14ac:dyDescent="0.25">
      <c r="AA258" s="268">
        <v>44573</v>
      </c>
      <c r="AB258" s="269">
        <v>7658.7</v>
      </c>
      <c r="AC258" s="14" t="s">
        <v>966</v>
      </c>
      <c r="AD258">
        <f t="shared" si="7"/>
        <v>29.738</v>
      </c>
    </row>
    <row r="259" spans="27:30" x14ac:dyDescent="0.25">
      <c r="AA259" s="268">
        <v>44574</v>
      </c>
      <c r="AB259" s="269">
        <v>7606.8</v>
      </c>
      <c r="AC259" s="14" t="s">
        <v>967</v>
      </c>
      <c r="AD259">
        <f t="shared" si="7"/>
        <v>27.489000000000001</v>
      </c>
    </row>
    <row r="260" spans="27:30" x14ac:dyDescent="0.25">
      <c r="AA260" s="268">
        <v>44575</v>
      </c>
      <c r="AB260" s="269">
        <v>7660.55</v>
      </c>
      <c r="AC260" s="14" t="s">
        <v>968</v>
      </c>
      <c r="AD260">
        <f t="shared" ref="AD260:AD323" si="8">(IF(RIGHT(AC260,1)="K",
    VALUE(LEFT(AC260,LEN(AC260)-1))*1000,
    IF(RIGHT(AC260,1)="M",
       VALUE(LEFT(AC260,LEN(AC260)-1))*1000000,
       VALUE(AC260)
    )
))/10000</f>
        <v>25.024999999999999</v>
      </c>
    </row>
    <row r="261" spans="27:30" x14ac:dyDescent="0.25">
      <c r="AA261" s="268">
        <v>44578</v>
      </c>
      <c r="AB261" s="269">
        <v>7870.1</v>
      </c>
      <c r="AC261" s="14" t="s">
        <v>969</v>
      </c>
      <c r="AD261">
        <f t="shared" si="8"/>
        <v>122</v>
      </c>
    </row>
    <row r="262" spans="27:30" x14ac:dyDescent="0.25">
      <c r="AA262" s="268">
        <v>44579</v>
      </c>
      <c r="AB262" s="269">
        <v>7555.9</v>
      </c>
      <c r="AC262" s="14" t="s">
        <v>970</v>
      </c>
      <c r="AD262">
        <f t="shared" si="8"/>
        <v>56.518000000000001</v>
      </c>
    </row>
    <row r="263" spans="27:30" x14ac:dyDescent="0.25">
      <c r="AA263" s="268">
        <v>44580</v>
      </c>
      <c r="AB263" s="269">
        <v>7434.4</v>
      </c>
      <c r="AC263" s="14" t="s">
        <v>971</v>
      </c>
      <c r="AD263">
        <f t="shared" si="8"/>
        <v>43.930999999999997</v>
      </c>
    </row>
    <row r="264" spans="27:30" x14ac:dyDescent="0.25">
      <c r="AA264" s="268">
        <v>44581</v>
      </c>
      <c r="AB264" s="269">
        <v>7465.5</v>
      </c>
      <c r="AC264" s="14" t="s">
        <v>972</v>
      </c>
      <c r="AD264">
        <f t="shared" si="8"/>
        <v>24.948</v>
      </c>
    </row>
    <row r="265" spans="27:30" x14ac:dyDescent="0.25">
      <c r="AA265" s="268">
        <v>44582</v>
      </c>
      <c r="AB265" s="269">
        <v>7357.65</v>
      </c>
      <c r="AC265" s="14" t="s">
        <v>973</v>
      </c>
      <c r="AD265">
        <f t="shared" si="8"/>
        <v>20.785</v>
      </c>
    </row>
    <row r="266" spans="27:30" x14ac:dyDescent="0.25">
      <c r="AA266" s="268">
        <v>44585</v>
      </c>
      <c r="AB266" s="269">
        <v>7156</v>
      </c>
      <c r="AC266" s="14" t="s">
        <v>974</v>
      </c>
      <c r="AD266">
        <f t="shared" si="8"/>
        <v>31.93</v>
      </c>
    </row>
    <row r="267" spans="27:30" x14ac:dyDescent="0.25">
      <c r="AA267" s="268">
        <v>44586</v>
      </c>
      <c r="AB267" s="269">
        <v>7098.35</v>
      </c>
      <c r="AC267" s="14" t="s">
        <v>975</v>
      </c>
      <c r="AD267">
        <f t="shared" si="8"/>
        <v>46.707999999999998</v>
      </c>
    </row>
    <row r="268" spans="27:30" x14ac:dyDescent="0.25">
      <c r="AA268" s="268">
        <v>44588</v>
      </c>
      <c r="AB268" s="269">
        <v>7100.7</v>
      </c>
      <c r="AC268" s="14" t="s">
        <v>976</v>
      </c>
      <c r="AD268">
        <f t="shared" si="8"/>
        <v>41.802999999999997</v>
      </c>
    </row>
    <row r="269" spans="27:30" x14ac:dyDescent="0.25">
      <c r="AA269" s="268">
        <v>44589</v>
      </c>
      <c r="AB269" s="269">
        <v>7109.85</v>
      </c>
      <c r="AC269" s="14" t="s">
        <v>977</v>
      </c>
      <c r="AD269">
        <f t="shared" si="8"/>
        <v>51.161000000000001</v>
      </c>
    </row>
    <row r="270" spans="27:30" x14ac:dyDescent="0.25">
      <c r="AA270" s="268">
        <v>44592</v>
      </c>
      <c r="AB270" s="269">
        <v>7216.4</v>
      </c>
      <c r="AC270" s="14" t="s">
        <v>978</v>
      </c>
      <c r="AD270">
        <f t="shared" si="8"/>
        <v>25.041</v>
      </c>
    </row>
    <row r="271" spans="27:30" x14ac:dyDescent="0.25">
      <c r="AA271" s="268">
        <v>44593</v>
      </c>
      <c r="AB271" s="269">
        <v>7516.25</v>
      </c>
      <c r="AC271" s="14" t="s">
        <v>979</v>
      </c>
      <c r="AD271">
        <f t="shared" si="8"/>
        <v>73.135000000000005</v>
      </c>
    </row>
    <row r="272" spans="27:30" x14ac:dyDescent="0.25">
      <c r="AA272" s="268">
        <v>44594</v>
      </c>
      <c r="AB272" s="269">
        <v>7441</v>
      </c>
      <c r="AC272" s="14" t="s">
        <v>980</v>
      </c>
      <c r="AD272">
        <f t="shared" si="8"/>
        <v>32.463000000000001</v>
      </c>
    </row>
    <row r="273" spans="27:30" x14ac:dyDescent="0.25">
      <c r="AA273" s="268">
        <v>44595</v>
      </c>
      <c r="AB273" s="269">
        <v>7375.35</v>
      </c>
      <c r="AC273" s="14" t="s">
        <v>981</v>
      </c>
      <c r="AD273">
        <f t="shared" si="8"/>
        <v>16.716000000000001</v>
      </c>
    </row>
    <row r="274" spans="27:30" x14ac:dyDescent="0.25">
      <c r="AA274" s="268">
        <v>44596</v>
      </c>
      <c r="AB274" s="269">
        <v>7439.65</v>
      </c>
      <c r="AC274" s="14" t="s">
        <v>982</v>
      </c>
      <c r="AD274">
        <f t="shared" si="8"/>
        <v>46.249000000000002</v>
      </c>
    </row>
    <row r="275" spans="27:30" x14ac:dyDescent="0.25">
      <c r="AA275" s="268">
        <v>44599</v>
      </c>
      <c r="AB275" s="269">
        <v>7469.35</v>
      </c>
      <c r="AC275" s="14" t="s">
        <v>983</v>
      </c>
      <c r="AD275">
        <f t="shared" si="8"/>
        <v>39.148000000000003</v>
      </c>
    </row>
    <row r="276" spans="27:30" x14ac:dyDescent="0.25">
      <c r="AA276" s="268">
        <v>44600</v>
      </c>
      <c r="AB276" s="269">
        <v>7421.35</v>
      </c>
      <c r="AC276" s="14" t="s">
        <v>984</v>
      </c>
      <c r="AD276">
        <f t="shared" si="8"/>
        <v>27.06</v>
      </c>
    </row>
    <row r="277" spans="27:30" x14ac:dyDescent="0.25">
      <c r="AA277" s="268">
        <v>44601</v>
      </c>
      <c r="AB277" s="269">
        <v>7504.05</v>
      </c>
      <c r="AC277" s="14" t="s">
        <v>985</v>
      </c>
      <c r="AD277">
        <f t="shared" si="8"/>
        <v>25.364000000000001</v>
      </c>
    </row>
    <row r="278" spans="27:30" x14ac:dyDescent="0.25">
      <c r="AA278" s="268">
        <v>44602</v>
      </c>
      <c r="AB278" s="269">
        <v>7474.5</v>
      </c>
      <c r="AC278" s="14" t="s">
        <v>986</v>
      </c>
      <c r="AD278">
        <f t="shared" si="8"/>
        <v>28.422000000000001</v>
      </c>
    </row>
    <row r="279" spans="27:30" x14ac:dyDescent="0.25">
      <c r="AA279" s="268">
        <v>44603</v>
      </c>
      <c r="AB279" s="269">
        <v>7323.6</v>
      </c>
      <c r="AC279" s="14" t="s">
        <v>987</v>
      </c>
      <c r="AD279">
        <f t="shared" si="8"/>
        <v>26.518000000000001</v>
      </c>
    </row>
    <row r="280" spans="27:30" x14ac:dyDescent="0.25">
      <c r="AA280" s="268">
        <v>44606</v>
      </c>
      <c r="AB280" s="269">
        <v>7089.1</v>
      </c>
      <c r="AC280" s="14" t="s">
        <v>988</v>
      </c>
      <c r="AD280">
        <f t="shared" si="8"/>
        <v>26.666</v>
      </c>
    </row>
    <row r="281" spans="27:30" x14ac:dyDescent="0.25">
      <c r="AA281" s="268">
        <v>44607</v>
      </c>
      <c r="AB281" s="269">
        <v>7290.3</v>
      </c>
      <c r="AC281" s="14" t="s">
        <v>989</v>
      </c>
      <c r="AD281">
        <f t="shared" si="8"/>
        <v>25.577999999999999</v>
      </c>
    </row>
    <row r="282" spans="27:30" x14ac:dyDescent="0.25">
      <c r="AA282" s="268">
        <v>44608</v>
      </c>
      <c r="AB282" s="269">
        <v>7178.9</v>
      </c>
      <c r="AC282" s="14" t="s">
        <v>990</v>
      </c>
      <c r="AD282">
        <f t="shared" si="8"/>
        <v>32.283999999999999</v>
      </c>
    </row>
    <row r="283" spans="27:30" x14ac:dyDescent="0.25">
      <c r="AA283" s="268">
        <v>44609</v>
      </c>
      <c r="AB283" s="269">
        <v>7045.95</v>
      </c>
      <c r="AC283" s="14" t="s">
        <v>991</v>
      </c>
      <c r="AD283">
        <f t="shared" si="8"/>
        <v>49.996000000000002</v>
      </c>
    </row>
    <row r="284" spans="27:30" x14ac:dyDescent="0.25">
      <c r="AA284" s="268">
        <v>44610</v>
      </c>
      <c r="AB284" s="269">
        <v>6916.6</v>
      </c>
      <c r="AC284" s="14" t="s">
        <v>992</v>
      </c>
      <c r="AD284">
        <f t="shared" si="8"/>
        <v>51.06</v>
      </c>
    </row>
    <row r="285" spans="27:30" x14ac:dyDescent="0.25">
      <c r="AA285" s="268">
        <v>44613</v>
      </c>
      <c r="AB285" s="269">
        <v>6813.45</v>
      </c>
      <c r="AC285" s="14" t="s">
        <v>993</v>
      </c>
      <c r="AD285">
        <f t="shared" si="8"/>
        <v>42.435000000000002</v>
      </c>
    </row>
    <row r="286" spans="27:30" x14ac:dyDescent="0.25">
      <c r="AA286" s="268">
        <v>44614</v>
      </c>
      <c r="AB286" s="269">
        <v>6749.55</v>
      </c>
      <c r="AC286" s="14" t="s">
        <v>994</v>
      </c>
      <c r="AD286">
        <f t="shared" si="8"/>
        <v>35.923999999999999</v>
      </c>
    </row>
    <row r="287" spans="27:30" x14ac:dyDescent="0.25">
      <c r="AA287" s="268">
        <v>44615</v>
      </c>
      <c r="AB287" s="269">
        <v>6780.2</v>
      </c>
      <c r="AC287" s="14" t="s">
        <v>995</v>
      </c>
      <c r="AD287">
        <f t="shared" si="8"/>
        <v>50.654000000000003</v>
      </c>
    </row>
    <row r="288" spans="27:30" x14ac:dyDescent="0.25">
      <c r="AA288" s="268">
        <v>44616</v>
      </c>
      <c r="AB288" s="269">
        <v>6418.45</v>
      </c>
      <c r="AC288" s="14" t="s">
        <v>996</v>
      </c>
      <c r="AD288">
        <f t="shared" si="8"/>
        <v>61.039000000000001</v>
      </c>
    </row>
    <row r="289" spans="27:30" x14ac:dyDescent="0.25">
      <c r="AA289" s="268">
        <v>44617</v>
      </c>
      <c r="AB289" s="269">
        <v>6570.25</v>
      </c>
      <c r="AC289" s="14" t="s">
        <v>997</v>
      </c>
      <c r="AD289">
        <f t="shared" si="8"/>
        <v>37.646000000000001</v>
      </c>
    </row>
    <row r="290" spans="27:30" x14ac:dyDescent="0.25">
      <c r="AA290" s="268">
        <v>44620</v>
      </c>
      <c r="AB290" s="269">
        <v>6567.9</v>
      </c>
      <c r="AC290" s="14" t="s">
        <v>998</v>
      </c>
      <c r="AD290">
        <f t="shared" si="8"/>
        <v>55.728999999999999</v>
      </c>
    </row>
    <row r="291" spans="27:30" x14ac:dyDescent="0.25">
      <c r="AA291" s="268">
        <v>44622</v>
      </c>
      <c r="AB291" s="269">
        <v>6399.35</v>
      </c>
      <c r="AC291" s="14" t="s">
        <v>999</v>
      </c>
      <c r="AD291">
        <f t="shared" si="8"/>
        <v>68.692999999999998</v>
      </c>
    </row>
    <row r="292" spans="27:30" x14ac:dyDescent="0.25">
      <c r="AA292" s="268">
        <v>44623</v>
      </c>
      <c r="AB292" s="269">
        <v>5980.7</v>
      </c>
      <c r="AC292" s="14" t="s">
        <v>1000</v>
      </c>
      <c r="AD292">
        <f t="shared" si="8"/>
        <v>241</v>
      </c>
    </row>
    <row r="293" spans="27:30" x14ac:dyDescent="0.25">
      <c r="AA293" s="268">
        <v>44624</v>
      </c>
      <c r="AB293" s="269">
        <v>6050.3</v>
      </c>
      <c r="AC293" s="14" t="s">
        <v>1001</v>
      </c>
      <c r="AD293">
        <f t="shared" si="8"/>
        <v>134</v>
      </c>
    </row>
    <row r="294" spans="27:30" x14ac:dyDescent="0.25">
      <c r="AA294" s="268">
        <v>44627</v>
      </c>
      <c r="AB294" s="269">
        <v>5698.1</v>
      </c>
      <c r="AC294" s="14" t="s">
        <v>1002</v>
      </c>
      <c r="AD294">
        <f t="shared" si="8"/>
        <v>128</v>
      </c>
    </row>
    <row r="295" spans="27:30" x14ac:dyDescent="0.25">
      <c r="AA295" s="268">
        <v>44628</v>
      </c>
      <c r="AB295" s="269">
        <v>5833.45</v>
      </c>
      <c r="AC295" s="14" t="s">
        <v>1003</v>
      </c>
      <c r="AD295">
        <f t="shared" si="8"/>
        <v>95.584999999999994</v>
      </c>
    </row>
    <row r="296" spans="27:30" x14ac:dyDescent="0.25">
      <c r="AA296" s="268">
        <v>44629</v>
      </c>
      <c r="AB296" s="269">
        <v>6017.35</v>
      </c>
      <c r="AC296" s="14" t="s">
        <v>1004</v>
      </c>
      <c r="AD296">
        <f t="shared" si="8"/>
        <v>81.379000000000005</v>
      </c>
    </row>
    <row r="297" spans="27:30" x14ac:dyDescent="0.25">
      <c r="AA297" s="268">
        <v>44630</v>
      </c>
      <c r="AB297" s="269">
        <v>6052.55</v>
      </c>
      <c r="AC297" s="14" t="s">
        <v>1005</v>
      </c>
      <c r="AD297">
        <f t="shared" si="8"/>
        <v>96.748000000000005</v>
      </c>
    </row>
    <row r="298" spans="27:30" x14ac:dyDescent="0.25">
      <c r="AA298" s="268">
        <v>44631</v>
      </c>
      <c r="AB298" s="269">
        <v>6021</v>
      </c>
      <c r="AC298" s="14" t="s">
        <v>1006</v>
      </c>
      <c r="AD298">
        <f t="shared" si="8"/>
        <v>53.302</v>
      </c>
    </row>
    <row r="299" spans="27:30" x14ac:dyDescent="0.25">
      <c r="AA299" s="268">
        <v>44634</v>
      </c>
      <c r="AB299" s="269">
        <v>6035.9</v>
      </c>
      <c r="AC299" s="14" t="s">
        <v>1007</v>
      </c>
      <c r="AD299">
        <f t="shared" si="8"/>
        <v>46.694000000000003</v>
      </c>
    </row>
    <row r="300" spans="27:30" x14ac:dyDescent="0.25">
      <c r="AA300" s="268">
        <v>44635</v>
      </c>
      <c r="AB300" s="269">
        <v>6021.25</v>
      </c>
      <c r="AC300" s="14" t="s">
        <v>1008</v>
      </c>
      <c r="AD300">
        <f t="shared" si="8"/>
        <v>81.926000000000002</v>
      </c>
    </row>
    <row r="301" spans="27:30" x14ac:dyDescent="0.25">
      <c r="AA301" s="268">
        <v>44636</v>
      </c>
      <c r="AB301" s="269">
        <v>6305.9</v>
      </c>
      <c r="AC301" s="14" t="s">
        <v>1009</v>
      </c>
      <c r="AD301">
        <f t="shared" si="8"/>
        <v>88.893000000000001</v>
      </c>
    </row>
    <row r="302" spans="27:30" x14ac:dyDescent="0.25">
      <c r="AA302" s="268">
        <v>44637</v>
      </c>
      <c r="AB302" s="269">
        <v>6373.6</v>
      </c>
      <c r="AC302" s="14" t="s">
        <v>1010</v>
      </c>
      <c r="AD302">
        <f t="shared" si="8"/>
        <v>97.998999999999995</v>
      </c>
    </row>
    <row r="303" spans="27:30" x14ac:dyDescent="0.25">
      <c r="AA303" s="268">
        <v>44641</v>
      </c>
      <c r="AB303" s="269">
        <v>6191.25</v>
      </c>
      <c r="AC303" s="14" t="s">
        <v>1011</v>
      </c>
      <c r="AD303">
        <f t="shared" si="8"/>
        <v>53.142000000000003</v>
      </c>
    </row>
    <row r="304" spans="27:30" x14ac:dyDescent="0.25">
      <c r="AA304" s="268">
        <v>44642</v>
      </c>
      <c r="AB304" s="269">
        <v>6211.6</v>
      </c>
      <c r="AC304" s="14" t="s">
        <v>1012</v>
      </c>
      <c r="AD304">
        <f t="shared" si="8"/>
        <v>107</v>
      </c>
    </row>
    <row r="305" spans="27:30" x14ac:dyDescent="0.25">
      <c r="AA305" s="268">
        <v>44643</v>
      </c>
      <c r="AB305" s="269">
        <v>6234</v>
      </c>
      <c r="AC305" s="14" t="s">
        <v>1013</v>
      </c>
      <c r="AD305">
        <f t="shared" si="8"/>
        <v>66.424000000000007</v>
      </c>
    </row>
    <row r="306" spans="27:30" x14ac:dyDescent="0.25">
      <c r="AA306" s="268">
        <v>44644</v>
      </c>
      <c r="AB306" s="269">
        <v>6351.85</v>
      </c>
      <c r="AC306" s="14" t="s">
        <v>1014</v>
      </c>
      <c r="AD306">
        <f t="shared" si="8"/>
        <v>64.222999999999999</v>
      </c>
    </row>
    <row r="307" spans="27:30" x14ac:dyDescent="0.25">
      <c r="AA307" s="268">
        <v>44645</v>
      </c>
      <c r="AB307" s="269">
        <v>6312.7</v>
      </c>
      <c r="AC307" s="14" t="s">
        <v>1015</v>
      </c>
      <c r="AD307">
        <f t="shared" si="8"/>
        <v>32.101999999999997</v>
      </c>
    </row>
    <row r="308" spans="27:30" x14ac:dyDescent="0.25">
      <c r="AA308" s="268">
        <v>44648</v>
      </c>
      <c r="AB308" s="269">
        <v>6359.95</v>
      </c>
      <c r="AC308" s="14" t="s">
        <v>1016</v>
      </c>
      <c r="AD308">
        <f t="shared" si="8"/>
        <v>32.567</v>
      </c>
    </row>
    <row r="309" spans="27:30" x14ac:dyDescent="0.25">
      <c r="AA309" s="268">
        <v>44649</v>
      </c>
      <c r="AB309" s="269">
        <v>6526.6</v>
      </c>
      <c r="AC309" s="14" t="s">
        <v>1017</v>
      </c>
      <c r="AD309">
        <f t="shared" si="8"/>
        <v>67.188000000000002</v>
      </c>
    </row>
    <row r="310" spans="27:30" x14ac:dyDescent="0.25">
      <c r="AA310" s="268">
        <v>44650</v>
      </c>
      <c r="AB310" s="269">
        <v>6642.7</v>
      </c>
      <c r="AC310" s="14" t="s">
        <v>1018</v>
      </c>
      <c r="AD310">
        <f t="shared" si="8"/>
        <v>70.539000000000001</v>
      </c>
    </row>
    <row r="311" spans="27:30" x14ac:dyDescent="0.25">
      <c r="AA311" s="268">
        <v>44651</v>
      </c>
      <c r="AB311" s="269">
        <v>6602.3</v>
      </c>
      <c r="AC311" s="14" t="s">
        <v>1019</v>
      </c>
      <c r="AD311">
        <f t="shared" si="8"/>
        <v>39.927</v>
      </c>
    </row>
    <row r="312" spans="27:30" x14ac:dyDescent="0.25">
      <c r="AA312" s="268">
        <v>44652</v>
      </c>
      <c r="AB312" s="269">
        <v>6670.55</v>
      </c>
      <c r="AC312" s="14" t="s">
        <v>1020</v>
      </c>
      <c r="AD312">
        <f t="shared" si="8"/>
        <v>21.684000000000001</v>
      </c>
    </row>
    <row r="313" spans="27:30" x14ac:dyDescent="0.25">
      <c r="AA313" s="268">
        <v>44655</v>
      </c>
      <c r="AB313" s="269">
        <v>6743.9</v>
      </c>
      <c r="AC313" s="14" t="s">
        <v>1021</v>
      </c>
      <c r="AD313">
        <f t="shared" si="8"/>
        <v>26.831</v>
      </c>
    </row>
    <row r="314" spans="27:30" x14ac:dyDescent="0.25">
      <c r="AA314" s="268">
        <v>44656</v>
      </c>
      <c r="AB314" s="269">
        <v>6726.15</v>
      </c>
      <c r="AC314" s="14" t="s">
        <v>1022</v>
      </c>
      <c r="AD314">
        <f t="shared" si="8"/>
        <v>41.204999999999998</v>
      </c>
    </row>
    <row r="315" spans="27:30" x14ac:dyDescent="0.25">
      <c r="AA315" s="268">
        <v>44657</v>
      </c>
      <c r="AB315" s="269">
        <v>6736.15</v>
      </c>
      <c r="AC315" s="14" t="s">
        <v>1023</v>
      </c>
      <c r="AD315">
        <f t="shared" si="8"/>
        <v>29.745000000000001</v>
      </c>
    </row>
    <row r="316" spans="27:30" x14ac:dyDescent="0.25">
      <c r="AA316" s="268">
        <v>44658</v>
      </c>
      <c r="AB316" s="269">
        <v>6736.65</v>
      </c>
      <c r="AC316" s="14" t="s">
        <v>1024</v>
      </c>
      <c r="AD316">
        <f t="shared" si="8"/>
        <v>23.4</v>
      </c>
    </row>
    <row r="317" spans="27:30" x14ac:dyDescent="0.25">
      <c r="AA317" s="268">
        <v>44659</v>
      </c>
      <c r="AB317" s="269">
        <v>6837</v>
      </c>
      <c r="AC317" s="14" t="s">
        <v>1025</v>
      </c>
      <c r="AD317">
        <f t="shared" si="8"/>
        <v>30.969000000000001</v>
      </c>
    </row>
    <row r="318" spans="27:30" x14ac:dyDescent="0.25">
      <c r="AA318" s="268">
        <v>44662</v>
      </c>
      <c r="AB318" s="269">
        <v>6858.75</v>
      </c>
      <c r="AC318" s="14" t="s">
        <v>1026</v>
      </c>
      <c r="AD318">
        <f t="shared" si="8"/>
        <v>35.904000000000003</v>
      </c>
    </row>
    <row r="319" spans="27:30" x14ac:dyDescent="0.25">
      <c r="AA319" s="268">
        <v>44663</v>
      </c>
      <c r="AB319" s="269">
        <v>6775.55</v>
      </c>
      <c r="AC319" s="14" t="s">
        <v>1027</v>
      </c>
      <c r="AD319">
        <f t="shared" si="8"/>
        <v>38.582999999999998</v>
      </c>
    </row>
    <row r="320" spans="27:30" x14ac:dyDescent="0.25">
      <c r="AA320" s="268">
        <v>44664</v>
      </c>
      <c r="AB320" s="269">
        <v>6730.05</v>
      </c>
      <c r="AC320" s="14" t="s">
        <v>1028</v>
      </c>
      <c r="AD320">
        <f t="shared" si="8"/>
        <v>38.654000000000003</v>
      </c>
    </row>
    <row r="321" spans="27:30" x14ac:dyDescent="0.25">
      <c r="AA321" s="268">
        <v>44669</v>
      </c>
      <c r="AB321" s="269">
        <v>6639.6</v>
      </c>
      <c r="AC321" s="14" t="s">
        <v>1029</v>
      </c>
      <c r="AD321">
        <f t="shared" si="8"/>
        <v>24.039000000000001</v>
      </c>
    </row>
    <row r="322" spans="27:30" x14ac:dyDescent="0.25">
      <c r="AA322" s="268">
        <v>44670</v>
      </c>
      <c r="AB322" s="269">
        <v>6585.7</v>
      </c>
      <c r="AC322" s="14" t="s">
        <v>1030</v>
      </c>
      <c r="AD322">
        <f t="shared" si="8"/>
        <v>35.343000000000004</v>
      </c>
    </row>
    <row r="323" spans="27:30" x14ac:dyDescent="0.25">
      <c r="AA323" s="268">
        <v>44671</v>
      </c>
      <c r="AB323" s="269">
        <v>6807.15</v>
      </c>
      <c r="AC323" s="14" t="s">
        <v>1031</v>
      </c>
      <c r="AD323">
        <f t="shared" si="8"/>
        <v>32.805</v>
      </c>
    </row>
    <row r="324" spans="27:30" x14ac:dyDescent="0.25">
      <c r="AA324" s="268">
        <v>44672</v>
      </c>
      <c r="AB324" s="269">
        <v>6846.5</v>
      </c>
      <c r="AC324" s="14" t="s">
        <v>558</v>
      </c>
      <c r="AD324">
        <f t="shared" ref="AD324:AD387" si="9">(IF(RIGHT(AC324,1)="K",
    VALUE(LEFT(AC324,LEN(AC324)-1))*1000,
    IF(RIGHT(AC324,1)="M",
       VALUE(LEFT(AC324,LEN(AC324)-1))*1000000,
       VALUE(AC324)
    )
))/10000</f>
        <v>18.146000000000001</v>
      </c>
    </row>
    <row r="325" spans="27:30" x14ac:dyDescent="0.25">
      <c r="AA325" s="268">
        <v>44673</v>
      </c>
      <c r="AB325" s="269">
        <v>6744.1</v>
      </c>
      <c r="AC325" s="14" t="s">
        <v>1032</v>
      </c>
      <c r="AD325">
        <f t="shared" si="9"/>
        <v>23.739000000000001</v>
      </c>
    </row>
    <row r="326" spans="27:30" x14ac:dyDescent="0.25">
      <c r="AA326" s="268">
        <v>44676</v>
      </c>
      <c r="AB326" s="269">
        <v>6595.05</v>
      </c>
      <c r="AC326" s="14" t="s">
        <v>1033</v>
      </c>
      <c r="AD326">
        <f t="shared" si="9"/>
        <v>22.75</v>
      </c>
    </row>
    <row r="327" spans="27:30" x14ac:dyDescent="0.25">
      <c r="AA327" s="268">
        <v>44677</v>
      </c>
      <c r="AB327" s="269">
        <v>6660.2</v>
      </c>
      <c r="AC327" s="14" t="s">
        <v>1034</v>
      </c>
      <c r="AD327">
        <f t="shared" si="9"/>
        <v>27.956</v>
      </c>
    </row>
    <row r="328" spans="27:30" x14ac:dyDescent="0.25">
      <c r="AA328" s="268">
        <v>44678</v>
      </c>
      <c r="AB328" s="269">
        <v>6548.45</v>
      </c>
      <c r="AC328" s="14" t="s">
        <v>1035</v>
      </c>
      <c r="AD328">
        <f t="shared" si="9"/>
        <v>32.76</v>
      </c>
    </row>
    <row r="329" spans="27:30" x14ac:dyDescent="0.25">
      <c r="AA329" s="268">
        <v>44679</v>
      </c>
      <c r="AB329" s="269">
        <v>6616.95</v>
      </c>
      <c r="AC329" s="14" t="s">
        <v>1036</v>
      </c>
      <c r="AD329">
        <f t="shared" si="9"/>
        <v>24.331</v>
      </c>
    </row>
    <row r="330" spans="27:30" x14ac:dyDescent="0.25">
      <c r="AA330" s="268">
        <v>44680</v>
      </c>
      <c r="AB330" s="269">
        <v>6630.25</v>
      </c>
      <c r="AC330" s="14" t="s">
        <v>799</v>
      </c>
      <c r="AD330">
        <f t="shared" si="9"/>
        <v>114</v>
      </c>
    </row>
    <row r="331" spans="27:30" x14ac:dyDescent="0.25">
      <c r="AA331" s="268">
        <v>44683</v>
      </c>
      <c r="AB331" s="269">
        <v>6679</v>
      </c>
      <c r="AC331" s="14" t="s">
        <v>1037</v>
      </c>
      <c r="AD331">
        <f t="shared" si="9"/>
        <v>32.954999999999998</v>
      </c>
    </row>
    <row r="332" spans="27:30" x14ac:dyDescent="0.25">
      <c r="AA332" s="268">
        <v>44685</v>
      </c>
      <c r="AB332" s="269">
        <v>6521.95</v>
      </c>
      <c r="AC332" s="14" t="s">
        <v>1038</v>
      </c>
      <c r="AD332">
        <f t="shared" si="9"/>
        <v>22.846</v>
      </c>
    </row>
    <row r="333" spans="27:30" x14ac:dyDescent="0.25">
      <c r="AA333" s="268">
        <v>44686</v>
      </c>
      <c r="AB333" s="269">
        <v>6355.7</v>
      </c>
      <c r="AC333" s="14" t="s">
        <v>1039</v>
      </c>
      <c r="AD333">
        <f t="shared" si="9"/>
        <v>34.436999999999998</v>
      </c>
    </row>
    <row r="334" spans="27:30" x14ac:dyDescent="0.25">
      <c r="AA334" s="268">
        <v>44687</v>
      </c>
      <c r="AB334" s="269">
        <v>6200.2</v>
      </c>
      <c r="AC334" s="14" t="s">
        <v>1040</v>
      </c>
      <c r="AD334">
        <f t="shared" si="9"/>
        <v>49.991</v>
      </c>
    </row>
    <row r="335" spans="27:30" x14ac:dyDescent="0.25">
      <c r="AA335" s="268">
        <v>44690</v>
      </c>
      <c r="AB335" s="269">
        <v>6224.6</v>
      </c>
      <c r="AC335" s="14" t="s">
        <v>1041</v>
      </c>
      <c r="AD335">
        <f t="shared" si="9"/>
        <v>35.529000000000003</v>
      </c>
    </row>
    <row r="336" spans="27:30" x14ac:dyDescent="0.25">
      <c r="AA336" s="268">
        <v>44691</v>
      </c>
      <c r="AB336" s="269">
        <v>6366.45</v>
      </c>
      <c r="AC336" s="14" t="s">
        <v>1042</v>
      </c>
      <c r="AD336">
        <f t="shared" si="9"/>
        <v>35.945999999999998</v>
      </c>
    </row>
    <row r="337" spans="27:30" x14ac:dyDescent="0.25">
      <c r="AA337" s="268">
        <v>44692</v>
      </c>
      <c r="AB337" s="269">
        <v>6340.2</v>
      </c>
      <c r="AC337" s="14" t="s">
        <v>1043</v>
      </c>
      <c r="AD337">
        <f t="shared" si="9"/>
        <v>21.745000000000001</v>
      </c>
    </row>
    <row r="338" spans="27:30" x14ac:dyDescent="0.25">
      <c r="AA338" s="268">
        <v>44693</v>
      </c>
      <c r="AB338" s="269">
        <v>6185.45</v>
      </c>
      <c r="AC338" s="14" t="s">
        <v>1044</v>
      </c>
      <c r="AD338">
        <f t="shared" si="9"/>
        <v>32.372999999999998</v>
      </c>
    </row>
    <row r="339" spans="27:30" x14ac:dyDescent="0.25">
      <c r="AA339" s="268">
        <v>44694</v>
      </c>
      <c r="AB339" s="269">
        <v>6196.55</v>
      </c>
      <c r="AC339" s="14" t="s">
        <v>1045</v>
      </c>
      <c r="AD339">
        <f t="shared" si="9"/>
        <v>31.922000000000001</v>
      </c>
    </row>
    <row r="340" spans="27:30" x14ac:dyDescent="0.25">
      <c r="AA340" s="268">
        <v>44697</v>
      </c>
      <c r="AB340" s="269">
        <v>6012.8</v>
      </c>
      <c r="AC340" s="14" t="s">
        <v>1046</v>
      </c>
      <c r="AD340">
        <f t="shared" si="9"/>
        <v>68.566000000000003</v>
      </c>
    </row>
    <row r="341" spans="27:30" x14ac:dyDescent="0.25">
      <c r="AA341" s="268">
        <v>44698</v>
      </c>
      <c r="AB341" s="269">
        <v>6107.75</v>
      </c>
      <c r="AC341" s="14" t="s">
        <v>1047</v>
      </c>
      <c r="AD341">
        <f t="shared" si="9"/>
        <v>63.718000000000004</v>
      </c>
    </row>
    <row r="342" spans="27:30" x14ac:dyDescent="0.25">
      <c r="AA342" s="268">
        <v>44699</v>
      </c>
      <c r="AB342" s="269">
        <v>6233.75</v>
      </c>
      <c r="AC342" s="14" t="s">
        <v>1048</v>
      </c>
      <c r="AD342">
        <f t="shared" si="9"/>
        <v>37.195</v>
      </c>
    </row>
    <row r="343" spans="27:30" x14ac:dyDescent="0.25">
      <c r="AA343" s="268">
        <v>44700</v>
      </c>
      <c r="AB343" s="269">
        <v>6072.6</v>
      </c>
      <c r="AC343" s="14" t="s">
        <v>1049</v>
      </c>
      <c r="AD343">
        <f t="shared" si="9"/>
        <v>25.911000000000001</v>
      </c>
    </row>
    <row r="344" spans="27:30" x14ac:dyDescent="0.25">
      <c r="AA344" s="268">
        <v>44701</v>
      </c>
      <c r="AB344" s="269">
        <v>6128.65</v>
      </c>
      <c r="AC344" s="14" t="s">
        <v>1050</v>
      </c>
      <c r="AD344">
        <f t="shared" si="9"/>
        <v>37.454000000000001</v>
      </c>
    </row>
    <row r="345" spans="27:30" x14ac:dyDescent="0.25">
      <c r="AA345" s="268">
        <v>44704</v>
      </c>
      <c r="AB345" s="269">
        <v>5916.3</v>
      </c>
      <c r="AC345" s="14" t="s">
        <v>1051</v>
      </c>
      <c r="AD345">
        <f t="shared" si="9"/>
        <v>52.856999999999999</v>
      </c>
    </row>
    <row r="346" spans="27:30" x14ac:dyDescent="0.25">
      <c r="AA346" s="268">
        <v>44705</v>
      </c>
      <c r="AB346" s="269">
        <v>5868.05</v>
      </c>
      <c r="AC346" s="14" t="s">
        <v>1052</v>
      </c>
      <c r="AD346">
        <f t="shared" si="9"/>
        <v>45.896000000000001</v>
      </c>
    </row>
    <row r="347" spans="27:30" x14ac:dyDescent="0.25">
      <c r="AA347" s="268">
        <v>44706</v>
      </c>
      <c r="AB347" s="269">
        <v>5792.2</v>
      </c>
      <c r="AC347" s="14" t="s">
        <v>1053</v>
      </c>
      <c r="AD347">
        <f t="shared" si="9"/>
        <v>57.156999999999996</v>
      </c>
    </row>
    <row r="348" spans="27:30" x14ac:dyDescent="0.25">
      <c r="AA348" s="268">
        <v>44707</v>
      </c>
      <c r="AB348" s="269">
        <v>5874.25</v>
      </c>
      <c r="AC348" s="14" t="s">
        <v>1054</v>
      </c>
      <c r="AD348">
        <f t="shared" si="9"/>
        <v>51.295000000000009</v>
      </c>
    </row>
    <row r="349" spans="27:30" x14ac:dyDescent="0.25">
      <c r="AA349" s="268">
        <v>44708</v>
      </c>
      <c r="AB349" s="269">
        <v>5948</v>
      </c>
      <c r="AC349" s="14" t="s">
        <v>1055</v>
      </c>
      <c r="AD349">
        <f t="shared" si="9"/>
        <v>29.062999999999999</v>
      </c>
    </row>
    <row r="350" spans="27:30" x14ac:dyDescent="0.25">
      <c r="AA350" s="268">
        <v>44711</v>
      </c>
      <c r="AB350" s="269">
        <v>6102.65</v>
      </c>
      <c r="AC350" s="14" t="s">
        <v>1056</v>
      </c>
      <c r="AD350">
        <f t="shared" si="9"/>
        <v>33.055999999999997</v>
      </c>
    </row>
    <row r="351" spans="27:30" x14ac:dyDescent="0.25">
      <c r="AA351" s="268">
        <v>44712</v>
      </c>
      <c r="AB351" s="269">
        <v>6082.6</v>
      </c>
      <c r="AC351" s="14" t="s">
        <v>1057</v>
      </c>
      <c r="AD351">
        <f t="shared" si="9"/>
        <v>43.146999999999998</v>
      </c>
    </row>
    <row r="352" spans="27:30" x14ac:dyDescent="0.25">
      <c r="AA352" s="268">
        <v>44713</v>
      </c>
      <c r="AB352" s="269">
        <v>5975.65</v>
      </c>
      <c r="AC352" s="14" t="s">
        <v>1058</v>
      </c>
      <c r="AD352">
        <f t="shared" si="9"/>
        <v>26.863</v>
      </c>
    </row>
    <row r="353" spans="27:30" x14ac:dyDescent="0.25">
      <c r="AA353" s="268">
        <v>44714</v>
      </c>
      <c r="AB353" s="269">
        <v>6007.85</v>
      </c>
      <c r="AC353" s="14" t="s">
        <v>1059</v>
      </c>
      <c r="AD353">
        <f t="shared" si="9"/>
        <v>32.009</v>
      </c>
    </row>
    <row r="354" spans="27:30" x14ac:dyDescent="0.25">
      <c r="AA354" s="268">
        <v>44715</v>
      </c>
      <c r="AB354" s="269">
        <v>5678.85</v>
      </c>
      <c r="AC354" s="14" t="s">
        <v>1060</v>
      </c>
      <c r="AD354">
        <f t="shared" si="9"/>
        <v>222</v>
      </c>
    </row>
    <row r="355" spans="27:30" x14ac:dyDescent="0.25">
      <c r="AA355" s="268">
        <v>44718</v>
      </c>
      <c r="AB355" s="269">
        <v>5581.35</v>
      </c>
      <c r="AC355" s="14" t="s">
        <v>1061</v>
      </c>
      <c r="AD355">
        <f t="shared" si="9"/>
        <v>99.971999999999994</v>
      </c>
    </row>
    <row r="356" spans="27:30" x14ac:dyDescent="0.25">
      <c r="AA356" s="268">
        <v>44719</v>
      </c>
      <c r="AB356" s="269">
        <v>5555.2</v>
      </c>
      <c r="AC356" s="14" t="s">
        <v>1062</v>
      </c>
      <c r="AD356">
        <f t="shared" si="9"/>
        <v>120</v>
      </c>
    </row>
    <row r="357" spans="27:30" x14ac:dyDescent="0.25">
      <c r="AA357" s="268">
        <v>44720</v>
      </c>
      <c r="AB357" s="269">
        <v>5531.85</v>
      </c>
      <c r="AC357" s="14" t="s">
        <v>1063</v>
      </c>
      <c r="AD357">
        <f t="shared" si="9"/>
        <v>60.518000000000001</v>
      </c>
    </row>
    <row r="358" spans="27:30" x14ac:dyDescent="0.25">
      <c r="AA358" s="268">
        <v>44721</v>
      </c>
      <c r="AB358" s="269">
        <v>5481.9</v>
      </c>
      <c r="AC358" s="14" t="s">
        <v>1064</v>
      </c>
      <c r="AD358">
        <f t="shared" si="9"/>
        <v>37.530999999999999</v>
      </c>
    </row>
    <row r="359" spans="27:30" x14ac:dyDescent="0.25">
      <c r="AA359" s="268">
        <v>44722</v>
      </c>
      <c r="AB359" s="269">
        <v>5511.05</v>
      </c>
      <c r="AC359" s="14" t="s">
        <v>1065</v>
      </c>
      <c r="AD359">
        <f t="shared" si="9"/>
        <v>49.348999999999997</v>
      </c>
    </row>
    <row r="360" spans="27:30" x14ac:dyDescent="0.25">
      <c r="AA360" s="268">
        <v>44725</v>
      </c>
      <c r="AB360" s="269">
        <v>5356.15</v>
      </c>
      <c r="AC360" s="14" t="s">
        <v>1066</v>
      </c>
      <c r="AD360">
        <f t="shared" si="9"/>
        <v>44.134999999999998</v>
      </c>
    </row>
    <row r="361" spans="27:30" x14ac:dyDescent="0.25">
      <c r="AA361" s="268">
        <v>44726</v>
      </c>
      <c r="AB361" s="269">
        <v>5428.6</v>
      </c>
      <c r="AC361" s="14" t="s">
        <v>1067</v>
      </c>
      <c r="AD361">
        <f t="shared" si="9"/>
        <v>61.091000000000001</v>
      </c>
    </row>
    <row r="362" spans="27:30" x14ac:dyDescent="0.25">
      <c r="AA362" s="268">
        <v>44727</v>
      </c>
      <c r="AB362" s="269">
        <v>5454.15</v>
      </c>
      <c r="AC362" s="14" t="s">
        <v>1068</v>
      </c>
      <c r="AD362">
        <f t="shared" si="9"/>
        <v>28.675999999999998</v>
      </c>
    </row>
    <row r="363" spans="27:30" x14ac:dyDescent="0.25">
      <c r="AA363" s="268">
        <v>44728</v>
      </c>
      <c r="AB363" s="269">
        <v>5305.25</v>
      </c>
      <c r="AC363" s="14" t="s">
        <v>1069</v>
      </c>
      <c r="AD363">
        <f t="shared" si="9"/>
        <v>73.222999999999999</v>
      </c>
    </row>
    <row r="364" spans="27:30" x14ac:dyDescent="0.25">
      <c r="AA364" s="268">
        <v>44729</v>
      </c>
      <c r="AB364" s="269">
        <v>5177.3</v>
      </c>
      <c r="AC364" s="14" t="s">
        <v>1070</v>
      </c>
      <c r="AD364">
        <f t="shared" si="9"/>
        <v>81.935000000000002</v>
      </c>
    </row>
    <row r="365" spans="27:30" x14ac:dyDescent="0.25">
      <c r="AA365" s="268">
        <v>44732</v>
      </c>
      <c r="AB365" s="269">
        <v>5333.3</v>
      </c>
      <c r="AC365" s="14" t="s">
        <v>1071</v>
      </c>
      <c r="AD365">
        <f t="shared" si="9"/>
        <v>50.613999999999997</v>
      </c>
    </row>
    <row r="366" spans="27:30" x14ac:dyDescent="0.25">
      <c r="AA366" s="268">
        <v>44733</v>
      </c>
      <c r="AB366" s="269">
        <v>5418.9</v>
      </c>
      <c r="AC366" s="14" t="s">
        <v>1072</v>
      </c>
      <c r="AD366">
        <f t="shared" si="9"/>
        <v>29.241</v>
      </c>
    </row>
    <row r="367" spans="27:30" x14ac:dyDescent="0.25">
      <c r="AA367" s="268">
        <v>44734</v>
      </c>
      <c r="AB367" s="269">
        <v>5409.95</v>
      </c>
      <c r="AC367" s="14" t="s">
        <v>1073</v>
      </c>
      <c r="AD367">
        <f t="shared" si="9"/>
        <v>21.481999999999999</v>
      </c>
    </row>
    <row r="368" spans="27:30" x14ac:dyDescent="0.25">
      <c r="AA368" s="268">
        <v>44735</v>
      </c>
      <c r="AB368" s="269">
        <v>5410.3</v>
      </c>
      <c r="AC368" s="14" t="s">
        <v>1074</v>
      </c>
      <c r="AD368">
        <f t="shared" si="9"/>
        <v>29.670999999999999</v>
      </c>
    </row>
    <row r="369" spans="27:30" x14ac:dyDescent="0.25">
      <c r="AA369" s="268">
        <v>44736</v>
      </c>
      <c r="AB369" s="269">
        <v>5468.3</v>
      </c>
      <c r="AC369" s="14" t="s">
        <v>1075</v>
      </c>
      <c r="AD369">
        <f t="shared" si="9"/>
        <v>26.585999999999999</v>
      </c>
    </row>
    <row r="370" spans="27:30" x14ac:dyDescent="0.25">
      <c r="AA370" s="268">
        <v>44739</v>
      </c>
      <c r="AB370" s="269">
        <v>5560.25</v>
      </c>
      <c r="AC370" s="14" t="s">
        <v>1076</v>
      </c>
      <c r="AD370">
        <f t="shared" si="9"/>
        <v>22.661000000000001</v>
      </c>
    </row>
    <row r="371" spans="27:30" x14ac:dyDescent="0.25">
      <c r="AA371" s="268">
        <v>44740</v>
      </c>
      <c r="AB371" s="269">
        <v>5572.75</v>
      </c>
      <c r="AC371" s="14" t="s">
        <v>1077</v>
      </c>
      <c r="AD371">
        <f t="shared" si="9"/>
        <v>27.811</v>
      </c>
    </row>
    <row r="372" spans="27:30" x14ac:dyDescent="0.25">
      <c r="AA372" s="268">
        <v>44741</v>
      </c>
      <c r="AB372" s="269">
        <v>5618.3</v>
      </c>
      <c r="AC372" s="14" t="s">
        <v>1078</v>
      </c>
      <c r="AD372">
        <f t="shared" si="9"/>
        <v>49.061999999999998</v>
      </c>
    </row>
    <row r="373" spans="27:30" x14ac:dyDescent="0.25">
      <c r="AA373" s="268">
        <v>44742</v>
      </c>
      <c r="AB373" s="269">
        <v>5607.3</v>
      </c>
      <c r="AC373" s="14" t="s">
        <v>1079</v>
      </c>
      <c r="AD373">
        <f t="shared" si="9"/>
        <v>57.281999999999996</v>
      </c>
    </row>
    <row r="374" spans="27:30" x14ac:dyDescent="0.25">
      <c r="AA374" s="268">
        <v>44743</v>
      </c>
      <c r="AB374" s="269">
        <v>5691.7</v>
      </c>
      <c r="AC374" s="14" t="s">
        <v>1080</v>
      </c>
      <c r="AD374">
        <f t="shared" si="9"/>
        <v>32.960999999999999</v>
      </c>
    </row>
    <row r="375" spans="27:30" x14ac:dyDescent="0.25">
      <c r="AA375" s="268">
        <v>44746</v>
      </c>
      <c r="AB375" s="269">
        <v>5709.05</v>
      </c>
      <c r="AC375" s="14" t="s">
        <v>1081</v>
      </c>
      <c r="AD375">
        <f t="shared" si="9"/>
        <v>16.596</v>
      </c>
    </row>
    <row r="376" spans="27:30" x14ac:dyDescent="0.25">
      <c r="AA376" s="268">
        <v>44747</v>
      </c>
      <c r="AB376" s="269">
        <v>5729.95</v>
      </c>
      <c r="AC376" s="14" t="s">
        <v>1082</v>
      </c>
      <c r="AD376">
        <f t="shared" si="9"/>
        <v>30.797000000000001</v>
      </c>
    </row>
    <row r="377" spans="27:30" x14ac:dyDescent="0.25">
      <c r="AA377" s="268">
        <v>44748</v>
      </c>
      <c r="AB377" s="269">
        <v>5828.05</v>
      </c>
      <c r="AC377" s="14" t="s">
        <v>1048</v>
      </c>
      <c r="AD377">
        <f t="shared" si="9"/>
        <v>37.195</v>
      </c>
    </row>
    <row r="378" spans="27:30" x14ac:dyDescent="0.25">
      <c r="AA378" s="268">
        <v>44749</v>
      </c>
      <c r="AB378" s="269">
        <v>5838.85</v>
      </c>
      <c r="AC378" s="14" t="s">
        <v>1083</v>
      </c>
      <c r="AD378">
        <f t="shared" si="9"/>
        <v>26.158999999999995</v>
      </c>
    </row>
    <row r="379" spans="27:30" x14ac:dyDescent="0.25">
      <c r="AA379" s="268">
        <v>44750</v>
      </c>
      <c r="AB379" s="269">
        <v>5839.1</v>
      </c>
      <c r="AC379" s="14" t="s">
        <v>1084</v>
      </c>
      <c r="AD379">
        <f t="shared" si="9"/>
        <v>41.097999999999999</v>
      </c>
    </row>
    <row r="380" spans="27:30" x14ac:dyDescent="0.25">
      <c r="AA380" s="268">
        <v>44753</v>
      </c>
      <c r="AB380" s="269">
        <v>5854.25</v>
      </c>
      <c r="AC380" s="14" t="s">
        <v>1085</v>
      </c>
      <c r="AD380">
        <f t="shared" si="9"/>
        <v>18.966999999999999</v>
      </c>
    </row>
    <row r="381" spans="27:30" x14ac:dyDescent="0.25">
      <c r="AA381" s="268">
        <v>44754</v>
      </c>
      <c r="AB381" s="269">
        <v>5778.85</v>
      </c>
      <c r="AC381" s="14" t="s">
        <v>1086</v>
      </c>
      <c r="AD381">
        <f t="shared" si="9"/>
        <v>17.192</v>
      </c>
    </row>
    <row r="382" spans="27:30" x14ac:dyDescent="0.25">
      <c r="AA382" s="268">
        <v>44755</v>
      </c>
      <c r="AB382" s="269">
        <v>5798.95</v>
      </c>
      <c r="AC382" s="14" t="s">
        <v>1087</v>
      </c>
      <c r="AD382">
        <f t="shared" si="9"/>
        <v>26.369</v>
      </c>
    </row>
    <row r="383" spans="27:30" x14ac:dyDescent="0.25">
      <c r="AA383" s="268">
        <v>44756</v>
      </c>
      <c r="AB383" s="269">
        <v>5735.05</v>
      </c>
      <c r="AC383" s="14" t="s">
        <v>1088</v>
      </c>
      <c r="AD383">
        <f t="shared" si="9"/>
        <v>28.568999999999999</v>
      </c>
    </row>
    <row r="384" spans="27:30" x14ac:dyDescent="0.25">
      <c r="AA384" s="268">
        <v>44757</v>
      </c>
      <c r="AB384" s="269">
        <v>5807.05</v>
      </c>
      <c r="AC384" s="14" t="s">
        <v>1089</v>
      </c>
      <c r="AD384">
        <f t="shared" si="9"/>
        <v>25.574999999999999</v>
      </c>
    </row>
    <row r="385" spans="27:30" x14ac:dyDescent="0.25">
      <c r="AA385" s="268">
        <v>44760</v>
      </c>
      <c r="AB385" s="269">
        <v>5982.4</v>
      </c>
      <c r="AC385" s="14" t="s">
        <v>1090</v>
      </c>
      <c r="AD385">
        <f t="shared" si="9"/>
        <v>51.292999999999992</v>
      </c>
    </row>
    <row r="386" spans="27:30" x14ac:dyDescent="0.25">
      <c r="AA386" s="268">
        <v>44761</v>
      </c>
      <c r="AB386" s="269">
        <v>6085.85</v>
      </c>
      <c r="AC386" s="14" t="s">
        <v>1091</v>
      </c>
      <c r="AD386">
        <f t="shared" si="9"/>
        <v>55.557000000000002</v>
      </c>
    </row>
    <row r="387" spans="27:30" x14ac:dyDescent="0.25">
      <c r="AA387" s="268">
        <v>44762</v>
      </c>
      <c r="AB387" s="269">
        <v>6089</v>
      </c>
      <c r="AC387" s="14" t="s">
        <v>1092</v>
      </c>
      <c r="AD387">
        <f t="shared" si="9"/>
        <v>37.119</v>
      </c>
    </row>
    <row r="388" spans="27:30" x14ac:dyDescent="0.25">
      <c r="AA388" s="268">
        <v>44763</v>
      </c>
      <c r="AB388" s="269">
        <v>6130.7</v>
      </c>
      <c r="AC388" s="14" t="s">
        <v>1093</v>
      </c>
      <c r="AD388">
        <f t="shared" ref="AD388:AD451" si="10">(IF(RIGHT(AC388,1)="K",
    VALUE(LEFT(AC388,LEN(AC388)-1))*1000,
    IF(RIGHT(AC388,1)="M",
       VALUE(LEFT(AC388,LEN(AC388)-1))*1000000,
       VALUE(AC388)
    )
))/10000</f>
        <v>32.860999999999997</v>
      </c>
    </row>
    <row r="389" spans="27:30" x14ac:dyDescent="0.25">
      <c r="AA389" s="268">
        <v>44764</v>
      </c>
      <c r="AB389" s="269">
        <v>6458.7</v>
      </c>
      <c r="AC389" s="14" t="s">
        <v>1094</v>
      </c>
      <c r="AD389">
        <f t="shared" si="10"/>
        <v>144</v>
      </c>
    </row>
    <row r="390" spans="27:30" x14ac:dyDescent="0.25">
      <c r="AA390" s="268">
        <v>44767</v>
      </c>
      <c r="AB390" s="269">
        <v>6382.9</v>
      </c>
      <c r="AC390" s="14" t="s">
        <v>1095</v>
      </c>
      <c r="AD390">
        <f t="shared" si="10"/>
        <v>91.905000000000001</v>
      </c>
    </row>
    <row r="391" spans="27:30" x14ac:dyDescent="0.25">
      <c r="AA391" s="268">
        <v>44768</v>
      </c>
      <c r="AB391" s="269">
        <v>6399.65</v>
      </c>
      <c r="AC391" s="14" t="s">
        <v>1096</v>
      </c>
      <c r="AD391">
        <f t="shared" si="10"/>
        <v>54.944000000000003</v>
      </c>
    </row>
    <row r="392" spans="27:30" x14ac:dyDescent="0.25">
      <c r="AA392" s="268">
        <v>44769</v>
      </c>
      <c r="AB392" s="269">
        <v>6535.35</v>
      </c>
      <c r="AC392" s="14" t="s">
        <v>1097</v>
      </c>
      <c r="AD392">
        <f t="shared" si="10"/>
        <v>42.406999999999996</v>
      </c>
    </row>
    <row r="393" spans="27:30" x14ac:dyDescent="0.25">
      <c r="AA393" s="268">
        <v>44770</v>
      </c>
      <c r="AB393" s="269">
        <v>6471.25</v>
      </c>
      <c r="AC393" s="14" t="s">
        <v>1098</v>
      </c>
      <c r="AD393">
        <f t="shared" si="10"/>
        <v>46.246000000000002</v>
      </c>
    </row>
    <row r="394" spans="27:30" x14ac:dyDescent="0.25">
      <c r="AA394" s="268">
        <v>44771</v>
      </c>
      <c r="AB394" s="269">
        <v>6544.8</v>
      </c>
      <c r="AC394" s="14" t="s">
        <v>1099</v>
      </c>
      <c r="AD394">
        <f t="shared" si="10"/>
        <v>36.085000000000001</v>
      </c>
    </row>
    <row r="395" spans="27:30" x14ac:dyDescent="0.25">
      <c r="AA395" s="268">
        <v>44774</v>
      </c>
      <c r="AB395" s="269">
        <v>6657.65</v>
      </c>
      <c r="AC395" s="14" t="s">
        <v>1100</v>
      </c>
      <c r="AD395">
        <f t="shared" si="10"/>
        <v>41.433999999999997</v>
      </c>
    </row>
    <row r="396" spans="27:30" x14ac:dyDescent="0.25">
      <c r="AA396" s="268">
        <v>44775</v>
      </c>
      <c r="AB396" s="269">
        <v>6651.3</v>
      </c>
      <c r="AC396" s="14" t="s">
        <v>1101</v>
      </c>
      <c r="AD396">
        <f t="shared" si="10"/>
        <v>27.466000000000001</v>
      </c>
    </row>
    <row r="397" spans="27:30" x14ac:dyDescent="0.25">
      <c r="AA397" s="268">
        <v>44776</v>
      </c>
      <c r="AB397" s="269">
        <v>6602.7</v>
      </c>
      <c r="AC397" s="14" t="s">
        <v>1102</v>
      </c>
      <c r="AD397">
        <f t="shared" si="10"/>
        <v>26.635999999999999</v>
      </c>
    </row>
    <row r="398" spans="27:30" x14ac:dyDescent="0.25">
      <c r="AA398" s="268">
        <v>44777</v>
      </c>
      <c r="AB398" s="269">
        <v>6588.05</v>
      </c>
      <c r="AC398" s="14" t="s">
        <v>1103</v>
      </c>
      <c r="AD398">
        <f t="shared" si="10"/>
        <v>27.582000000000001</v>
      </c>
    </row>
    <row r="399" spans="27:30" x14ac:dyDescent="0.25">
      <c r="AA399" s="268">
        <v>44778</v>
      </c>
      <c r="AB399" s="269">
        <v>6775.2</v>
      </c>
      <c r="AC399" s="14" t="s">
        <v>1104</v>
      </c>
      <c r="AD399">
        <f t="shared" si="10"/>
        <v>74.125</v>
      </c>
    </row>
    <row r="400" spans="27:30" x14ac:dyDescent="0.25">
      <c r="AA400" s="268">
        <v>44781</v>
      </c>
      <c r="AB400" s="269">
        <v>6677.85</v>
      </c>
      <c r="AC400" s="14" t="s">
        <v>1105</v>
      </c>
      <c r="AD400">
        <f t="shared" si="10"/>
        <v>31.390999999999998</v>
      </c>
    </row>
    <row r="401" spans="27:30" x14ac:dyDescent="0.25">
      <c r="AA401" s="268">
        <v>44783</v>
      </c>
      <c r="AB401" s="269">
        <v>6595.65</v>
      </c>
      <c r="AC401" s="14" t="s">
        <v>1106</v>
      </c>
      <c r="AD401">
        <f t="shared" si="10"/>
        <v>27.129000000000001</v>
      </c>
    </row>
    <row r="402" spans="27:30" x14ac:dyDescent="0.25">
      <c r="AA402" s="268">
        <v>44784</v>
      </c>
      <c r="AB402" s="269">
        <v>6597.1</v>
      </c>
      <c r="AC402" s="14" t="s">
        <v>1107</v>
      </c>
      <c r="AD402">
        <f t="shared" si="10"/>
        <v>30.338999999999999</v>
      </c>
    </row>
    <row r="403" spans="27:30" x14ac:dyDescent="0.25">
      <c r="AA403" s="268">
        <v>44785</v>
      </c>
      <c r="AB403" s="269">
        <v>6559.3</v>
      </c>
      <c r="AC403" s="14" t="s">
        <v>1108</v>
      </c>
      <c r="AD403">
        <f t="shared" si="10"/>
        <v>26.992999999999999</v>
      </c>
    </row>
    <row r="404" spans="27:30" x14ac:dyDescent="0.25">
      <c r="AA404" s="268">
        <v>44789</v>
      </c>
      <c r="AB404" s="269">
        <v>6656</v>
      </c>
      <c r="AC404" s="14" t="s">
        <v>1109</v>
      </c>
      <c r="AD404">
        <f t="shared" si="10"/>
        <v>27.03</v>
      </c>
    </row>
    <row r="405" spans="27:30" x14ac:dyDescent="0.25">
      <c r="AA405" s="268">
        <v>44790</v>
      </c>
      <c r="AB405" s="269">
        <v>6609.85</v>
      </c>
      <c r="AC405" s="14" t="s">
        <v>1110</v>
      </c>
      <c r="AD405">
        <f t="shared" si="10"/>
        <v>34.106000000000002</v>
      </c>
    </row>
    <row r="406" spans="27:30" x14ac:dyDescent="0.25">
      <c r="AA406" s="268">
        <v>44791</v>
      </c>
      <c r="AB406" s="269">
        <v>6703.95</v>
      </c>
      <c r="AC406" s="14" t="s">
        <v>1111</v>
      </c>
      <c r="AD406">
        <f t="shared" si="10"/>
        <v>30.099</v>
      </c>
    </row>
    <row r="407" spans="27:30" x14ac:dyDescent="0.25">
      <c r="AA407" s="268">
        <v>44792</v>
      </c>
      <c r="AB407" s="269">
        <v>6647.55</v>
      </c>
      <c r="AC407" s="14" t="s">
        <v>1112</v>
      </c>
      <c r="AD407">
        <f t="shared" si="10"/>
        <v>64.129000000000005</v>
      </c>
    </row>
    <row r="408" spans="27:30" x14ac:dyDescent="0.25">
      <c r="AA408" s="268">
        <v>44795</v>
      </c>
      <c r="AB408" s="269">
        <v>6467.5</v>
      </c>
      <c r="AC408" s="14" t="s">
        <v>1113</v>
      </c>
      <c r="AD408">
        <f t="shared" si="10"/>
        <v>34.595999999999997</v>
      </c>
    </row>
    <row r="409" spans="27:30" x14ac:dyDescent="0.25">
      <c r="AA409" s="268">
        <v>44796</v>
      </c>
      <c r="AB409" s="269">
        <v>6495.4</v>
      </c>
      <c r="AC409" s="14" t="s">
        <v>1114</v>
      </c>
      <c r="AD409">
        <f t="shared" si="10"/>
        <v>37.930999999999997</v>
      </c>
    </row>
    <row r="410" spans="27:30" x14ac:dyDescent="0.25">
      <c r="AA410" s="268">
        <v>44797</v>
      </c>
      <c r="AB410" s="269">
        <v>6508.35</v>
      </c>
      <c r="AC410" s="14" t="s">
        <v>1115</v>
      </c>
      <c r="AD410">
        <f t="shared" si="10"/>
        <v>22.31</v>
      </c>
    </row>
    <row r="411" spans="27:30" x14ac:dyDescent="0.25">
      <c r="AA411" s="268">
        <v>44798</v>
      </c>
      <c r="AB411" s="269">
        <v>6475.05</v>
      </c>
      <c r="AC411" s="14" t="s">
        <v>1116</v>
      </c>
      <c r="AD411">
        <f t="shared" si="10"/>
        <v>47.069000000000003</v>
      </c>
    </row>
    <row r="412" spans="27:30" x14ac:dyDescent="0.25">
      <c r="AA412" s="268">
        <v>44799</v>
      </c>
      <c r="AB412" s="269">
        <v>6517.15</v>
      </c>
      <c r="AC412" s="14" t="s">
        <v>1117</v>
      </c>
      <c r="AD412">
        <f t="shared" si="10"/>
        <v>41.57</v>
      </c>
    </row>
    <row r="413" spans="27:30" x14ac:dyDescent="0.25">
      <c r="AA413" s="268">
        <v>44802</v>
      </c>
      <c r="AB413" s="269">
        <v>6506.3</v>
      </c>
      <c r="AC413" s="14" t="s">
        <v>1118</v>
      </c>
      <c r="AD413">
        <f t="shared" si="10"/>
        <v>36.646000000000001</v>
      </c>
    </row>
    <row r="414" spans="27:30" x14ac:dyDescent="0.25">
      <c r="AA414" s="268">
        <v>44803</v>
      </c>
      <c r="AB414" s="269">
        <v>6677.85</v>
      </c>
      <c r="AC414" s="14" t="s">
        <v>1119</v>
      </c>
      <c r="AD414">
        <f t="shared" si="10"/>
        <v>46.715000000000003</v>
      </c>
    </row>
    <row r="415" spans="27:30" x14ac:dyDescent="0.25">
      <c r="AA415" s="268">
        <v>44805</v>
      </c>
      <c r="AB415" s="269">
        <v>6632.5</v>
      </c>
      <c r="AC415" s="14" t="s">
        <v>1120</v>
      </c>
      <c r="AD415">
        <f t="shared" si="10"/>
        <v>38.622</v>
      </c>
    </row>
    <row r="416" spans="27:30" x14ac:dyDescent="0.25">
      <c r="AA416" s="268">
        <v>44806</v>
      </c>
      <c r="AB416" s="269">
        <v>6577.5</v>
      </c>
      <c r="AC416" s="14" t="s">
        <v>1121</v>
      </c>
      <c r="AD416">
        <f t="shared" si="10"/>
        <v>26.850999999999999</v>
      </c>
    </row>
    <row r="417" spans="27:30" x14ac:dyDescent="0.25">
      <c r="AA417" s="268">
        <v>44809</v>
      </c>
      <c r="AB417" s="269">
        <v>6521.95</v>
      </c>
      <c r="AC417" s="14" t="s">
        <v>1122</v>
      </c>
      <c r="AD417">
        <f t="shared" si="10"/>
        <v>38.530999999999999</v>
      </c>
    </row>
    <row r="418" spans="27:30" x14ac:dyDescent="0.25">
      <c r="AA418" s="268">
        <v>44810</v>
      </c>
      <c r="AB418" s="269">
        <v>6495.5</v>
      </c>
      <c r="AC418" s="14" t="s">
        <v>1123</v>
      </c>
      <c r="AD418">
        <f t="shared" si="10"/>
        <v>34.122</v>
      </c>
    </row>
    <row r="419" spans="27:30" x14ac:dyDescent="0.25">
      <c r="AA419" s="268">
        <v>44811</v>
      </c>
      <c r="AB419" s="269">
        <v>6770.8</v>
      </c>
      <c r="AC419" s="14" t="s">
        <v>1124</v>
      </c>
      <c r="AD419">
        <f t="shared" si="10"/>
        <v>91.86</v>
      </c>
    </row>
    <row r="420" spans="27:30" x14ac:dyDescent="0.25">
      <c r="AA420" s="268">
        <v>44812</v>
      </c>
      <c r="AB420" s="269">
        <v>6919.65</v>
      </c>
      <c r="AC420" s="14" t="s">
        <v>1125</v>
      </c>
      <c r="AD420">
        <f t="shared" si="10"/>
        <v>87.968999999999994</v>
      </c>
    </row>
    <row r="421" spans="27:30" x14ac:dyDescent="0.25">
      <c r="AA421" s="268">
        <v>44813</v>
      </c>
      <c r="AB421" s="269">
        <v>6783.65</v>
      </c>
      <c r="AC421" s="14" t="s">
        <v>1126</v>
      </c>
      <c r="AD421">
        <f t="shared" si="10"/>
        <v>56.706000000000003</v>
      </c>
    </row>
    <row r="422" spans="27:30" x14ac:dyDescent="0.25">
      <c r="AA422" s="268">
        <v>44816</v>
      </c>
      <c r="AB422" s="269">
        <v>6869.6</v>
      </c>
      <c r="AC422" s="14" t="s">
        <v>1127</v>
      </c>
      <c r="AD422">
        <f t="shared" si="10"/>
        <v>48.804000000000002</v>
      </c>
    </row>
    <row r="423" spans="27:30" x14ac:dyDescent="0.25">
      <c r="AA423" s="268">
        <v>44817</v>
      </c>
      <c r="AB423" s="269">
        <v>6896.3</v>
      </c>
      <c r="AC423" s="14" t="s">
        <v>1128</v>
      </c>
      <c r="AD423">
        <f t="shared" si="10"/>
        <v>41.23</v>
      </c>
    </row>
    <row r="424" spans="27:30" x14ac:dyDescent="0.25">
      <c r="AA424" s="268">
        <v>44818</v>
      </c>
      <c r="AB424" s="269">
        <v>6875.75</v>
      </c>
      <c r="AC424" s="14" t="s">
        <v>1129</v>
      </c>
      <c r="AD424">
        <f t="shared" si="10"/>
        <v>54.395000000000003</v>
      </c>
    </row>
    <row r="425" spans="27:30" x14ac:dyDescent="0.25">
      <c r="AA425" s="268">
        <v>44819</v>
      </c>
      <c r="AB425" s="269">
        <v>6790.05</v>
      </c>
      <c r="AC425" s="14" t="s">
        <v>1130</v>
      </c>
      <c r="AD425">
        <f t="shared" si="10"/>
        <v>43.758000000000003</v>
      </c>
    </row>
    <row r="426" spans="27:30" x14ac:dyDescent="0.25">
      <c r="AA426" s="268">
        <v>44820</v>
      </c>
      <c r="AB426" s="269">
        <v>6481.4</v>
      </c>
      <c r="AC426" s="14" t="s">
        <v>1131</v>
      </c>
      <c r="AD426">
        <f t="shared" si="10"/>
        <v>83.164000000000001</v>
      </c>
    </row>
    <row r="427" spans="27:30" x14ac:dyDescent="0.25">
      <c r="AA427" s="268">
        <v>44823</v>
      </c>
      <c r="AB427" s="269">
        <v>6459.85</v>
      </c>
      <c r="AC427" s="14" t="s">
        <v>1132</v>
      </c>
      <c r="AD427">
        <f t="shared" si="10"/>
        <v>80.881</v>
      </c>
    </row>
    <row r="428" spans="27:30" x14ac:dyDescent="0.25">
      <c r="AA428" s="268">
        <v>44824</v>
      </c>
      <c r="AB428" s="269">
        <v>6484.65</v>
      </c>
      <c r="AC428" s="14" t="s">
        <v>1133</v>
      </c>
      <c r="AD428">
        <f t="shared" si="10"/>
        <v>37.383000000000003</v>
      </c>
    </row>
    <row r="429" spans="27:30" x14ac:dyDescent="0.25">
      <c r="AA429" s="268">
        <v>44825</v>
      </c>
      <c r="AB429" s="269">
        <v>6313.75</v>
      </c>
      <c r="AC429" s="14" t="s">
        <v>1134</v>
      </c>
      <c r="AD429">
        <f t="shared" si="10"/>
        <v>61.616999999999997</v>
      </c>
    </row>
    <row r="430" spans="27:30" x14ac:dyDescent="0.25">
      <c r="AA430" s="268">
        <v>44826</v>
      </c>
      <c r="AB430" s="269">
        <v>6239.4</v>
      </c>
      <c r="AC430" s="14" t="s">
        <v>1135</v>
      </c>
      <c r="AD430">
        <f t="shared" si="10"/>
        <v>49.21</v>
      </c>
    </row>
    <row r="431" spans="27:30" x14ac:dyDescent="0.25">
      <c r="AA431" s="268">
        <v>44827</v>
      </c>
      <c r="AB431" s="269">
        <v>6139.95</v>
      </c>
      <c r="AC431" s="14" t="s">
        <v>1136</v>
      </c>
      <c r="AD431">
        <f t="shared" si="10"/>
        <v>57.052999999999997</v>
      </c>
    </row>
    <row r="432" spans="27:30" x14ac:dyDescent="0.25">
      <c r="AA432" s="268">
        <v>44830</v>
      </c>
      <c r="AB432" s="269">
        <v>6177.1</v>
      </c>
      <c r="AC432" s="14" t="s">
        <v>1137</v>
      </c>
      <c r="AD432">
        <f t="shared" si="10"/>
        <v>49.746000000000002</v>
      </c>
    </row>
    <row r="433" spans="27:30" x14ac:dyDescent="0.25">
      <c r="AA433" s="268">
        <v>44831</v>
      </c>
      <c r="AB433" s="269">
        <v>6192.85</v>
      </c>
      <c r="AC433" s="14" t="s">
        <v>1138</v>
      </c>
      <c r="AD433">
        <f t="shared" si="10"/>
        <v>46.795999999999999</v>
      </c>
    </row>
    <row r="434" spans="27:30" x14ac:dyDescent="0.25">
      <c r="AA434" s="268">
        <v>44832</v>
      </c>
      <c r="AB434" s="269">
        <v>6172.95</v>
      </c>
      <c r="AC434" s="14" t="s">
        <v>1139</v>
      </c>
      <c r="AD434">
        <f t="shared" si="10"/>
        <v>37.89</v>
      </c>
    </row>
    <row r="435" spans="27:30" x14ac:dyDescent="0.25">
      <c r="AA435" s="268">
        <v>44833</v>
      </c>
      <c r="AB435" s="269">
        <v>6175.9</v>
      </c>
      <c r="AC435" s="14" t="s">
        <v>1140</v>
      </c>
      <c r="AD435">
        <f t="shared" si="10"/>
        <v>40.756999999999998</v>
      </c>
    </row>
    <row r="436" spans="27:30" x14ac:dyDescent="0.25">
      <c r="AA436" s="268">
        <v>44834</v>
      </c>
      <c r="AB436" s="269">
        <v>6255.1</v>
      </c>
      <c r="AC436" s="14" t="s">
        <v>1141</v>
      </c>
      <c r="AD436">
        <f t="shared" si="10"/>
        <v>44.289000000000001</v>
      </c>
    </row>
    <row r="437" spans="27:30" x14ac:dyDescent="0.25">
      <c r="AA437" s="268">
        <v>44837</v>
      </c>
      <c r="AB437" s="269">
        <v>6242.55</v>
      </c>
      <c r="AC437" s="14" t="s">
        <v>1142</v>
      </c>
      <c r="AD437">
        <f t="shared" si="10"/>
        <v>33.792999999999999</v>
      </c>
    </row>
    <row r="438" spans="27:30" x14ac:dyDescent="0.25">
      <c r="AA438" s="268">
        <v>44838</v>
      </c>
      <c r="AB438" s="269">
        <v>6307.55</v>
      </c>
      <c r="AC438" s="14" t="s">
        <v>1143</v>
      </c>
      <c r="AD438">
        <f t="shared" si="10"/>
        <v>30.727</v>
      </c>
    </row>
    <row r="439" spans="27:30" x14ac:dyDescent="0.25">
      <c r="AA439" s="268">
        <v>44840</v>
      </c>
      <c r="AB439" s="269">
        <v>6287.25</v>
      </c>
      <c r="AC439" s="14" t="s">
        <v>1144</v>
      </c>
      <c r="AD439">
        <f t="shared" si="10"/>
        <v>49.561999999999998</v>
      </c>
    </row>
    <row r="440" spans="27:30" x14ac:dyDescent="0.25">
      <c r="AA440" s="268">
        <v>44841</v>
      </c>
      <c r="AB440" s="269">
        <v>6203.5</v>
      </c>
      <c r="AC440" s="14" t="s">
        <v>1145</v>
      </c>
      <c r="AD440">
        <f t="shared" si="10"/>
        <v>45.488</v>
      </c>
    </row>
    <row r="441" spans="27:30" x14ac:dyDescent="0.25">
      <c r="AA441" s="268">
        <v>44844</v>
      </c>
      <c r="AB441" s="269">
        <v>6149.9</v>
      </c>
      <c r="AC441" s="14" t="s">
        <v>1146</v>
      </c>
      <c r="AD441">
        <f t="shared" si="10"/>
        <v>28.263999999999999</v>
      </c>
    </row>
    <row r="442" spans="27:30" x14ac:dyDescent="0.25">
      <c r="AA442" s="268">
        <v>44845</v>
      </c>
      <c r="AB442" s="269">
        <v>6076.75</v>
      </c>
      <c r="AC442" s="14" t="s">
        <v>1147</v>
      </c>
      <c r="AD442">
        <f t="shared" si="10"/>
        <v>27.652999999999999</v>
      </c>
    </row>
    <row r="443" spans="27:30" x14ac:dyDescent="0.25">
      <c r="AA443" s="268">
        <v>44846</v>
      </c>
      <c r="AB443" s="269">
        <v>6177.7</v>
      </c>
      <c r="AC443" s="14" t="s">
        <v>1148</v>
      </c>
      <c r="AD443">
        <f t="shared" si="10"/>
        <v>22.335000000000001</v>
      </c>
    </row>
    <row r="444" spans="27:30" x14ac:dyDescent="0.25">
      <c r="AA444" s="268">
        <v>44847</v>
      </c>
      <c r="AB444" s="269">
        <v>6181.75</v>
      </c>
      <c r="AC444" s="14" t="s">
        <v>1149</v>
      </c>
      <c r="AD444">
        <f t="shared" si="10"/>
        <v>31.436</v>
      </c>
    </row>
    <row r="445" spans="27:30" x14ac:dyDescent="0.25">
      <c r="AA445" s="268">
        <v>44848</v>
      </c>
      <c r="AB445" s="269">
        <v>6192</v>
      </c>
      <c r="AC445" s="14" t="s">
        <v>1150</v>
      </c>
      <c r="AD445">
        <f t="shared" si="10"/>
        <v>24.928999999999998</v>
      </c>
    </row>
    <row r="446" spans="27:30" x14ac:dyDescent="0.25">
      <c r="AA446" s="268">
        <v>44851</v>
      </c>
      <c r="AB446" s="269">
        <v>6271.5</v>
      </c>
      <c r="AC446" s="14" t="s">
        <v>1151</v>
      </c>
      <c r="AD446">
        <f t="shared" si="10"/>
        <v>45.390999999999998</v>
      </c>
    </row>
    <row r="447" spans="27:30" x14ac:dyDescent="0.25">
      <c r="AA447" s="268">
        <v>44852</v>
      </c>
      <c r="AB447" s="269">
        <v>6346.75</v>
      </c>
      <c r="AC447" s="14" t="s">
        <v>1152</v>
      </c>
      <c r="AD447">
        <f t="shared" si="10"/>
        <v>55.828000000000003</v>
      </c>
    </row>
    <row r="448" spans="27:30" x14ac:dyDescent="0.25">
      <c r="AA448" s="268">
        <v>44853</v>
      </c>
      <c r="AB448" s="269">
        <v>6398.4</v>
      </c>
      <c r="AC448" s="14" t="s">
        <v>1153</v>
      </c>
      <c r="AD448">
        <f t="shared" si="10"/>
        <v>91.915000000000006</v>
      </c>
    </row>
    <row r="449" spans="27:30" x14ac:dyDescent="0.25">
      <c r="AA449" s="268">
        <v>44854</v>
      </c>
      <c r="AB449" s="269">
        <v>6302.3</v>
      </c>
      <c r="AC449" s="14" t="s">
        <v>1154</v>
      </c>
      <c r="AD449">
        <f t="shared" si="10"/>
        <v>47.695999999999998</v>
      </c>
    </row>
    <row r="450" spans="27:30" x14ac:dyDescent="0.25">
      <c r="AA450" s="268">
        <v>44855</v>
      </c>
      <c r="AB450" s="269">
        <v>6362.9</v>
      </c>
      <c r="AC450" s="14" t="s">
        <v>1155</v>
      </c>
      <c r="AD450">
        <f t="shared" si="10"/>
        <v>30.79</v>
      </c>
    </row>
    <row r="451" spans="27:30" x14ac:dyDescent="0.25">
      <c r="AA451" s="268">
        <v>44858</v>
      </c>
      <c r="AB451" s="269">
        <v>6394.6</v>
      </c>
      <c r="AC451" s="14" t="s">
        <v>1156</v>
      </c>
      <c r="AD451">
        <f t="shared" si="10"/>
        <v>5.6529999999999996</v>
      </c>
    </row>
    <row r="452" spans="27:30" x14ac:dyDescent="0.25">
      <c r="AA452" s="268">
        <v>44859</v>
      </c>
      <c r="AB452" s="269">
        <v>6415.7</v>
      </c>
      <c r="AC452" s="14" t="s">
        <v>1157</v>
      </c>
      <c r="AD452">
        <f t="shared" ref="AD452:AD515" si="11">(IF(RIGHT(AC452,1)="K",
    VALUE(LEFT(AC452,LEN(AC452)-1))*1000,
    IF(RIGHT(AC452,1)="M",
       VALUE(LEFT(AC452,LEN(AC452)-1))*1000000,
       VALUE(AC452)
    )
))/10000</f>
        <v>31.35</v>
      </c>
    </row>
    <row r="453" spans="27:30" x14ac:dyDescent="0.25">
      <c r="AA453" s="268">
        <v>44861</v>
      </c>
      <c r="AB453" s="269">
        <v>6436.8</v>
      </c>
      <c r="AC453" s="14" t="s">
        <v>1158</v>
      </c>
      <c r="AD453">
        <f t="shared" si="11"/>
        <v>24.856000000000002</v>
      </c>
    </row>
    <row r="454" spans="27:30" x14ac:dyDescent="0.25">
      <c r="AA454" s="268">
        <v>44862</v>
      </c>
      <c r="AB454" s="269">
        <v>6445.85</v>
      </c>
      <c r="AC454" s="14" t="s">
        <v>1159</v>
      </c>
      <c r="AD454">
        <f t="shared" si="11"/>
        <v>15.183</v>
      </c>
    </row>
    <row r="455" spans="27:30" x14ac:dyDescent="0.25">
      <c r="AA455" s="268">
        <v>44865</v>
      </c>
      <c r="AB455" s="269">
        <v>6714.95</v>
      </c>
      <c r="AC455" s="14" t="s">
        <v>1160</v>
      </c>
      <c r="AD455">
        <f t="shared" si="11"/>
        <v>53.811</v>
      </c>
    </row>
    <row r="456" spans="27:30" x14ac:dyDescent="0.25">
      <c r="AA456" s="268">
        <v>44866</v>
      </c>
      <c r="AB456" s="269">
        <v>6820.9</v>
      </c>
      <c r="AC456" s="14" t="s">
        <v>1161</v>
      </c>
      <c r="AD456">
        <f t="shared" si="11"/>
        <v>42.985999999999997</v>
      </c>
    </row>
    <row r="457" spans="27:30" x14ac:dyDescent="0.25">
      <c r="AA457" s="268">
        <v>44867</v>
      </c>
      <c r="AB457" s="269">
        <v>6779.9</v>
      </c>
      <c r="AC457" s="14" t="s">
        <v>1162</v>
      </c>
      <c r="AD457">
        <f t="shared" si="11"/>
        <v>25.562999999999999</v>
      </c>
    </row>
    <row r="458" spans="27:30" x14ac:dyDescent="0.25">
      <c r="AA458" s="268">
        <v>44868</v>
      </c>
      <c r="AB458" s="269">
        <v>6728.25</v>
      </c>
      <c r="AC458" s="14" t="s">
        <v>1163</v>
      </c>
      <c r="AD458">
        <f t="shared" si="11"/>
        <v>21.77</v>
      </c>
    </row>
    <row r="459" spans="27:30" x14ac:dyDescent="0.25">
      <c r="AA459" s="268">
        <v>44869</v>
      </c>
      <c r="AB459" s="269">
        <v>6893.05</v>
      </c>
      <c r="AC459" s="14" t="s">
        <v>1164</v>
      </c>
      <c r="AD459">
        <f t="shared" si="11"/>
        <v>64.641000000000005</v>
      </c>
    </row>
    <row r="460" spans="27:30" x14ac:dyDescent="0.25">
      <c r="AA460" s="268">
        <v>44872</v>
      </c>
      <c r="AB460" s="269">
        <v>6973.5</v>
      </c>
      <c r="AC460" s="14" t="s">
        <v>1165</v>
      </c>
      <c r="AD460">
        <f t="shared" si="11"/>
        <v>35.334000000000003</v>
      </c>
    </row>
    <row r="461" spans="27:30" x14ac:dyDescent="0.25">
      <c r="AA461" s="268">
        <v>44874</v>
      </c>
      <c r="AB461" s="269">
        <v>6903.5</v>
      </c>
      <c r="AC461" s="14" t="s">
        <v>1166</v>
      </c>
      <c r="AD461">
        <f t="shared" si="11"/>
        <v>31.274999999999999</v>
      </c>
    </row>
    <row r="462" spans="27:30" x14ac:dyDescent="0.25">
      <c r="AA462" s="268">
        <v>44875</v>
      </c>
      <c r="AB462" s="269">
        <v>6801.3</v>
      </c>
      <c r="AC462" s="14" t="s">
        <v>1167</v>
      </c>
      <c r="AD462">
        <f t="shared" si="11"/>
        <v>33.04</v>
      </c>
    </row>
    <row r="463" spans="27:30" x14ac:dyDescent="0.25">
      <c r="AA463" s="268">
        <v>44876</v>
      </c>
      <c r="AB463" s="269">
        <v>6813.2</v>
      </c>
      <c r="AC463" s="14" t="s">
        <v>1168</v>
      </c>
      <c r="AD463">
        <f t="shared" si="11"/>
        <v>29.32</v>
      </c>
    </row>
    <row r="464" spans="27:30" x14ac:dyDescent="0.25">
      <c r="AA464" s="268">
        <v>44879</v>
      </c>
      <c r="AB464" s="269">
        <v>6854.4</v>
      </c>
      <c r="AC464" s="14" t="s">
        <v>1169</v>
      </c>
      <c r="AD464">
        <f t="shared" si="11"/>
        <v>48.448</v>
      </c>
    </row>
    <row r="465" spans="27:30" x14ac:dyDescent="0.25">
      <c r="AA465" s="268">
        <v>44880</v>
      </c>
      <c r="AB465" s="269">
        <v>6964.55</v>
      </c>
      <c r="AC465" s="14" t="s">
        <v>1170</v>
      </c>
      <c r="AD465">
        <f t="shared" si="11"/>
        <v>62.527000000000001</v>
      </c>
    </row>
    <row r="466" spans="27:30" x14ac:dyDescent="0.25">
      <c r="AA466" s="268">
        <v>44881</v>
      </c>
      <c r="AB466" s="269">
        <v>6912</v>
      </c>
      <c r="AC466" s="14" t="s">
        <v>1171</v>
      </c>
      <c r="AD466">
        <f t="shared" si="11"/>
        <v>30.734999999999999</v>
      </c>
    </row>
    <row r="467" spans="27:30" x14ac:dyDescent="0.25">
      <c r="AA467" s="268">
        <v>44882</v>
      </c>
      <c r="AB467" s="269">
        <v>6871.85</v>
      </c>
      <c r="AC467" s="14" t="s">
        <v>1172</v>
      </c>
      <c r="AD467">
        <f t="shared" si="11"/>
        <v>19.68</v>
      </c>
    </row>
    <row r="468" spans="27:30" x14ac:dyDescent="0.25">
      <c r="AA468" s="268">
        <v>44883</v>
      </c>
      <c r="AB468" s="269">
        <v>6814.45</v>
      </c>
      <c r="AC468" s="14" t="s">
        <v>1173</v>
      </c>
      <c r="AD468">
        <f t="shared" si="11"/>
        <v>29.7</v>
      </c>
    </row>
    <row r="469" spans="27:30" x14ac:dyDescent="0.25">
      <c r="AA469" s="268">
        <v>44886</v>
      </c>
      <c r="AB469" s="269">
        <v>6754.85</v>
      </c>
      <c r="AC469" s="14" t="s">
        <v>1174</v>
      </c>
      <c r="AD469">
        <f t="shared" si="11"/>
        <v>24.95</v>
      </c>
    </row>
    <row r="470" spans="27:30" x14ac:dyDescent="0.25">
      <c r="AA470" s="268">
        <v>44887</v>
      </c>
      <c r="AB470" s="269">
        <v>6843.05</v>
      </c>
      <c r="AC470" s="14" t="s">
        <v>1175</v>
      </c>
      <c r="AD470">
        <f t="shared" si="11"/>
        <v>39.350999999999999</v>
      </c>
    </row>
    <row r="471" spans="27:30" x14ac:dyDescent="0.25">
      <c r="AA471" s="268">
        <v>44888</v>
      </c>
      <c r="AB471" s="269">
        <v>6824.05</v>
      </c>
      <c r="AC471" s="14" t="s">
        <v>1176</v>
      </c>
      <c r="AD471">
        <f t="shared" si="11"/>
        <v>25.895</v>
      </c>
    </row>
    <row r="472" spans="27:30" x14ac:dyDescent="0.25">
      <c r="AA472" s="268">
        <v>44889</v>
      </c>
      <c r="AB472" s="269">
        <v>6860.2</v>
      </c>
      <c r="AC472" s="14" t="s">
        <v>1177</v>
      </c>
      <c r="AD472">
        <f t="shared" si="11"/>
        <v>29.722999999999999</v>
      </c>
    </row>
    <row r="473" spans="27:30" x14ac:dyDescent="0.25">
      <c r="AA473" s="268">
        <v>44890</v>
      </c>
      <c r="AB473" s="269">
        <v>6874</v>
      </c>
      <c r="AC473" s="14" t="s">
        <v>1178</v>
      </c>
      <c r="AD473">
        <f t="shared" si="11"/>
        <v>37.789000000000001</v>
      </c>
    </row>
    <row r="474" spans="27:30" x14ac:dyDescent="0.25">
      <c r="AA474" s="268">
        <v>44893</v>
      </c>
      <c r="AB474" s="269">
        <v>6892.3</v>
      </c>
      <c r="AC474" s="14" t="s">
        <v>1179</v>
      </c>
      <c r="AD474">
        <f t="shared" si="11"/>
        <v>23.943999999999999</v>
      </c>
    </row>
    <row r="475" spans="27:30" x14ac:dyDescent="0.25">
      <c r="AA475" s="268">
        <v>44894</v>
      </c>
      <c r="AB475" s="269">
        <v>6928.9</v>
      </c>
      <c r="AC475" s="14" t="s">
        <v>1180</v>
      </c>
      <c r="AD475">
        <f t="shared" si="11"/>
        <v>33.627000000000002</v>
      </c>
    </row>
    <row r="476" spans="27:30" x14ac:dyDescent="0.25">
      <c r="AA476" s="268">
        <v>44895</v>
      </c>
      <c r="AB476" s="269">
        <v>7077</v>
      </c>
      <c r="AC476" s="14" t="s">
        <v>1181</v>
      </c>
      <c r="AD476">
        <f t="shared" si="11"/>
        <v>48.996000000000002</v>
      </c>
    </row>
    <row r="477" spans="27:30" x14ac:dyDescent="0.25">
      <c r="AA477" s="268">
        <v>44896</v>
      </c>
      <c r="AB477" s="269">
        <v>7274</v>
      </c>
      <c r="AC477" s="14" t="s">
        <v>1182</v>
      </c>
      <c r="AD477">
        <f t="shared" si="11"/>
        <v>109</v>
      </c>
    </row>
    <row r="478" spans="27:30" x14ac:dyDescent="0.25">
      <c r="AA478" s="268">
        <v>44897</v>
      </c>
      <c r="AB478" s="269">
        <v>7237.05</v>
      </c>
      <c r="AC478" s="14" t="s">
        <v>1183</v>
      </c>
      <c r="AD478">
        <f t="shared" si="11"/>
        <v>44.274000000000001</v>
      </c>
    </row>
    <row r="479" spans="27:30" x14ac:dyDescent="0.25">
      <c r="AA479" s="268">
        <v>44900</v>
      </c>
      <c r="AB479" s="269">
        <v>7198.6</v>
      </c>
      <c r="AC479" s="14" t="s">
        <v>1184</v>
      </c>
      <c r="AD479">
        <f t="shared" si="11"/>
        <v>23.588999999999999</v>
      </c>
    </row>
    <row r="480" spans="27:30" x14ac:dyDescent="0.25">
      <c r="AA480" s="268">
        <v>44901</v>
      </c>
      <c r="AB480" s="269">
        <v>7242.05</v>
      </c>
      <c r="AC480" s="14" t="s">
        <v>1185</v>
      </c>
      <c r="AD480">
        <f t="shared" si="11"/>
        <v>31.283999999999999</v>
      </c>
    </row>
    <row r="481" spans="27:30" x14ac:dyDescent="0.25">
      <c r="AA481" s="268">
        <v>44902</v>
      </c>
      <c r="AB481" s="269">
        <v>7162.2</v>
      </c>
      <c r="AC481" s="14" t="s">
        <v>1186</v>
      </c>
      <c r="AD481">
        <f t="shared" si="11"/>
        <v>32.494</v>
      </c>
    </row>
    <row r="482" spans="27:30" x14ac:dyDescent="0.25">
      <c r="AA482" s="268">
        <v>44903</v>
      </c>
      <c r="AB482" s="269">
        <v>7179.05</v>
      </c>
      <c r="AC482" s="14" t="s">
        <v>1187</v>
      </c>
      <c r="AD482">
        <f t="shared" si="11"/>
        <v>26.283000000000001</v>
      </c>
    </row>
    <row r="483" spans="27:30" x14ac:dyDescent="0.25">
      <c r="AA483" s="268">
        <v>44904</v>
      </c>
      <c r="AB483" s="269">
        <v>7077.4</v>
      </c>
      <c r="AC483" s="14" t="s">
        <v>1188</v>
      </c>
      <c r="AD483">
        <f t="shared" si="11"/>
        <v>21.158000000000001</v>
      </c>
    </row>
    <row r="484" spans="27:30" x14ac:dyDescent="0.25">
      <c r="AA484" s="268">
        <v>44907</v>
      </c>
      <c r="AB484" s="269">
        <v>7146.85</v>
      </c>
      <c r="AC484" s="14" t="s">
        <v>1189</v>
      </c>
      <c r="AD484">
        <f t="shared" si="11"/>
        <v>26.057999999999996</v>
      </c>
    </row>
    <row r="485" spans="27:30" x14ac:dyDescent="0.25">
      <c r="AA485" s="268">
        <v>44908</v>
      </c>
      <c r="AB485" s="269">
        <v>7225.3</v>
      </c>
      <c r="AC485" s="14" t="s">
        <v>1190</v>
      </c>
      <c r="AD485">
        <f t="shared" si="11"/>
        <v>28.571000000000002</v>
      </c>
    </row>
    <row r="486" spans="27:30" x14ac:dyDescent="0.25">
      <c r="AA486" s="268">
        <v>44909</v>
      </c>
      <c r="AB486" s="269">
        <v>7197.55</v>
      </c>
      <c r="AC486" s="14" t="s">
        <v>1191</v>
      </c>
      <c r="AD486">
        <f t="shared" si="11"/>
        <v>22.617999999999999</v>
      </c>
    </row>
    <row r="487" spans="27:30" x14ac:dyDescent="0.25">
      <c r="AA487" s="268">
        <v>44910</v>
      </c>
      <c r="AB487" s="269">
        <v>7113.9</v>
      </c>
      <c r="AC487" s="14" t="s">
        <v>1192</v>
      </c>
      <c r="AD487">
        <f t="shared" si="11"/>
        <v>24.161000000000001</v>
      </c>
    </row>
    <row r="488" spans="27:30" x14ac:dyDescent="0.25">
      <c r="AA488" s="268">
        <v>44911</v>
      </c>
      <c r="AB488" s="269">
        <v>7014.1</v>
      </c>
      <c r="AC488" s="14" t="s">
        <v>1193</v>
      </c>
      <c r="AD488">
        <f t="shared" si="11"/>
        <v>28.518000000000001</v>
      </c>
    </row>
    <row r="489" spans="27:30" x14ac:dyDescent="0.25">
      <c r="AA489" s="268">
        <v>44914</v>
      </c>
      <c r="AB489" s="269">
        <v>7076</v>
      </c>
      <c r="AC489" s="14" t="s">
        <v>1194</v>
      </c>
      <c r="AD489">
        <f t="shared" si="11"/>
        <v>25.122</v>
      </c>
    </row>
    <row r="490" spans="27:30" x14ac:dyDescent="0.25">
      <c r="AA490" s="268">
        <v>44915</v>
      </c>
      <c r="AB490" s="269">
        <v>7098</v>
      </c>
      <c r="AC490" s="14" t="s">
        <v>1195</v>
      </c>
      <c r="AD490">
        <f t="shared" si="11"/>
        <v>48.811999999999998</v>
      </c>
    </row>
    <row r="491" spans="27:30" x14ac:dyDescent="0.25">
      <c r="AA491" s="268">
        <v>44916</v>
      </c>
      <c r="AB491" s="269">
        <v>6950.7</v>
      </c>
      <c r="AC491" s="14" t="s">
        <v>1196</v>
      </c>
      <c r="AD491">
        <f t="shared" si="11"/>
        <v>38.817</v>
      </c>
    </row>
    <row r="492" spans="27:30" x14ac:dyDescent="0.25">
      <c r="AA492" s="268">
        <v>44917</v>
      </c>
      <c r="AB492" s="269">
        <v>7012.4</v>
      </c>
      <c r="AC492" s="14" t="s">
        <v>1197</v>
      </c>
      <c r="AD492">
        <f t="shared" si="11"/>
        <v>33.871000000000002</v>
      </c>
    </row>
    <row r="493" spans="27:30" x14ac:dyDescent="0.25">
      <c r="AA493" s="268">
        <v>44918</v>
      </c>
      <c r="AB493" s="269">
        <v>6909.4</v>
      </c>
      <c r="AC493" s="14" t="s">
        <v>1198</v>
      </c>
      <c r="AD493">
        <f t="shared" si="11"/>
        <v>28.966000000000001</v>
      </c>
    </row>
    <row r="494" spans="27:30" x14ac:dyDescent="0.25">
      <c r="AA494" s="268">
        <v>44921</v>
      </c>
      <c r="AB494" s="269">
        <v>7074</v>
      </c>
      <c r="AC494" s="14" t="s">
        <v>1199</v>
      </c>
      <c r="AD494">
        <f t="shared" si="11"/>
        <v>32.841000000000001</v>
      </c>
    </row>
    <row r="495" spans="27:30" x14ac:dyDescent="0.25">
      <c r="AA495" s="268">
        <v>44922</v>
      </c>
      <c r="AB495" s="269">
        <v>7107.2</v>
      </c>
      <c r="AC495" s="14" t="s">
        <v>1200</v>
      </c>
      <c r="AD495">
        <f t="shared" si="11"/>
        <v>29.513999999999999</v>
      </c>
    </row>
    <row r="496" spans="27:30" x14ac:dyDescent="0.25">
      <c r="AA496" s="268">
        <v>44923</v>
      </c>
      <c r="AB496" s="269">
        <v>7053.8</v>
      </c>
      <c r="AC496" s="14" t="s">
        <v>1201</v>
      </c>
      <c r="AD496">
        <f t="shared" si="11"/>
        <v>26.001999999999995</v>
      </c>
    </row>
    <row r="497" spans="27:30" x14ac:dyDescent="0.25">
      <c r="AA497" s="268">
        <v>44924</v>
      </c>
      <c r="AB497" s="269">
        <v>6982.2</v>
      </c>
      <c r="AC497" s="14" t="s">
        <v>1202</v>
      </c>
      <c r="AD497">
        <f t="shared" si="11"/>
        <v>44.911999999999999</v>
      </c>
    </row>
    <row r="498" spans="27:30" x14ac:dyDescent="0.25">
      <c r="AA498" s="268">
        <v>44925</v>
      </c>
      <c r="AB498" s="269">
        <v>6959.05</v>
      </c>
      <c r="AC498" s="14" t="s">
        <v>1203</v>
      </c>
      <c r="AD498">
        <f t="shared" si="11"/>
        <v>23.231999999999999</v>
      </c>
    </row>
    <row r="499" spans="27:30" x14ac:dyDescent="0.25">
      <c r="AA499" s="268">
        <v>44928</v>
      </c>
      <c r="AB499" s="269">
        <v>7017.95</v>
      </c>
      <c r="AC499" s="14" t="s">
        <v>1204</v>
      </c>
      <c r="AD499">
        <f t="shared" si="11"/>
        <v>21.257999999999999</v>
      </c>
    </row>
    <row r="500" spans="27:30" x14ac:dyDescent="0.25">
      <c r="AA500" s="268">
        <v>44929</v>
      </c>
      <c r="AB500" s="269">
        <v>6993.6</v>
      </c>
      <c r="AC500" s="14" t="s">
        <v>1205</v>
      </c>
      <c r="AD500">
        <f t="shared" si="11"/>
        <v>18.832000000000001</v>
      </c>
    </row>
    <row r="501" spans="27:30" x14ac:dyDescent="0.25">
      <c r="AA501" s="268">
        <v>44930</v>
      </c>
      <c r="AB501" s="269">
        <v>7005.35</v>
      </c>
      <c r="AC501" s="14" t="s">
        <v>1045</v>
      </c>
      <c r="AD501">
        <f t="shared" si="11"/>
        <v>31.922000000000001</v>
      </c>
    </row>
    <row r="502" spans="27:30" x14ac:dyDescent="0.25">
      <c r="AA502" s="268">
        <v>44931</v>
      </c>
      <c r="AB502" s="269">
        <v>7007</v>
      </c>
      <c r="AC502" s="14" t="s">
        <v>1206</v>
      </c>
      <c r="AD502">
        <f t="shared" si="11"/>
        <v>23.657</v>
      </c>
    </row>
    <row r="503" spans="27:30" x14ac:dyDescent="0.25">
      <c r="AA503" s="268">
        <v>44932</v>
      </c>
      <c r="AB503" s="269">
        <v>6982.2</v>
      </c>
      <c r="AC503" s="14" t="s">
        <v>1207</v>
      </c>
      <c r="AD503">
        <f t="shared" si="11"/>
        <v>16.018000000000001</v>
      </c>
    </row>
    <row r="504" spans="27:30" x14ac:dyDescent="0.25">
      <c r="AA504" s="268">
        <v>44935</v>
      </c>
      <c r="AB504" s="269">
        <v>7034.85</v>
      </c>
      <c r="AC504" s="14" t="s">
        <v>1208</v>
      </c>
      <c r="AD504">
        <f t="shared" si="11"/>
        <v>29.847000000000001</v>
      </c>
    </row>
    <row r="505" spans="27:30" x14ac:dyDescent="0.25">
      <c r="AA505" s="268">
        <v>44936</v>
      </c>
      <c r="AB505" s="269">
        <v>6920.3</v>
      </c>
      <c r="AC505" s="14" t="s">
        <v>1209</v>
      </c>
      <c r="AD505">
        <f t="shared" si="11"/>
        <v>26.388999999999999</v>
      </c>
    </row>
    <row r="506" spans="27:30" x14ac:dyDescent="0.25">
      <c r="AA506" s="268">
        <v>44937</v>
      </c>
      <c r="AB506" s="269">
        <v>7021.95</v>
      </c>
      <c r="AC506" s="14" t="s">
        <v>1210</v>
      </c>
      <c r="AD506">
        <f t="shared" si="11"/>
        <v>29.541</v>
      </c>
    </row>
    <row r="507" spans="27:30" x14ac:dyDescent="0.25">
      <c r="AA507" s="268">
        <v>44938</v>
      </c>
      <c r="AB507" s="269">
        <v>7153.35</v>
      </c>
      <c r="AC507" s="14" t="s">
        <v>1211</v>
      </c>
      <c r="AD507">
        <f t="shared" si="11"/>
        <v>56.649000000000001</v>
      </c>
    </row>
    <row r="508" spans="27:30" x14ac:dyDescent="0.25">
      <c r="AA508" s="268">
        <v>44939</v>
      </c>
      <c r="AB508" s="269">
        <v>7248.9</v>
      </c>
      <c r="AC508" s="14" t="s">
        <v>1212</v>
      </c>
      <c r="AD508">
        <f t="shared" si="11"/>
        <v>46.213000000000001</v>
      </c>
    </row>
    <row r="509" spans="27:30" x14ac:dyDescent="0.25">
      <c r="AA509" s="268">
        <v>44942</v>
      </c>
      <c r="AB509" s="269">
        <v>7284.85</v>
      </c>
      <c r="AC509" s="14" t="s">
        <v>1213</v>
      </c>
      <c r="AD509">
        <f t="shared" si="11"/>
        <v>44.05</v>
      </c>
    </row>
    <row r="510" spans="27:30" x14ac:dyDescent="0.25">
      <c r="AA510" s="268">
        <v>44943</v>
      </c>
      <c r="AB510" s="269">
        <v>7377.65</v>
      </c>
      <c r="AC510" s="14" t="s">
        <v>1214</v>
      </c>
      <c r="AD510">
        <f t="shared" si="11"/>
        <v>38.573</v>
      </c>
    </row>
    <row r="511" spans="27:30" x14ac:dyDescent="0.25">
      <c r="AA511" s="268">
        <v>44944</v>
      </c>
      <c r="AB511" s="269">
        <v>7283.45</v>
      </c>
      <c r="AC511" s="14" t="s">
        <v>1215</v>
      </c>
      <c r="AD511">
        <f t="shared" si="11"/>
        <v>44.774000000000001</v>
      </c>
    </row>
    <row r="512" spans="27:30" x14ac:dyDescent="0.25">
      <c r="AA512" s="268">
        <v>44945</v>
      </c>
      <c r="AB512" s="269">
        <v>7212.35</v>
      </c>
      <c r="AC512" s="14" t="s">
        <v>1216</v>
      </c>
      <c r="AD512">
        <f t="shared" si="11"/>
        <v>41.2</v>
      </c>
    </row>
    <row r="513" spans="27:30" x14ac:dyDescent="0.25">
      <c r="AA513" s="268">
        <v>44946</v>
      </c>
      <c r="AB513" s="269">
        <v>7177.15</v>
      </c>
      <c r="AC513" s="14" t="s">
        <v>1217</v>
      </c>
      <c r="AD513">
        <f t="shared" si="11"/>
        <v>35.329000000000001</v>
      </c>
    </row>
    <row r="514" spans="27:30" x14ac:dyDescent="0.25">
      <c r="AA514" s="268">
        <v>44949</v>
      </c>
      <c r="AB514" s="269">
        <v>6849.75</v>
      </c>
      <c r="AC514" s="14" t="s">
        <v>1218</v>
      </c>
      <c r="AD514">
        <f t="shared" si="11"/>
        <v>99.81</v>
      </c>
    </row>
    <row r="515" spans="27:30" x14ac:dyDescent="0.25">
      <c r="AA515" s="268">
        <v>44950</v>
      </c>
      <c r="AB515" s="269">
        <v>6809.7</v>
      </c>
      <c r="AC515" s="14" t="s">
        <v>1219</v>
      </c>
      <c r="AD515">
        <f t="shared" si="11"/>
        <v>44.418999999999997</v>
      </c>
    </row>
    <row r="516" spans="27:30" x14ac:dyDescent="0.25">
      <c r="AA516" s="268">
        <v>44951</v>
      </c>
      <c r="AB516" s="269">
        <v>6705.1</v>
      </c>
      <c r="AC516" s="14" t="s">
        <v>1220</v>
      </c>
      <c r="AD516">
        <f t="shared" ref="AD516:AD579" si="12">(IF(RIGHT(AC516,1)="K",
    VALUE(LEFT(AC516,LEN(AC516)-1))*1000,
    IF(RIGHT(AC516,1)="M",
       VALUE(LEFT(AC516,LEN(AC516)-1))*1000000,
       VALUE(AC516)
    )
))/10000</f>
        <v>50.93</v>
      </c>
    </row>
    <row r="517" spans="27:30" x14ac:dyDescent="0.25">
      <c r="AA517" s="268">
        <v>44953</v>
      </c>
      <c r="AB517" s="269">
        <v>6715.6</v>
      </c>
      <c r="AC517" s="14" t="s">
        <v>1221</v>
      </c>
      <c r="AD517">
        <f t="shared" si="12"/>
        <v>63.558</v>
      </c>
    </row>
    <row r="518" spans="27:30" x14ac:dyDescent="0.25">
      <c r="AA518" s="268">
        <v>44956</v>
      </c>
      <c r="AB518" s="269">
        <v>6887.7</v>
      </c>
      <c r="AC518" s="14" t="s">
        <v>1222</v>
      </c>
      <c r="AD518">
        <f t="shared" si="12"/>
        <v>69.927000000000007</v>
      </c>
    </row>
    <row r="519" spans="27:30" x14ac:dyDescent="0.25">
      <c r="AA519" s="268">
        <v>44957</v>
      </c>
      <c r="AB519" s="269">
        <v>7085.55</v>
      </c>
      <c r="AC519" s="14" t="s">
        <v>1223</v>
      </c>
      <c r="AD519">
        <f t="shared" si="12"/>
        <v>59.322000000000003</v>
      </c>
    </row>
    <row r="520" spans="27:30" x14ac:dyDescent="0.25">
      <c r="AA520" s="268">
        <v>44958</v>
      </c>
      <c r="AB520" s="269">
        <v>7141.4</v>
      </c>
      <c r="AC520" s="14" t="s">
        <v>1224</v>
      </c>
      <c r="AD520">
        <f t="shared" si="12"/>
        <v>64.802000000000007</v>
      </c>
    </row>
    <row r="521" spans="27:30" x14ac:dyDescent="0.25">
      <c r="AA521" s="268">
        <v>44959</v>
      </c>
      <c r="AB521" s="269">
        <v>7167.65</v>
      </c>
      <c r="AC521" s="14" t="s">
        <v>1225</v>
      </c>
      <c r="AD521">
        <f t="shared" si="12"/>
        <v>64.718999999999994</v>
      </c>
    </row>
    <row r="522" spans="27:30" x14ac:dyDescent="0.25">
      <c r="AA522" s="268">
        <v>44960</v>
      </c>
      <c r="AB522" s="269">
        <v>7189.2</v>
      </c>
      <c r="AC522" s="14" t="s">
        <v>1226</v>
      </c>
      <c r="AD522">
        <f t="shared" si="12"/>
        <v>36.42</v>
      </c>
    </row>
    <row r="523" spans="27:30" x14ac:dyDescent="0.25">
      <c r="AA523" s="268">
        <v>44963</v>
      </c>
      <c r="AB523" s="269">
        <v>7127.25</v>
      </c>
      <c r="AC523" s="14" t="s">
        <v>1227</v>
      </c>
      <c r="AD523">
        <f t="shared" si="12"/>
        <v>31.445</v>
      </c>
    </row>
    <row r="524" spans="27:30" x14ac:dyDescent="0.25">
      <c r="AA524" s="268">
        <v>44964</v>
      </c>
      <c r="AB524" s="269">
        <v>7071.8</v>
      </c>
      <c r="AC524" s="14" t="s">
        <v>1228</v>
      </c>
      <c r="AD524">
        <f t="shared" si="12"/>
        <v>29.507000000000001</v>
      </c>
    </row>
    <row r="525" spans="27:30" x14ac:dyDescent="0.25">
      <c r="AA525" s="268">
        <v>44965</v>
      </c>
      <c r="AB525" s="269">
        <v>7250.35</v>
      </c>
      <c r="AC525" s="14" t="s">
        <v>1229</v>
      </c>
      <c r="AD525">
        <f t="shared" si="12"/>
        <v>55.97</v>
      </c>
    </row>
    <row r="526" spans="27:30" x14ac:dyDescent="0.25">
      <c r="AA526" s="268">
        <v>44966</v>
      </c>
      <c r="AB526" s="269">
        <v>7179.75</v>
      </c>
      <c r="AC526" s="14" t="s">
        <v>1230</v>
      </c>
      <c r="AD526">
        <f t="shared" si="12"/>
        <v>33.453000000000003</v>
      </c>
    </row>
    <row r="527" spans="27:30" x14ac:dyDescent="0.25">
      <c r="AA527" s="268">
        <v>44967</v>
      </c>
      <c r="AB527" s="269">
        <v>7206.05</v>
      </c>
      <c r="AC527" s="14" t="s">
        <v>1231</v>
      </c>
      <c r="AD527">
        <f t="shared" si="12"/>
        <v>40.781999999999996</v>
      </c>
    </row>
    <row r="528" spans="27:30" x14ac:dyDescent="0.25">
      <c r="AA528" s="268">
        <v>44970</v>
      </c>
      <c r="AB528" s="269">
        <v>7179.25</v>
      </c>
      <c r="AC528" s="14" t="s">
        <v>1232</v>
      </c>
      <c r="AD528">
        <f t="shared" si="12"/>
        <v>32.323999999999998</v>
      </c>
    </row>
    <row r="529" spans="27:30" x14ac:dyDescent="0.25">
      <c r="AA529" s="268">
        <v>44971</v>
      </c>
      <c r="AB529" s="269">
        <v>7139.2</v>
      </c>
      <c r="AC529" s="14" t="s">
        <v>1233</v>
      </c>
      <c r="AD529">
        <f t="shared" si="12"/>
        <v>32.841999999999999</v>
      </c>
    </row>
    <row r="530" spans="27:30" x14ac:dyDescent="0.25">
      <c r="AA530" s="268">
        <v>44972</v>
      </c>
      <c r="AB530" s="269">
        <v>7151.85</v>
      </c>
      <c r="AC530" s="14" t="s">
        <v>1234</v>
      </c>
      <c r="AD530">
        <f t="shared" si="12"/>
        <v>40.497</v>
      </c>
    </row>
    <row r="531" spans="27:30" x14ac:dyDescent="0.25">
      <c r="AA531" s="268">
        <v>44973</v>
      </c>
      <c r="AB531" s="269">
        <v>7171.75</v>
      </c>
      <c r="AC531" s="14" t="s">
        <v>1235</v>
      </c>
      <c r="AD531">
        <f t="shared" si="12"/>
        <v>26.407</v>
      </c>
    </row>
    <row r="532" spans="27:30" x14ac:dyDescent="0.25">
      <c r="AA532" s="268">
        <v>44974</v>
      </c>
      <c r="AB532" s="269">
        <v>7297.85</v>
      </c>
      <c r="AC532" s="14" t="s">
        <v>1236</v>
      </c>
      <c r="AD532">
        <f t="shared" si="12"/>
        <v>106</v>
      </c>
    </row>
    <row r="533" spans="27:30" x14ac:dyDescent="0.25">
      <c r="AA533" s="268">
        <v>44977</v>
      </c>
      <c r="AB533" s="269">
        <v>7426.85</v>
      </c>
      <c r="AC533" s="14" t="s">
        <v>1237</v>
      </c>
      <c r="AD533">
        <f t="shared" si="12"/>
        <v>71.349999999999994</v>
      </c>
    </row>
    <row r="534" spans="27:30" x14ac:dyDescent="0.25">
      <c r="AA534" s="268">
        <v>44978</v>
      </c>
      <c r="AB534" s="269">
        <v>7340.55</v>
      </c>
      <c r="AC534" s="14" t="s">
        <v>1238</v>
      </c>
      <c r="AD534">
        <f t="shared" si="12"/>
        <v>39.948999999999998</v>
      </c>
    </row>
    <row r="535" spans="27:30" x14ac:dyDescent="0.25">
      <c r="AA535" s="268">
        <v>44979</v>
      </c>
      <c r="AB535" s="269">
        <v>7205.75</v>
      </c>
      <c r="AC535" s="14" t="s">
        <v>1239</v>
      </c>
      <c r="AD535">
        <f t="shared" si="12"/>
        <v>40.255000000000003</v>
      </c>
    </row>
    <row r="536" spans="27:30" x14ac:dyDescent="0.25">
      <c r="AA536" s="268">
        <v>44980</v>
      </c>
      <c r="AB536" s="269">
        <v>7176.95</v>
      </c>
      <c r="AC536" s="14" t="s">
        <v>1240</v>
      </c>
      <c r="AD536">
        <f t="shared" si="12"/>
        <v>28.675000000000001</v>
      </c>
    </row>
    <row r="537" spans="27:30" x14ac:dyDescent="0.25">
      <c r="AA537" s="268">
        <v>44981</v>
      </c>
      <c r="AB537" s="269">
        <v>7216.7</v>
      </c>
      <c r="AC537" s="14" t="s">
        <v>1241</v>
      </c>
      <c r="AD537">
        <f t="shared" si="12"/>
        <v>20.66</v>
      </c>
    </row>
    <row r="538" spans="27:30" x14ac:dyDescent="0.25">
      <c r="AA538" s="268">
        <v>44984</v>
      </c>
      <c r="AB538" s="269">
        <v>7186.65</v>
      </c>
      <c r="AC538" s="14" t="s">
        <v>1242</v>
      </c>
      <c r="AD538">
        <f t="shared" si="12"/>
        <v>29.509</v>
      </c>
    </row>
    <row r="539" spans="27:30" x14ac:dyDescent="0.25">
      <c r="AA539" s="268">
        <v>44985</v>
      </c>
      <c r="AB539" s="269">
        <v>7261.3</v>
      </c>
      <c r="AC539" s="14" t="s">
        <v>1243</v>
      </c>
      <c r="AD539">
        <f t="shared" si="12"/>
        <v>42.926000000000002</v>
      </c>
    </row>
    <row r="540" spans="27:30" x14ac:dyDescent="0.25">
      <c r="AA540" s="268">
        <v>44986</v>
      </c>
      <c r="AB540" s="269">
        <v>7274.15</v>
      </c>
      <c r="AC540" s="14" t="s">
        <v>1244</v>
      </c>
      <c r="AD540">
        <f t="shared" si="12"/>
        <v>31.722000000000001</v>
      </c>
    </row>
    <row r="541" spans="27:30" x14ac:dyDescent="0.25">
      <c r="AA541" s="268">
        <v>44987</v>
      </c>
      <c r="AB541" s="269">
        <v>7289.2</v>
      </c>
      <c r="AC541" s="14" t="s">
        <v>1245</v>
      </c>
      <c r="AD541">
        <f t="shared" si="12"/>
        <v>18.018000000000001</v>
      </c>
    </row>
    <row r="542" spans="27:30" x14ac:dyDescent="0.25">
      <c r="AA542" s="268">
        <v>44988</v>
      </c>
      <c r="AB542" s="269">
        <v>7215.95</v>
      </c>
      <c r="AC542" s="14" t="s">
        <v>1246</v>
      </c>
      <c r="AD542">
        <f t="shared" si="12"/>
        <v>40.875</v>
      </c>
    </row>
    <row r="543" spans="27:30" x14ac:dyDescent="0.25">
      <c r="AA543" s="268">
        <v>44991</v>
      </c>
      <c r="AB543" s="269">
        <v>7200.6</v>
      </c>
      <c r="AC543" s="14" t="s">
        <v>1247</v>
      </c>
      <c r="AD543">
        <f t="shared" si="12"/>
        <v>15.481999999999999</v>
      </c>
    </row>
    <row r="544" spans="27:30" x14ac:dyDescent="0.25">
      <c r="AA544" s="268">
        <v>44993</v>
      </c>
      <c r="AB544" s="269">
        <v>7267.25</v>
      </c>
      <c r="AC544" s="14" t="s">
        <v>1248</v>
      </c>
      <c r="AD544">
        <f t="shared" si="12"/>
        <v>23.779</v>
      </c>
    </row>
    <row r="545" spans="27:30" x14ac:dyDescent="0.25">
      <c r="AA545" s="268">
        <v>44994</v>
      </c>
      <c r="AB545" s="269">
        <v>7242.95</v>
      </c>
      <c r="AC545" s="14" t="s">
        <v>1249</v>
      </c>
      <c r="AD545">
        <f t="shared" si="12"/>
        <v>15.881</v>
      </c>
    </row>
    <row r="546" spans="27:30" x14ac:dyDescent="0.25">
      <c r="AA546" s="268">
        <v>44995</v>
      </c>
      <c r="AB546" s="269">
        <v>7226.4</v>
      </c>
      <c r="AC546" s="14" t="s">
        <v>1250</v>
      </c>
      <c r="AD546">
        <f t="shared" si="12"/>
        <v>15.432</v>
      </c>
    </row>
    <row r="547" spans="27:30" x14ac:dyDescent="0.25">
      <c r="AA547" s="268">
        <v>44998</v>
      </c>
      <c r="AB547" s="269">
        <v>7075.6</v>
      </c>
      <c r="AC547" s="14" t="s">
        <v>1251</v>
      </c>
      <c r="AD547">
        <f t="shared" si="12"/>
        <v>17.658000000000001</v>
      </c>
    </row>
    <row r="548" spans="27:30" x14ac:dyDescent="0.25">
      <c r="AA548" s="268">
        <v>44999</v>
      </c>
      <c r="AB548" s="269">
        <v>7063.95</v>
      </c>
      <c r="AC548" s="14" t="s">
        <v>1252</v>
      </c>
      <c r="AD548">
        <f t="shared" si="12"/>
        <v>21.097999999999999</v>
      </c>
    </row>
    <row r="549" spans="27:30" x14ac:dyDescent="0.25">
      <c r="AA549" s="268">
        <v>45000</v>
      </c>
      <c r="AB549" s="269">
        <v>7100.75</v>
      </c>
      <c r="AC549" s="14" t="s">
        <v>1253</v>
      </c>
      <c r="AD549">
        <f t="shared" si="12"/>
        <v>26.553999999999998</v>
      </c>
    </row>
    <row r="550" spans="27:30" x14ac:dyDescent="0.25">
      <c r="AA550" s="268">
        <v>45001</v>
      </c>
      <c r="AB550" s="269">
        <v>7104.6</v>
      </c>
      <c r="AC550" s="14" t="s">
        <v>1254</v>
      </c>
      <c r="AD550">
        <f t="shared" si="12"/>
        <v>45.981000000000002</v>
      </c>
    </row>
    <row r="551" spans="27:30" x14ac:dyDescent="0.25">
      <c r="AA551" s="268">
        <v>45002</v>
      </c>
      <c r="AB551" s="269">
        <v>7289.95</v>
      </c>
      <c r="AC551" s="14" t="s">
        <v>1255</v>
      </c>
      <c r="AD551">
        <f t="shared" si="12"/>
        <v>38.350999999999999</v>
      </c>
    </row>
    <row r="552" spans="27:30" x14ac:dyDescent="0.25">
      <c r="AA552" s="268">
        <v>45005</v>
      </c>
      <c r="AB552" s="269">
        <v>7243.2</v>
      </c>
      <c r="AC552" s="14" t="s">
        <v>1256</v>
      </c>
      <c r="AD552">
        <f t="shared" si="12"/>
        <v>52.003999999999991</v>
      </c>
    </row>
    <row r="553" spans="27:30" x14ac:dyDescent="0.25">
      <c r="AA553" s="268">
        <v>45006</v>
      </c>
      <c r="AB553" s="269">
        <v>7352.75</v>
      </c>
      <c r="AC553" s="14" t="s">
        <v>1257</v>
      </c>
      <c r="AD553">
        <f t="shared" si="12"/>
        <v>35.052</v>
      </c>
    </row>
    <row r="554" spans="27:30" x14ac:dyDescent="0.25">
      <c r="AA554" s="268">
        <v>45007</v>
      </c>
      <c r="AB554" s="269">
        <v>7396.65</v>
      </c>
      <c r="AC554" s="14" t="s">
        <v>1258</v>
      </c>
      <c r="AD554">
        <f t="shared" si="12"/>
        <v>38.159999999999997</v>
      </c>
    </row>
    <row r="555" spans="27:30" x14ac:dyDescent="0.25">
      <c r="AA555" s="268">
        <v>45008</v>
      </c>
      <c r="AB555" s="269">
        <v>7407.95</v>
      </c>
      <c r="AC555" s="14" t="s">
        <v>1259</v>
      </c>
      <c r="AD555">
        <f t="shared" si="12"/>
        <v>23.291</v>
      </c>
    </row>
    <row r="556" spans="27:30" x14ac:dyDescent="0.25">
      <c r="AA556" s="268">
        <v>45009</v>
      </c>
      <c r="AB556" s="269">
        <v>7405.65</v>
      </c>
      <c r="AC556" s="14" t="s">
        <v>1260</v>
      </c>
      <c r="AD556">
        <f t="shared" si="12"/>
        <v>22.899000000000001</v>
      </c>
    </row>
    <row r="557" spans="27:30" x14ac:dyDescent="0.25">
      <c r="AA557" s="268">
        <v>45012</v>
      </c>
      <c r="AB557" s="269">
        <v>7450.2</v>
      </c>
      <c r="AC557" s="14" t="s">
        <v>1261</v>
      </c>
      <c r="AD557">
        <f t="shared" si="12"/>
        <v>25.163</v>
      </c>
    </row>
    <row r="558" spans="27:30" x14ac:dyDescent="0.25">
      <c r="AA558" s="268">
        <v>45013</v>
      </c>
      <c r="AB558" s="269">
        <v>7403.1</v>
      </c>
      <c r="AC558" s="14" t="s">
        <v>1262</v>
      </c>
      <c r="AD558">
        <f t="shared" si="12"/>
        <v>24.978000000000002</v>
      </c>
    </row>
    <row r="559" spans="27:30" x14ac:dyDescent="0.25">
      <c r="AA559" s="268">
        <v>45014</v>
      </c>
      <c r="AB559" s="269">
        <v>7570.75</v>
      </c>
      <c r="AC559" s="14" t="s">
        <v>1263</v>
      </c>
      <c r="AD559">
        <f t="shared" si="12"/>
        <v>44.534999999999997</v>
      </c>
    </row>
    <row r="560" spans="27:30" x14ac:dyDescent="0.25">
      <c r="AA560" s="268">
        <v>45016</v>
      </c>
      <c r="AB560" s="269">
        <v>7622.15</v>
      </c>
      <c r="AC560" s="14" t="s">
        <v>1264</v>
      </c>
      <c r="AD560">
        <f t="shared" si="12"/>
        <v>37.845999999999997</v>
      </c>
    </row>
    <row r="561" spans="27:30" x14ac:dyDescent="0.25">
      <c r="AA561" s="268">
        <v>45019</v>
      </c>
      <c r="AB561" s="269">
        <v>7640.5</v>
      </c>
      <c r="AC561" s="14" t="s">
        <v>1265</v>
      </c>
      <c r="AD561">
        <f t="shared" si="12"/>
        <v>36.058</v>
      </c>
    </row>
    <row r="562" spans="27:30" x14ac:dyDescent="0.25">
      <c r="AA562" s="268">
        <v>45021</v>
      </c>
      <c r="AB562" s="269">
        <v>7691.95</v>
      </c>
      <c r="AC562" s="14" t="s">
        <v>1266</v>
      </c>
      <c r="AD562">
        <f t="shared" si="12"/>
        <v>23.349</v>
      </c>
    </row>
    <row r="563" spans="27:30" x14ac:dyDescent="0.25">
      <c r="AA563" s="268">
        <v>45022</v>
      </c>
      <c r="AB563" s="269">
        <v>7701.85</v>
      </c>
      <c r="AC563" s="14" t="s">
        <v>1267</v>
      </c>
      <c r="AD563">
        <f t="shared" si="12"/>
        <v>22.768000000000001</v>
      </c>
    </row>
    <row r="564" spans="27:30" x14ac:dyDescent="0.25">
      <c r="AA564" s="268">
        <v>45026</v>
      </c>
      <c r="AB564" s="269">
        <v>7696.25</v>
      </c>
      <c r="AC564" s="14" t="s">
        <v>1268</v>
      </c>
      <c r="AD564">
        <f t="shared" si="12"/>
        <v>22.698</v>
      </c>
    </row>
    <row r="565" spans="27:30" x14ac:dyDescent="0.25">
      <c r="AA565" s="268">
        <v>45027</v>
      </c>
      <c r="AB565" s="269">
        <v>7741.45</v>
      </c>
      <c r="AC565" s="14" t="s">
        <v>1269</v>
      </c>
      <c r="AD565">
        <f t="shared" si="12"/>
        <v>35.479999999999997</v>
      </c>
    </row>
    <row r="566" spans="27:30" x14ac:dyDescent="0.25">
      <c r="AA566" s="268">
        <v>45028</v>
      </c>
      <c r="AB566" s="269">
        <v>7682.85</v>
      </c>
      <c r="AC566" s="14" t="s">
        <v>1270</v>
      </c>
      <c r="AD566">
        <f t="shared" si="12"/>
        <v>26.442</v>
      </c>
    </row>
    <row r="567" spans="27:30" x14ac:dyDescent="0.25">
      <c r="AA567" s="268">
        <v>45029</v>
      </c>
      <c r="AB567" s="269">
        <v>7655.25</v>
      </c>
      <c r="AC567" s="14" t="s">
        <v>1271</v>
      </c>
      <c r="AD567">
        <f t="shared" si="12"/>
        <v>29.257000000000001</v>
      </c>
    </row>
    <row r="568" spans="27:30" x14ac:dyDescent="0.25">
      <c r="AA568" s="268">
        <v>45033</v>
      </c>
      <c r="AB568" s="269">
        <v>7742.45</v>
      </c>
      <c r="AC568" s="14" t="s">
        <v>1272</v>
      </c>
      <c r="AD568">
        <f t="shared" si="12"/>
        <v>48.829000000000001</v>
      </c>
    </row>
    <row r="569" spans="27:30" x14ac:dyDescent="0.25">
      <c r="AA569" s="268">
        <v>45034</v>
      </c>
      <c r="AB569" s="269">
        <v>7595.3</v>
      </c>
      <c r="AC569" s="14" t="s">
        <v>1273</v>
      </c>
      <c r="AD569">
        <f t="shared" si="12"/>
        <v>43.722999999999999</v>
      </c>
    </row>
    <row r="570" spans="27:30" x14ac:dyDescent="0.25">
      <c r="AA570" s="268">
        <v>45035</v>
      </c>
      <c r="AB570" s="269">
        <v>7515.9</v>
      </c>
      <c r="AC570" s="14" t="s">
        <v>1274</v>
      </c>
      <c r="AD570">
        <f t="shared" si="12"/>
        <v>34.130000000000003</v>
      </c>
    </row>
    <row r="571" spans="27:30" x14ac:dyDescent="0.25">
      <c r="AA571" s="268">
        <v>45036</v>
      </c>
      <c r="AB571" s="269">
        <v>7475.8</v>
      </c>
      <c r="AC571" s="14" t="s">
        <v>1275</v>
      </c>
      <c r="AD571">
        <f t="shared" si="12"/>
        <v>26.343</v>
      </c>
    </row>
    <row r="572" spans="27:30" x14ac:dyDescent="0.25">
      <c r="AA572" s="268">
        <v>45037</v>
      </c>
      <c r="AB572" s="269">
        <v>7358.5</v>
      </c>
      <c r="AC572" s="14" t="s">
        <v>1276</v>
      </c>
      <c r="AD572">
        <f t="shared" si="12"/>
        <v>38.841000000000001</v>
      </c>
    </row>
    <row r="573" spans="27:30" x14ac:dyDescent="0.25">
      <c r="AA573" s="268">
        <v>45040</v>
      </c>
      <c r="AB573" s="269">
        <v>7440.55</v>
      </c>
      <c r="AC573" s="14" t="s">
        <v>1277</v>
      </c>
      <c r="AD573">
        <f t="shared" si="12"/>
        <v>51.377000000000002</v>
      </c>
    </row>
    <row r="574" spans="27:30" x14ac:dyDescent="0.25">
      <c r="AA574" s="268">
        <v>45041</v>
      </c>
      <c r="AB574" s="269">
        <v>7439.2</v>
      </c>
      <c r="AC574" s="14" t="s">
        <v>1278</v>
      </c>
      <c r="AD574">
        <f t="shared" si="12"/>
        <v>28.545000000000002</v>
      </c>
    </row>
    <row r="575" spans="27:30" x14ac:dyDescent="0.25">
      <c r="AA575" s="268">
        <v>45042</v>
      </c>
      <c r="AB575" s="269">
        <v>7456.9</v>
      </c>
      <c r="AC575" s="14" t="s">
        <v>1279</v>
      </c>
      <c r="AD575">
        <f t="shared" si="12"/>
        <v>23.024999999999999</v>
      </c>
    </row>
    <row r="576" spans="27:30" x14ac:dyDescent="0.25">
      <c r="AA576" s="268">
        <v>45043</v>
      </c>
      <c r="AB576" s="269">
        <v>7500.9</v>
      </c>
      <c r="AC576" s="14" t="s">
        <v>1280</v>
      </c>
      <c r="AD576">
        <f t="shared" si="12"/>
        <v>20.518000000000001</v>
      </c>
    </row>
    <row r="577" spans="27:30" x14ac:dyDescent="0.25">
      <c r="AA577" s="268">
        <v>45044</v>
      </c>
      <c r="AB577" s="269">
        <v>7556.2</v>
      </c>
      <c r="AC577" s="14" t="s">
        <v>1281</v>
      </c>
      <c r="AD577">
        <f t="shared" si="12"/>
        <v>45.749000000000002</v>
      </c>
    </row>
    <row r="578" spans="27:30" x14ac:dyDescent="0.25">
      <c r="AA578" s="268">
        <v>45048</v>
      </c>
      <c r="AB578" s="269">
        <v>7456.6</v>
      </c>
      <c r="AC578" s="14" t="s">
        <v>1282</v>
      </c>
      <c r="AD578">
        <f t="shared" si="12"/>
        <v>54.472999999999999</v>
      </c>
    </row>
    <row r="579" spans="27:30" x14ac:dyDescent="0.25">
      <c r="AA579" s="268">
        <v>45049</v>
      </c>
      <c r="AB579" s="269">
        <v>7507.2</v>
      </c>
      <c r="AC579" s="14" t="s">
        <v>1283</v>
      </c>
      <c r="AD579">
        <f t="shared" si="12"/>
        <v>38.442999999999998</v>
      </c>
    </row>
    <row r="580" spans="27:30" x14ac:dyDescent="0.25">
      <c r="AA580" s="268">
        <v>45050</v>
      </c>
      <c r="AB580" s="269">
        <v>7502.25</v>
      </c>
      <c r="AC580" s="14" t="s">
        <v>1284</v>
      </c>
      <c r="AD580">
        <f t="shared" ref="AD580:AD643" si="13">(IF(RIGHT(AC580,1)="K",
    VALUE(LEFT(AC580,LEN(AC580)-1))*1000,
    IF(RIGHT(AC580,1)="M",
       VALUE(LEFT(AC580,LEN(AC580)-1))*1000000,
       VALUE(AC580)
    )
))/10000</f>
        <v>23.22</v>
      </c>
    </row>
    <row r="581" spans="27:30" x14ac:dyDescent="0.25">
      <c r="AA581" s="268">
        <v>45051</v>
      </c>
      <c r="AB581" s="269">
        <v>7628.8</v>
      </c>
      <c r="AC581" s="14" t="s">
        <v>1285</v>
      </c>
      <c r="AD581">
        <f t="shared" si="13"/>
        <v>31.965</v>
      </c>
    </row>
    <row r="582" spans="27:30" x14ac:dyDescent="0.25">
      <c r="AA582" s="268">
        <v>45054</v>
      </c>
      <c r="AB582" s="269">
        <v>7735.45</v>
      </c>
      <c r="AC582" s="14" t="s">
        <v>1286</v>
      </c>
      <c r="AD582">
        <f t="shared" si="13"/>
        <v>29.515999999999998</v>
      </c>
    </row>
    <row r="583" spans="27:30" x14ac:dyDescent="0.25">
      <c r="AA583" s="268">
        <v>45055</v>
      </c>
      <c r="AB583" s="269">
        <v>7716.25</v>
      </c>
      <c r="AC583" s="14" t="s">
        <v>1287</v>
      </c>
      <c r="AD583">
        <f t="shared" si="13"/>
        <v>28.98</v>
      </c>
    </row>
    <row r="584" spans="27:30" x14ac:dyDescent="0.25">
      <c r="AA584" s="268">
        <v>45056</v>
      </c>
      <c r="AB584" s="269">
        <v>7743.2</v>
      </c>
      <c r="AC584" s="14" t="s">
        <v>1288</v>
      </c>
      <c r="AD584">
        <f t="shared" si="13"/>
        <v>23.488</v>
      </c>
    </row>
    <row r="585" spans="27:30" x14ac:dyDescent="0.25">
      <c r="AA585" s="268">
        <v>45057</v>
      </c>
      <c r="AB585" s="269">
        <v>7835.45</v>
      </c>
      <c r="AC585" s="14" t="s">
        <v>1289</v>
      </c>
      <c r="AD585">
        <f t="shared" si="13"/>
        <v>32.021999999999998</v>
      </c>
    </row>
    <row r="586" spans="27:30" x14ac:dyDescent="0.25">
      <c r="AA586" s="268">
        <v>45058</v>
      </c>
      <c r="AB586" s="269">
        <v>7702.95</v>
      </c>
      <c r="AC586" s="14" t="s">
        <v>1290</v>
      </c>
      <c r="AD586">
        <f t="shared" si="13"/>
        <v>24.68</v>
      </c>
    </row>
    <row r="587" spans="27:30" x14ac:dyDescent="0.25">
      <c r="AA587" s="268">
        <v>45061</v>
      </c>
      <c r="AB587" s="269">
        <v>7760.95</v>
      </c>
      <c r="AC587" s="14" t="s">
        <v>1291</v>
      </c>
      <c r="AD587">
        <f t="shared" si="13"/>
        <v>18.359000000000002</v>
      </c>
    </row>
    <row r="588" spans="27:30" x14ac:dyDescent="0.25">
      <c r="AA588" s="268">
        <v>45062</v>
      </c>
      <c r="AB588" s="269">
        <v>7698.7</v>
      </c>
      <c r="AC588" s="14" t="s">
        <v>1292</v>
      </c>
      <c r="AD588">
        <f t="shared" si="13"/>
        <v>25.048999999999999</v>
      </c>
    </row>
    <row r="589" spans="27:30" x14ac:dyDescent="0.25">
      <c r="AA589" s="268">
        <v>45063</v>
      </c>
      <c r="AB589" s="269">
        <v>7700.45</v>
      </c>
      <c r="AC589" s="14" t="s">
        <v>1293</v>
      </c>
      <c r="AD589">
        <f t="shared" si="13"/>
        <v>20.562999999999999</v>
      </c>
    </row>
    <row r="590" spans="27:30" x14ac:dyDescent="0.25">
      <c r="AA590" s="268">
        <v>45064</v>
      </c>
      <c r="AB590" s="269">
        <v>7604.15</v>
      </c>
      <c r="AC590" s="14" t="s">
        <v>1294</v>
      </c>
      <c r="AD590">
        <f t="shared" si="13"/>
        <v>15.771000000000001</v>
      </c>
    </row>
    <row r="591" spans="27:30" x14ac:dyDescent="0.25">
      <c r="AA591" s="268">
        <v>45065</v>
      </c>
      <c r="AB591" s="269">
        <v>7681.3</v>
      </c>
      <c r="AC591" s="14" t="s">
        <v>1295</v>
      </c>
      <c r="AD591">
        <f t="shared" si="13"/>
        <v>13.871</v>
      </c>
    </row>
    <row r="592" spans="27:30" x14ac:dyDescent="0.25">
      <c r="AA592" s="268">
        <v>45068</v>
      </c>
      <c r="AB592" s="269">
        <v>7715.65</v>
      </c>
      <c r="AC592" s="14" t="s">
        <v>1296</v>
      </c>
      <c r="AD592">
        <f t="shared" si="13"/>
        <v>13.96</v>
      </c>
    </row>
    <row r="593" spans="27:30" x14ac:dyDescent="0.25">
      <c r="AA593" s="268">
        <v>45069</v>
      </c>
      <c r="AB593" s="269">
        <v>7654.25</v>
      </c>
      <c r="AC593" s="14" t="s">
        <v>1297</v>
      </c>
      <c r="AD593">
        <f t="shared" si="13"/>
        <v>14.929</v>
      </c>
    </row>
    <row r="594" spans="27:30" x14ac:dyDescent="0.25">
      <c r="AA594" s="268">
        <v>45070</v>
      </c>
      <c r="AB594" s="269">
        <v>7653.8</v>
      </c>
      <c r="AC594" s="14" t="s">
        <v>1298</v>
      </c>
      <c r="AD594">
        <f t="shared" si="13"/>
        <v>16.056999999999999</v>
      </c>
    </row>
    <row r="595" spans="27:30" x14ac:dyDescent="0.25">
      <c r="AA595" s="268">
        <v>45071</v>
      </c>
      <c r="AB595" s="269">
        <v>7621.75</v>
      </c>
      <c r="AC595" s="14" t="s">
        <v>1299</v>
      </c>
      <c r="AD595">
        <f t="shared" si="13"/>
        <v>25.736000000000001</v>
      </c>
    </row>
    <row r="596" spans="27:30" x14ac:dyDescent="0.25">
      <c r="AA596" s="268">
        <v>45072</v>
      </c>
      <c r="AB596" s="269">
        <v>7721.85</v>
      </c>
      <c r="AC596" s="14" t="s">
        <v>1300</v>
      </c>
      <c r="AD596">
        <f t="shared" si="13"/>
        <v>25.207999999999998</v>
      </c>
    </row>
    <row r="597" spans="27:30" x14ac:dyDescent="0.25">
      <c r="AA597" s="268">
        <v>45075</v>
      </c>
      <c r="AB597" s="269">
        <v>7840.55</v>
      </c>
      <c r="AC597" s="14" t="s">
        <v>1301</v>
      </c>
      <c r="AD597">
        <f t="shared" si="13"/>
        <v>21.077000000000002</v>
      </c>
    </row>
    <row r="598" spans="27:30" x14ac:dyDescent="0.25">
      <c r="AA598" s="268">
        <v>45076</v>
      </c>
      <c r="AB598" s="269">
        <v>7901.95</v>
      </c>
      <c r="AC598" s="14" t="s">
        <v>1302</v>
      </c>
      <c r="AD598">
        <f t="shared" si="13"/>
        <v>41.478999999999999</v>
      </c>
    </row>
    <row r="599" spans="27:30" x14ac:dyDescent="0.25">
      <c r="AA599" s="268">
        <v>45077</v>
      </c>
      <c r="AB599" s="269">
        <v>7870.05</v>
      </c>
      <c r="AC599" s="14" t="s">
        <v>799</v>
      </c>
      <c r="AD599">
        <f t="shared" si="13"/>
        <v>114</v>
      </c>
    </row>
    <row r="600" spans="27:30" x14ac:dyDescent="0.25">
      <c r="AA600" s="268">
        <v>45078</v>
      </c>
      <c r="AB600" s="269">
        <v>7842.8</v>
      </c>
      <c r="AC600" s="14" t="s">
        <v>1303</v>
      </c>
      <c r="AD600">
        <f t="shared" si="13"/>
        <v>18.463999999999999</v>
      </c>
    </row>
    <row r="601" spans="27:30" x14ac:dyDescent="0.25">
      <c r="AA601" s="268">
        <v>45079</v>
      </c>
      <c r="AB601" s="269">
        <v>7850.65</v>
      </c>
      <c r="AC601" s="14" t="s">
        <v>1304</v>
      </c>
      <c r="AD601">
        <f t="shared" si="13"/>
        <v>24.832999999999998</v>
      </c>
    </row>
    <row r="602" spans="27:30" x14ac:dyDescent="0.25">
      <c r="AA602" s="268">
        <v>45082</v>
      </c>
      <c r="AB602" s="269">
        <v>7882</v>
      </c>
      <c r="AC602" s="14" t="s">
        <v>1305</v>
      </c>
      <c r="AD602">
        <f t="shared" si="13"/>
        <v>18.602</v>
      </c>
    </row>
    <row r="603" spans="27:30" x14ac:dyDescent="0.25">
      <c r="AA603" s="268">
        <v>45083</v>
      </c>
      <c r="AB603" s="269">
        <v>8109.55</v>
      </c>
      <c r="AC603" s="14" t="s">
        <v>1306</v>
      </c>
      <c r="AD603">
        <f t="shared" si="13"/>
        <v>63.524000000000001</v>
      </c>
    </row>
    <row r="604" spans="27:30" x14ac:dyDescent="0.25">
      <c r="AA604" s="268">
        <v>45084</v>
      </c>
      <c r="AB604" s="269">
        <v>8157.6</v>
      </c>
      <c r="AC604" s="14" t="s">
        <v>1307</v>
      </c>
      <c r="AD604">
        <f t="shared" si="13"/>
        <v>29.864999999999998</v>
      </c>
    </row>
    <row r="605" spans="27:30" x14ac:dyDescent="0.25">
      <c r="AA605" s="268">
        <v>45085</v>
      </c>
      <c r="AB605" s="269">
        <v>8100.15</v>
      </c>
      <c r="AC605" s="14" t="s">
        <v>1308</v>
      </c>
      <c r="AD605">
        <f t="shared" si="13"/>
        <v>34.908999999999999</v>
      </c>
    </row>
    <row r="606" spans="27:30" x14ac:dyDescent="0.25">
      <c r="AA606" s="268">
        <v>45086</v>
      </c>
      <c r="AB606" s="269">
        <v>8153.25</v>
      </c>
      <c r="AC606" s="14" t="s">
        <v>1309</v>
      </c>
      <c r="AD606">
        <f t="shared" si="13"/>
        <v>32.581000000000003</v>
      </c>
    </row>
    <row r="607" spans="27:30" x14ac:dyDescent="0.25">
      <c r="AA607" s="268">
        <v>45089</v>
      </c>
      <c r="AB607" s="269">
        <v>8198.6</v>
      </c>
      <c r="AC607" s="14" t="s">
        <v>1310</v>
      </c>
      <c r="AD607">
        <f t="shared" si="13"/>
        <v>19.513000000000002</v>
      </c>
    </row>
    <row r="608" spans="27:30" x14ac:dyDescent="0.25">
      <c r="AA608" s="268">
        <v>45090</v>
      </c>
      <c r="AB608" s="269">
        <v>8276.2999999999993</v>
      </c>
      <c r="AC608" s="14" t="s">
        <v>1311</v>
      </c>
      <c r="AD608">
        <f t="shared" si="13"/>
        <v>24.92</v>
      </c>
    </row>
    <row r="609" spans="27:30" x14ac:dyDescent="0.25">
      <c r="AA609" s="268">
        <v>45091</v>
      </c>
      <c r="AB609" s="269">
        <v>8358.2999999999993</v>
      </c>
      <c r="AC609" s="14" t="s">
        <v>1312</v>
      </c>
      <c r="AD609">
        <f t="shared" si="13"/>
        <v>28.963999999999999</v>
      </c>
    </row>
    <row r="610" spans="27:30" x14ac:dyDescent="0.25">
      <c r="AA610" s="268">
        <v>45092</v>
      </c>
      <c r="AB610" s="269">
        <v>8333.2000000000007</v>
      </c>
      <c r="AC610" s="14" t="s">
        <v>1313</v>
      </c>
      <c r="AD610">
        <f t="shared" si="13"/>
        <v>40.619999999999997</v>
      </c>
    </row>
    <row r="611" spans="27:30" x14ac:dyDescent="0.25">
      <c r="AA611" s="268">
        <v>45093</v>
      </c>
      <c r="AB611" s="269">
        <v>8333.25</v>
      </c>
      <c r="AC611" s="14" t="s">
        <v>1314</v>
      </c>
      <c r="AD611">
        <f t="shared" si="13"/>
        <v>35.698</v>
      </c>
    </row>
    <row r="612" spans="27:30" x14ac:dyDescent="0.25">
      <c r="AA612" s="268">
        <v>45096</v>
      </c>
      <c r="AB612" s="269">
        <v>8268.6</v>
      </c>
      <c r="AC612" s="14" t="s">
        <v>1315</v>
      </c>
      <c r="AD612">
        <f t="shared" si="13"/>
        <v>18.748999999999999</v>
      </c>
    </row>
    <row r="613" spans="27:30" x14ac:dyDescent="0.25">
      <c r="AA613" s="268">
        <v>45097</v>
      </c>
      <c r="AB613" s="269">
        <v>8243.4500000000007</v>
      </c>
      <c r="AC613" s="14" t="s">
        <v>1316</v>
      </c>
      <c r="AD613">
        <f t="shared" si="13"/>
        <v>34.319000000000003</v>
      </c>
    </row>
    <row r="614" spans="27:30" x14ac:dyDescent="0.25">
      <c r="AA614" s="268">
        <v>45098</v>
      </c>
      <c r="AB614" s="269">
        <v>8241.5499999999993</v>
      </c>
      <c r="AC614" s="14" t="s">
        <v>1317</v>
      </c>
      <c r="AD614">
        <f t="shared" si="13"/>
        <v>37.393000000000001</v>
      </c>
    </row>
    <row r="615" spans="27:30" x14ac:dyDescent="0.25">
      <c r="AA615" s="268">
        <v>45099</v>
      </c>
      <c r="AB615" s="269">
        <v>8162.75</v>
      </c>
      <c r="AC615" s="14" t="s">
        <v>1318</v>
      </c>
      <c r="AD615">
        <f t="shared" si="13"/>
        <v>22.664999999999999</v>
      </c>
    </row>
    <row r="616" spans="27:30" x14ac:dyDescent="0.25">
      <c r="AA616" s="268">
        <v>45100</v>
      </c>
      <c r="AB616" s="269">
        <v>8080.2</v>
      </c>
      <c r="AC616" s="14" t="s">
        <v>1319</v>
      </c>
      <c r="AD616">
        <f t="shared" si="13"/>
        <v>19.826000000000001</v>
      </c>
    </row>
    <row r="617" spans="27:30" x14ac:dyDescent="0.25">
      <c r="AA617" s="268">
        <v>45103</v>
      </c>
      <c r="AB617" s="269">
        <v>8167.1</v>
      </c>
      <c r="AC617" s="14" t="s">
        <v>1320</v>
      </c>
      <c r="AD617">
        <f t="shared" si="13"/>
        <v>24.186</v>
      </c>
    </row>
    <row r="618" spans="27:30" x14ac:dyDescent="0.25">
      <c r="AA618" s="268">
        <v>45104</v>
      </c>
      <c r="AB618" s="269">
        <v>8208.5</v>
      </c>
      <c r="AC618" s="14" t="s">
        <v>1321</v>
      </c>
      <c r="AD618">
        <f t="shared" si="13"/>
        <v>23.655999999999999</v>
      </c>
    </row>
    <row r="619" spans="27:30" x14ac:dyDescent="0.25">
      <c r="AA619" s="268">
        <v>45105</v>
      </c>
      <c r="AB619" s="269">
        <v>8260.65</v>
      </c>
      <c r="AC619" s="14" t="s">
        <v>1322</v>
      </c>
      <c r="AD619">
        <f t="shared" si="13"/>
        <v>28.212</v>
      </c>
    </row>
    <row r="620" spans="27:30" x14ac:dyDescent="0.25">
      <c r="AA620" s="268">
        <v>45107</v>
      </c>
      <c r="AB620" s="269">
        <v>8294.75</v>
      </c>
      <c r="AC620" s="14" t="s">
        <v>1323</v>
      </c>
      <c r="AD620">
        <f t="shared" si="13"/>
        <v>22.574999999999999</v>
      </c>
    </row>
    <row r="621" spans="27:30" x14ac:dyDescent="0.25">
      <c r="AA621" s="268">
        <v>45110</v>
      </c>
      <c r="AB621" s="269">
        <v>8463.7999999999993</v>
      </c>
      <c r="AC621" s="14" t="s">
        <v>1324</v>
      </c>
      <c r="AD621">
        <f t="shared" si="13"/>
        <v>37.369999999999997</v>
      </c>
    </row>
    <row r="622" spans="27:30" x14ac:dyDescent="0.25">
      <c r="AA622" s="268">
        <v>45111</v>
      </c>
      <c r="AB622" s="269">
        <v>8411.7000000000007</v>
      </c>
      <c r="AC622" s="14" t="s">
        <v>1325</v>
      </c>
      <c r="AD622">
        <f t="shared" si="13"/>
        <v>20.667999999999999</v>
      </c>
    </row>
    <row r="623" spans="27:30" x14ac:dyDescent="0.25">
      <c r="AA623" s="268">
        <v>45112</v>
      </c>
      <c r="AB623" s="269">
        <v>8377.2000000000007</v>
      </c>
      <c r="AC623" s="14" t="s">
        <v>1326</v>
      </c>
      <c r="AD623">
        <f t="shared" si="13"/>
        <v>19.535</v>
      </c>
    </row>
    <row r="624" spans="27:30" x14ac:dyDescent="0.25">
      <c r="AA624" s="268">
        <v>45113</v>
      </c>
      <c r="AB624" s="269">
        <v>8410.2000000000007</v>
      </c>
      <c r="AC624" s="14" t="s">
        <v>1327</v>
      </c>
      <c r="AD624">
        <f t="shared" si="13"/>
        <v>27.568999999999999</v>
      </c>
    </row>
    <row r="625" spans="27:30" x14ac:dyDescent="0.25">
      <c r="AA625" s="268">
        <v>45114</v>
      </c>
      <c r="AB625" s="269">
        <v>8336.4500000000007</v>
      </c>
      <c r="AC625" s="14" t="s">
        <v>1328</v>
      </c>
      <c r="AD625">
        <f t="shared" si="13"/>
        <v>35.47</v>
      </c>
    </row>
    <row r="626" spans="27:30" x14ac:dyDescent="0.25">
      <c r="AA626" s="268">
        <v>45117</v>
      </c>
      <c r="AB626" s="269">
        <v>8351.35</v>
      </c>
      <c r="AC626" s="14" t="s">
        <v>1329</v>
      </c>
      <c r="AD626">
        <f t="shared" si="13"/>
        <v>17.323</v>
      </c>
    </row>
    <row r="627" spans="27:30" x14ac:dyDescent="0.25">
      <c r="AA627" s="268">
        <v>45118</v>
      </c>
      <c r="AB627" s="269">
        <v>8325.9</v>
      </c>
      <c r="AC627" s="14" t="s">
        <v>1330</v>
      </c>
      <c r="AD627">
        <f t="shared" si="13"/>
        <v>30.038</v>
      </c>
    </row>
    <row r="628" spans="27:30" x14ac:dyDescent="0.25">
      <c r="AA628" s="268">
        <v>45119</v>
      </c>
      <c r="AB628" s="269">
        <v>8220.5</v>
      </c>
      <c r="AC628" s="14" t="s">
        <v>1331</v>
      </c>
      <c r="AD628">
        <f t="shared" si="13"/>
        <v>50.896999999999998</v>
      </c>
    </row>
    <row r="629" spans="27:30" x14ac:dyDescent="0.25">
      <c r="AA629" s="268">
        <v>45120</v>
      </c>
      <c r="AB629" s="269">
        <v>8234</v>
      </c>
      <c r="AC629" s="14" t="s">
        <v>1332</v>
      </c>
      <c r="AD629">
        <f t="shared" si="13"/>
        <v>27.283999999999999</v>
      </c>
    </row>
    <row r="630" spans="27:30" x14ac:dyDescent="0.25">
      <c r="AA630" s="268">
        <v>45121</v>
      </c>
      <c r="AB630" s="269">
        <v>8182.55</v>
      </c>
      <c r="AC630" s="14" t="s">
        <v>1333</v>
      </c>
      <c r="AD630">
        <f t="shared" si="13"/>
        <v>24.925000000000001</v>
      </c>
    </row>
    <row r="631" spans="27:30" x14ac:dyDescent="0.25">
      <c r="AA631" s="268">
        <v>45124</v>
      </c>
      <c r="AB631" s="269">
        <v>8251</v>
      </c>
      <c r="AC631" s="14" t="s">
        <v>1334</v>
      </c>
      <c r="AD631">
        <f t="shared" si="13"/>
        <v>20.274000000000001</v>
      </c>
    </row>
    <row r="632" spans="27:30" x14ac:dyDescent="0.25">
      <c r="AA632" s="268">
        <v>45125</v>
      </c>
      <c r="AB632" s="269">
        <v>8176</v>
      </c>
      <c r="AC632" s="14" t="s">
        <v>1335</v>
      </c>
      <c r="AD632">
        <f t="shared" si="13"/>
        <v>28.053000000000001</v>
      </c>
    </row>
    <row r="633" spans="27:30" x14ac:dyDescent="0.25">
      <c r="AA633" s="268">
        <v>45126</v>
      </c>
      <c r="AB633" s="269">
        <v>8329.2000000000007</v>
      </c>
      <c r="AC633" s="14" t="s">
        <v>1336</v>
      </c>
      <c r="AD633">
        <f t="shared" si="13"/>
        <v>15.042999999999999</v>
      </c>
    </row>
    <row r="634" spans="27:30" x14ac:dyDescent="0.25">
      <c r="AA634" s="268">
        <v>45127</v>
      </c>
      <c r="AB634" s="269">
        <v>8224.15</v>
      </c>
      <c r="AC634" s="14" t="s">
        <v>1337</v>
      </c>
      <c r="AD634">
        <f t="shared" si="13"/>
        <v>30.72</v>
      </c>
    </row>
    <row r="635" spans="27:30" x14ac:dyDescent="0.25">
      <c r="AA635" s="268">
        <v>45128</v>
      </c>
      <c r="AB635" s="269">
        <v>8119.2</v>
      </c>
      <c r="AC635" s="14" t="s">
        <v>1338</v>
      </c>
      <c r="AD635">
        <f t="shared" si="13"/>
        <v>65.673000000000002</v>
      </c>
    </row>
    <row r="636" spans="27:30" x14ac:dyDescent="0.25">
      <c r="AA636" s="268">
        <v>45131</v>
      </c>
      <c r="AB636" s="269">
        <v>8219.85</v>
      </c>
      <c r="AC636" s="14" t="s">
        <v>1339</v>
      </c>
      <c r="AD636">
        <f t="shared" si="13"/>
        <v>48.280999999999999</v>
      </c>
    </row>
    <row r="637" spans="27:30" x14ac:dyDescent="0.25">
      <c r="AA637" s="268">
        <v>45132</v>
      </c>
      <c r="AB637" s="269">
        <v>8393.2999999999993</v>
      </c>
      <c r="AC637" s="14" t="s">
        <v>1340</v>
      </c>
      <c r="AD637">
        <f t="shared" si="13"/>
        <v>58.317</v>
      </c>
    </row>
    <row r="638" spans="27:30" x14ac:dyDescent="0.25">
      <c r="AA638" s="268">
        <v>45133</v>
      </c>
      <c r="AB638" s="269">
        <v>8352.35</v>
      </c>
      <c r="AC638" s="14" t="s">
        <v>1341</v>
      </c>
      <c r="AD638">
        <f t="shared" si="13"/>
        <v>19.135000000000002</v>
      </c>
    </row>
    <row r="639" spans="27:30" x14ac:dyDescent="0.25">
      <c r="AA639" s="268">
        <v>45134</v>
      </c>
      <c r="AB639" s="269">
        <v>8288.25</v>
      </c>
      <c r="AC639" s="14" t="s">
        <v>1342</v>
      </c>
      <c r="AD639">
        <f t="shared" si="13"/>
        <v>21.681999999999999</v>
      </c>
    </row>
    <row r="640" spans="27:30" x14ac:dyDescent="0.25">
      <c r="AA640" s="268">
        <v>45135</v>
      </c>
      <c r="AB640" s="269">
        <v>8306.75</v>
      </c>
      <c r="AC640" s="14" t="s">
        <v>1343</v>
      </c>
      <c r="AD640">
        <f t="shared" si="13"/>
        <v>20.5</v>
      </c>
    </row>
    <row r="641" spans="27:30" x14ac:dyDescent="0.25">
      <c r="AA641" s="268">
        <v>45138</v>
      </c>
      <c r="AB641" s="269">
        <v>8318.15</v>
      </c>
      <c r="AC641" s="14" t="s">
        <v>1344</v>
      </c>
      <c r="AD641">
        <f t="shared" si="13"/>
        <v>24.004000000000001</v>
      </c>
    </row>
    <row r="642" spans="27:30" x14ac:dyDescent="0.25">
      <c r="AA642" s="268">
        <v>45139</v>
      </c>
      <c r="AB642" s="269">
        <v>8281.7999999999993</v>
      </c>
      <c r="AC642" s="14" t="s">
        <v>1345</v>
      </c>
      <c r="AD642">
        <f t="shared" si="13"/>
        <v>21.756</v>
      </c>
    </row>
    <row r="643" spans="27:30" x14ac:dyDescent="0.25">
      <c r="AA643" s="268">
        <v>45140</v>
      </c>
      <c r="AB643" s="269">
        <v>8287.7000000000007</v>
      </c>
      <c r="AC643" s="14" t="s">
        <v>1346</v>
      </c>
      <c r="AD643">
        <f t="shared" si="13"/>
        <v>13.441000000000001</v>
      </c>
    </row>
    <row r="644" spans="27:30" x14ac:dyDescent="0.25">
      <c r="AA644" s="268">
        <v>45141</v>
      </c>
      <c r="AB644" s="269">
        <v>8136.15</v>
      </c>
      <c r="AC644" s="14" t="s">
        <v>1347</v>
      </c>
      <c r="AD644">
        <f t="shared" ref="AD644:AD707" si="14">(IF(RIGHT(AC644,1)="K",
    VALUE(LEFT(AC644,LEN(AC644)-1))*1000,
    IF(RIGHT(AC644,1)="M",
       VALUE(LEFT(AC644,LEN(AC644)-1))*1000000,
       VALUE(AC644)
    )
))/10000</f>
        <v>39.06</v>
      </c>
    </row>
    <row r="645" spans="27:30" x14ac:dyDescent="0.25">
      <c r="AA645" s="268">
        <v>45142</v>
      </c>
      <c r="AB645" s="269">
        <v>8158.15</v>
      </c>
      <c r="AC645" s="14" t="s">
        <v>1348</v>
      </c>
      <c r="AD645">
        <f t="shared" si="14"/>
        <v>24.805</v>
      </c>
    </row>
    <row r="646" spans="27:30" x14ac:dyDescent="0.25">
      <c r="AA646" s="268">
        <v>45145</v>
      </c>
      <c r="AB646" s="269">
        <v>8175.45</v>
      </c>
      <c r="AC646" s="14" t="s">
        <v>1349</v>
      </c>
      <c r="AD646">
        <f t="shared" si="14"/>
        <v>19.53</v>
      </c>
    </row>
    <row r="647" spans="27:30" x14ac:dyDescent="0.25">
      <c r="AA647" s="268">
        <v>45146</v>
      </c>
      <c r="AB647" s="269">
        <v>8156.85</v>
      </c>
      <c r="AC647" s="14" t="s">
        <v>1350</v>
      </c>
      <c r="AD647">
        <f t="shared" si="14"/>
        <v>16.600999999999999</v>
      </c>
    </row>
    <row r="648" spans="27:30" x14ac:dyDescent="0.25">
      <c r="AA648" s="268">
        <v>45147</v>
      </c>
      <c r="AB648" s="269">
        <v>8111.25</v>
      </c>
      <c r="AC648" s="14" t="s">
        <v>1351</v>
      </c>
      <c r="AD648">
        <f t="shared" si="14"/>
        <v>22.234000000000002</v>
      </c>
    </row>
    <row r="649" spans="27:30" x14ac:dyDescent="0.25">
      <c r="AA649" s="268">
        <v>45148</v>
      </c>
      <c r="AB649" s="269">
        <v>8102.2</v>
      </c>
      <c r="AC649" s="14" t="s">
        <v>1352</v>
      </c>
      <c r="AD649">
        <f t="shared" si="14"/>
        <v>29.617999999999999</v>
      </c>
    </row>
    <row r="650" spans="27:30" x14ac:dyDescent="0.25">
      <c r="AA650" s="268">
        <v>45149</v>
      </c>
      <c r="AB650" s="269">
        <v>8132.95</v>
      </c>
      <c r="AC650" s="14" t="s">
        <v>1353</v>
      </c>
      <c r="AD650">
        <f t="shared" si="14"/>
        <v>29.31</v>
      </c>
    </row>
    <row r="651" spans="27:30" x14ac:dyDescent="0.25">
      <c r="AA651" s="268">
        <v>45152</v>
      </c>
      <c r="AB651" s="269">
        <v>8054.3</v>
      </c>
      <c r="AC651" s="14" t="s">
        <v>1354</v>
      </c>
      <c r="AD651">
        <f t="shared" si="14"/>
        <v>54.430999999999997</v>
      </c>
    </row>
    <row r="652" spans="27:30" x14ac:dyDescent="0.25">
      <c r="AA652" s="268">
        <v>45154</v>
      </c>
      <c r="AB652" s="269">
        <v>8251.9</v>
      </c>
      <c r="AC652" s="14" t="s">
        <v>1355</v>
      </c>
      <c r="AD652">
        <f t="shared" si="14"/>
        <v>28.277999999999999</v>
      </c>
    </row>
    <row r="653" spans="27:30" x14ac:dyDescent="0.25">
      <c r="AA653" s="268">
        <v>45155</v>
      </c>
      <c r="AB653" s="269">
        <v>8207.35</v>
      </c>
      <c r="AC653" s="14" t="s">
        <v>1356</v>
      </c>
      <c r="AD653">
        <f t="shared" si="14"/>
        <v>24.872</v>
      </c>
    </row>
    <row r="654" spans="27:30" x14ac:dyDescent="0.25">
      <c r="AA654" s="268">
        <v>45156</v>
      </c>
      <c r="AB654" s="269">
        <v>8214.85</v>
      </c>
      <c r="AC654" s="14" t="s">
        <v>1357</v>
      </c>
      <c r="AD654">
        <f t="shared" si="14"/>
        <v>26.526</v>
      </c>
    </row>
    <row r="655" spans="27:30" x14ac:dyDescent="0.25">
      <c r="AA655" s="268">
        <v>45159</v>
      </c>
      <c r="AB655" s="269">
        <v>8219.2999999999993</v>
      </c>
      <c r="AC655" s="14" t="s">
        <v>1358</v>
      </c>
      <c r="AD655">
        <f t="shared" si="14"/>
        <v>21.678999999999998</v>
      </c>
    </row>
    <row r="656" spans="27:30" x14ac:dyDescent="0.25">
      <c r="AA656" s="268">
        <v>45160</v>
      </c>
      <c r="AB656" s="269">
        <v>8203.5</v>
      </c>
      <c r="AC656" s="14" t="s">
        <v>1359</v>
      </c>
      <c r="AD656">
        <f t="shared" si="14"/>
        <v>19.311</v>
      </c>
    </row>
    <row r="657" spans="27:30" x14ac:dyDescent="0.25">
      <c r="AA657" s="268">
        <v>45161</v>
      </c>
      <c r="AB657" s="269">
        <v>8161.9</v>
      </c>
      <c r="AC657" s="14" t="s">
        <v>1360</v>
      </c>
      <c r="AD657">
        <f t="shared" si="14"/>
        <v>20.855</v>
      </c>
    </row>
    <row r="658" spans="27:30" x14ac:dyDescent="0.25">
      <c r="AA658" s="268">
        <v>45162</v>
      </c>
      <c r="AB658" s="269">
        <v>8211.4</v>
      </c>
      <c r="AC658" s="14" t="s">
        <v>1361</v>
      </c>
      <c r="AD658">
        <f t="shared" si="14"/>
        <v>27.384</v>
      </c>
    </row>
    <row r="659" spans="27:30" x14ac:dyDescent="0.25">
      <c r="AA659" s="268">
        <v>45163</v>
      </c>
      <c r="AB659" s="269">
        <v>8071.45</v>
      </c>
      <c r="AC659" s="14" t="s">
        <v>1362</v>
      </c>
      <c r="AD659">
        <f t="shared" si="14"/>
        <v>19.114999999999998</v>
      </c>
    </row>
    <row r="660" spans="27:30" x14ac:dyDescent="0.25">
      <c r="AA660" s="268">
        <v>45166</v>
      </c>
      <c r="AB660" s="269">
        <v>8117.65</v>
      </c>
      <c r="AC660" s="14" t="s">
        <v>1363</v>
      </c>
      <c r="AD660">
        <f t="shared" si="14"/>
        <v>32.777999999999999</v>
      </c>
    </row>
    <row r="661" spans="27:30" x14ac:dyDescent="0.25">
      <c r="AA661" s="268">
        <v>45167</v>
      </c>
      <c r="AB661" s="269">
        <v>8199.7000000000007</v>
      </c>
      <c r="AC661" s="14" t="s">
        <v>1364</v>
      </c>
      <c r="AD661">
        <f t="shared" si="14"/>
        <v>23.071000000000002</v>
      </c>
    </row>
    <row r="662" spans="27:30" x14ac:dyDescent="0.25">
      <c r="AA662" s="268">
        <v>45168</v>
      </c>
      <c r="AB662" s="269">
        <v>8265.9500000000007</v>
      </c>
      <c r="AC662" s="14" t="s">
        <v>1365</v>
      </c>
      <c r="AD662">
        <f t="shared" si="14"/>
        <v>22.323</v>
      </c>
    </row>
    <row r="663" spans="27:30" x14ac:dyDescent="0.25">
      <c r="AA663" s="268">
        <v>45169</v>
      </c>
      <c r="AB663" s="269">
        <v>8297.4500000000007</v>
      </c>
      <c r="AC663" s="14" t="s">
        <v>1366</v>
      </c>
      <c r="AD663">
        <f t="shared" si="14"/>
        <v>48.261000000000003</v>
      </c>
    </row>
    <row r="664" spans="27:30" x14ac:dyDescent="0.25">
      <c r="AA664" s="268">
        <v>45170</v>
      </c>
      <c r="AB664" s="269">
        <v>8262.4</v>
      </c>
      <c r="AC664" s="14" t="s">
        <v>1367</v>
      </c>
      <c r="AD664">
        <f t="shared" si="14"/>
        <v>21.564</v>
      </c>
    </row>
    <row r="665" spans="27:30" x14ac:dyDescent="0.25">
      <c r="AA665" s="268">
        <v>45173</v>
      </c>
      <c r="AB665" s="269">
        <v>8582.5499999999993</v>
      </c>
      <c r="AC665" s="14" t="s">
        <v>1368</v>
      </c>
      <c r="AD665">
        <f t="shared" si="14"/>
        <v>62.011000000000003</v>
      </c>
    </row>
    <row r="666" spans="27:30" x14ac:dyDescent="0.25">
      <c r="AA666" s="268">
        <v>45174</v>
      </c>
      <c r="AB666" s="269">
        <v>8454.85</v>
      </c>
      <c r="AC666" s="14" t="s">
        <v>1369</v>
      </c>
      <c r="AD666">
        <f t="shared" si="14"/>
        <v>21.059000000000001</v>
      </c>
    </row>
    <row r="667" spans="27:30" x14ac:dyDescent="0.25">
      <c r="AA667" s="268">
        <v>45175</v>
      </c>
      <c r="AB667" s="269">
        <v>8537.4</v>
      </c>
      <c r="AC667" s="14" t="s">
        <v>1370</v>
      </c>
      <c r="AD667">
        <f t="shared" si="14"/>
        <v>32.784999999999997</v>
      </c>
    </row>
    <row r="668" spans="27:30" x14ac:dyDescent="0.25">
      <c r="AA668" s="268">
        <v>45176</v>
      </c>
      <c r="AB668" s="269">
        <v>8495.15</v>
      </c>
      <c r="AC668" s="14" t="s">
        <v>1371</v>
      </c>
      <c r="AD668">
        <f t="shared" si="14"/>
        <v>20.347999999999999</v>
      </c>
    </row>
    <row r="669" spans="27:30" x14ac:dyDescent="0.25">
      <c r="AA669" s="268">
        <v>45177</v>
      </c>
      <c r="AB669" s="269">
        <v>8430.5499999999993</v>
      </c>
      <c r="AC669" s="14" t="s">
        <v>1372</v>
      </c>
      <c r="AD669">
        <f t="shared" si="14"/>
        <v>12.596</v>
      </c>
    </row>
    <row r="670" spans="27:30" x14ac:dyDescent="0.25">
      <c r="AA670" s="268">
        <v>45180</v>
      </c>
      <c r="AB670" s="269">
        <v>8461.7000000000007</v>
      </c>
      <c r="AC670" s="14" t="s">
        <v>1373</v>
      </c>
      <c r="AD670">
        <f t="shared" si="14"/>
        <v>13.169</v>
      </c>
    </row>
    <row r="671" spans="27:30" x14ac:dyDescent="0.25">
      <c r="AA671" s="268">
        <v>45181</v>
      </c>
      <c r="AB671" s="269">
        <v>8571.65</v>
      </c>
      <c r="AC671" s="14" t="s">
        <v>1374</v>
      </c>
      <c r="AD671">
        <f t="shared" si="14"/>
        <v>33.582000000000001</v>
      </c>
    </row>
    <row r="672" spans="27:30" x14ac:dyDescent="0.25">
      <c r="AA672" s="268">
        <v>45182</v>
      </c>
      <c r="AB672" s="269">
        <v>8636.35</v>
      </c>
      <c r="AC672" s="14" t="s">
        <v>1015</v>
      </c>
      <c r="AD672">
        <f t="shared" si="14"/>
        <v>32.101999999999997</v>
      </c>
    </row>
    <row r="673" spans="27:30" x14ac:dyDescent="0.25">
      <c r="AA673" s="268">
        <v>45183</v>
      </c>
      <c r="AB673" s="269">
        <v>8687.9500000000007</v>
      </c>
      <c r="AC673" s="14" t="s">
        <v>1375</v>
      </c>
      <c r="AD673">
        <f t="shared" si="14"/>
        <v>31.196999999999999</v>
      </c>
    </row>
    <row r="674" spans="27:30" x14ac:dyDescent="0.25">
      <c r="AA674" s="268">
        <v>45184</v>
      </c>
      <c r="AB674" s="269">
        <v>8728.35</v>
      </c>
      <c r="AC674" s="14" t="s">
        <v>1376</v>
      </c>
      <c r="AD674">
        <f t="shared" si="14"/>
        <v>35.725000000000001</v>
      </c>
    </row>
    <row r="675" spans="27:30" x14ac:dyDescent="0.25">
      <c r="AA675" s="268">
        <v>45187</v>
      </c>
      <c r="AB675" s="269">
        <v>8628</v>
      </c>
      <c r="AC675" s="14" t="s">
        <v>1377</v>
      </c>
      <c r="AD675">
        <f t="shared" si="14"/>
        <v>12.930999999999999</v>
      </c>
    </row>
    <row r="676" spans="27:30" x14ac:dyDescent="0.25">
      <c r="AA676" s="268">
        <v>45189</v>
      </c>
      <c r="AB676" s="269">
        <v>8458.15</v>
      </c>
      <c r="AC676" s="14" t="s">
        <v>1378</v>
      </c>
      <c r="AD676">
        <f t="shared" si="14"/>
        <v>31.74</v>
      </c>
    </row>
    <row r="677" spans="27:30" x14ac:dyDescent="0.25">
      <c r="AA677" s="268">
        <v>45190</v>
      </c>
      <c r="AB677" s="269">
        <v>8313.5499999999993</v>
      </c>
      <c r="AC677" s="14" t="s">
        <v>1379</v>
      </c>
      <c r="AD677">
        <f t="shared" si="14"/>
        <v>39.395000000000003</v>
      </c>
    </row>
    <row r="678" spans="27:30" x14ac:dyDescent="0.25">
      <c r="AA678" s="268">
        <v>45191</v>
      </c>
      <c r="AB678" s="269">
        <v>8187.4</v>
      </c>
      <c r="AC678" s="14" t="s">
        <v>1380</v>
      </c>
      <c r="AD678">
        <f t="shared" si="14"/>
        <v>52.482999999999997</v>
      </c>
    </row>
    <row r="679" spans="27:30" x14ac:dyDescent="0.25">
      <c r="AA679" s="268">
        <v>45194</v>
      </c>
      <c r="AB679" s="269">
        <v>8206.2000000000007</v>
      </c>
      <c r="AC679" s="14" t="s">
        <v>755</v>
      </c>
      <c r="AD679">
        <f t="shared" si="14"/>
        <v>46.741999999999997</v>
      </c>
    </row>
    <row r="680" spans="27:30" x14ac:dyDescent="0.25">
      <c r="AA680" s="268">
        <v>45195</v>
      </c>
      <c r="AB680" s="269">
        <v>8228.9</v>
      </c>
      <c r="AC680" s="14" t="s">
        <v>1381</v>
      </c>
      <c r="AD680">
        <f t="shared" si="14"/>
        <v>51.579999999999991</v>
      </c>
    </row>
    <row r="681" spans="27:30" x14ac:dyDescent="0.25">
      <c r="AA681" s="268">
        <v>45196</v>
      </c>
      <c r="AB681" s="269">
        <v>8262.7000000000007</v>
      </c>
      <c r="AC681" s="14" t="s">
        <v>1382</v>
      </c>
      <c r="AD681">
        <f t="shared" si="14"/>
        <v>54.164000000000001</v>
      </c>
    </row>
    <row r="682" spans="27:30" x14ac:dyDescent="0.25">
      <c r="AA682" s="268">
        <v>45197</v>
      </c>
      <c r="AB682" s="269">
        <v>8154.35</v>
      </c>
      <c r="AC682" s="14" t="s">
        <v>1383</v>
      </c>
      <c r="AD682">
        <f t="shared" si="14"/>
        <v>37.042999999999999</v>
      </c>
    </row>
    <row r="683" spans="27:30" x14ac:dyDescent="0.25">
      <c r="AA683" s="268">
        <v>45198</v>
      </c>
      <c r="AB683" s="269">
        <v>8254.85</v>
      </c>
      <c r="AC683" s="14" t="s">
        <v>1384</v>
      </c>
      <c r="AD683">
        <f t="shared" si="14"/>
        <v>32.097000000000001</v>
      </c>
    </row>
    <row r="684" spans="27:30" x14ac:dyDescent="0.25">
      <c r="AA684" s="268">
        <v>45202</v>
      </c>
      <c r="AB684" s="269">
        <v>8304.9</v>
      </c>
      <c r="AC684" s="14" t="s">
        <v>1385</v>
      </c>
      <c r="AD684">
        <f t="shared" si="14"/>
        <v>45.44</v>
      </c>
    </row>
    <row r="685" spans="27:30" x14ac:dyDescent="0.25">
      <c r="AA685" s="268">
        <v>45203</v>
      </c>
      <c r="AB685" s="269">
        <v>8120.85</v>
      </c>
      <c r="AC685" s="14" t="s">
        <v>1386</v>
      </c>
      <c r="AD685">
        <f t="shared" si="14"/>
        <v>88.436999999999998</v>
      </c>
    </row>
    <row r="686" spans="27:30" x14ac:dyDescent="0.25">
      <c r="AA686" s="268">
        <v>45204</v>
      </c>
      <c r="AB686" s="269">
        <v>8177.45</v>
      </c>
      <c r="AC686" s="14" t="s">
        <v>1387</v>
      </c>
      <c r="AD686">
        <f t="shared" si="14"/>
        <v>31.050999999999998</v>
      </c>
    </row>
    <row r="687" spans="27:30" x14ac:dyDescent="0.25">
      <c r="AA687" s="268">
        <v>45205</v>
      </c>
      <c r="AB687" s="269">
        <v>8195.4500000000007</v>
      </c>
      <c r="AC687" s="14" t="s">
        <v>1388</v>
      </c>
      <c r="AD687">
        <f t="shared" si="14"/>
        <v>15.849</v>
      </c>
    </row>
    <row r="688" spans="27:30" x14ac:dyDescent="0.25">
      <c r="AA688" s="268">
        <v>45208</v>
      </c>
      <c r="AB688" s="269">
        <v>8110.1</v>
      </c>
      <c r="AC688" s="14" t="s">
        <v>1389</v>
      </c>
      <c r="AD688">
        <f t="shared" si="14"/>
        <v>15.253</v>
      </c>
    </row>
    <row r="689" spans="27:30" x14ac:dyDescent="0.25">
      <c r="AA689" s="268">
        <v>45209</v>
      </c>
      <c r="AB689" s="269">
        <v>8158.3</v>
      </c>
      <c r="AC689" s="14" t="s">
        <v>1390</v>
      </c>
      <c r="AD689">
        <f t="shared" si="14"/>
        <v>18.702000000000002</v>
      </c>
    </row>
    <row r="690" spans="27:30" x14ac:dyDescent="0.25">
      <c r="AA690" s="268">
        <v>45210</v>
      </c>
      <c r="AB690" s="269">
        <v>8343</v>
      </c>
      <c r="AC690" s="14" t="s">
        <v>1391</v>
      </c>
      <c r="AD690">
        <f t="shared" si="14"/>
        <v>43.962000000000003</v>
      </c>
    </row>
    <row r="691" spans="27:30" x14ac:dyDescent="0.25">
      <c r="AA691" s="268">
        <v>45211</v>
      </c>
      <c r="AB691" s="269">
        <v>8351.75</v>
      </c>
      <c r="AC691" s="14" t="s">
        <v>1392</v>
      </c>
      <c r="AD691">
        <f t="shared" si="14"/>
        <v>17.77</v>
      </c>
    </row>
    <row r="692" spans="27:30" x14ac:dyDescent="0.25">
      <c r="AA692" s="268">
        <v>45212</v>
      </c>
      <c r="AB692" s="269">
        <v>8369</v>
      </c>
      <c r="AC692" s="14" t="s">
        <v>1393</v>
      </c>
      <c r="AD692">
        <f t="shared" si="14"/>
        <v>28.507999999999999</v>
      </c>
    </row>
    <row r="693" spans="27:30" x14ac:dyDescent="0.25">
      <c r="AA693" s="268">
        <v>45215</v>
      </c>
      <c r="AB693" s="269">
        <v>8292.2000000000007</v>
      </c>
      <c r="AC693" s="14" t="s">
        <v>1394</v>
      </c>
      <c r="AD693">
        <f t="shared" si="14"/>
        <v>36.399000000000001</v>
      </c>
    </row>
    <row r="694" spans="27:30" x14ac:dyDescent="0.25">
      <c r="AA694" s="268">
        <v>45216</v>
      </c>
      <c r="AB694" s="269">
        <v>8301.4</v>
      </c>
      <c r="AC694" s="14" t="s">
        <v>1395</v>
      </c>
      <c r="AD694">
        <f t="shared" si="14"/>
        <v>20.523</v>
      </c>
    </row>
    <row r="695" spans="27:30" x14ac:dyDescent="0.25">
      <c r="AA695" s="268">
        <v>45217</v>
      </c>
      <c r="AB695" s="269">
        <v>8278.2999999999993</v>
      </c>
      <c r="AC695" s="14" t="s">
        <v>1396</v>
      </c>
      <c r="AD695">
        <f t="shared" si="14"/>
        <v>32.213999999999999</v>
      </c>
    </row>
    <row r="696" spans="27:30" x14ac:dyDescent="0.25">
      <c r="AA696" s="268">
        <v>45218</v>
      </c>
      <c r="AB696" s="269">
        <v>8518.5499999999993</v>
      </c>
      <c r="AC696" s="14" t="s">
        <v>1397</v>
      </c>
      <c r="AD696">
        <f t="shared" si="14"/>
        <v>83.75</v>
      </c>
    </row>
    <row r="697" spans="27:30" x14ac:dyDescent="0.25">
      <c r="AA697" s="268">
        <v>45219</v>
      </c>
      <c r="AB697" s="269">
        <v>8461.0499999999993</v>
      </c>
      <c r="AC697" s="14" t="s">
        <v>1398</v>
      </c>
      <c r="AD697">
        <f t="shared" si="14"/>
        <v>53.929000000000002</v>
      </c>
    </row>
    <row r="698" spans="27:30" x14ac:dyDescent="0.25">
      <c r="AA698" s="268">
        <v>45222</v>
      </c>
      <c r="AB698" s="269">
        <v>8325.25</v>
      </c>
      <c r="AC698" s="14" t="s">
        <v>1399</v>
      </c>
      <c r="AD698">
        <f t="shared" si="14"/>
        <v>21.754999999999999</v>
      </c>
    </row>
    <row r="699" spans="27:30" x14ac:dyDescent="0.25">
      <c r="AA699" s="268">
        <v>45224</v>
      </c>
      <c r="AB699" s="269">
        <v>8256.35</v>
      </c>
      <c r="AC699" s="14" t="s">
        <v>1400</v>
      </c>
      <c r="AD699">
        <f t="shared" si="14"/>
        <v>25.568000000000001</v>
      </c>
    </row>
    <row r="700" spans="27:30" x14ac:dyDescent="0.25">
      <c r="AA700" s="268">
        <v>45225</v>
      </c>
      <c r="AB700" s="269">
        <v>8205.2999999999993</v>
      </c>
      <c r="AC700" s="14" t="s">
        <v>1401</v>
      </c>
      <c r="AD700">
        <f t="shared" si="14"/>
        <v>63.743000000000002</v>
      </c>
    </row>
    <row r="701" spans="27:30" x14ac:dyDescent="0.25">
      <c r="AA701" s="268">
        <v>45226</v>
      </c>
      <c r="AB701" s="269">
        <v>8210.15</v>
      </c>
      <c r="AC701" s="14" t="s">
        <v>1267</v>
      </c>
      <c r="AD701">
        <f t="shared" si="14"/>
        <v>22.768000000000001</v>
      </c>
    </row>
    <row r="702" spans="27:30" x14ac:dyDescent="0.25">
      <c r="AA702" s="268">
        <v>45229</v>
      </c>
      <c r="AB702" s="269">
        <v>8401.6</v>
      </c>
      <c r="AC702" s="14" t="s">
        <v>1402</v>
      </c>
      <c r="AD702">
        <f t="shared" si="14"/>
        <v>24.407</v>
      </c>
    </row>
    <row r="703" spans="27:30" x14ac:dyDescent="0.25">
      <c r="AA703" s="268">
        <v>45230</v>
      </c>
      <c r="AB703" s="269">
        <v>8422.25</v>
      </c>
      <c r="AC703" s="14" t="s">
        <v>1403</v>
      </c>
      <c r="AD703">
        <f t="shared" si="14"/>
        <v>21.890999999999998</v>
      </c>
    </row>
    <row r="704" spans="27:30" x14ac:dyDescent="0.25">
      <c r="AA704" s="268">
        <v>45231</v>
      </c>
      <c r="AB704" s="269">
        <v>8381.4500000000007</v>
      </c>
      <c r="AC704" s="14" t="s">
        <v>569</v>
      </c>
      <c r="AD704">
        <f t="shared" si="14"/>
        <v>20.922999999999998</v>
      </c>
    </row>
    <row r="705" spans="27:30" x14ac:dyDescent="0.25">
      <c r="AA705" s="268">
        <v>45232</v>
      </c>
      <c r="AB705" s="269">
        <v>8459</v>
      </c>
      <c r="AC705" s="14" t="s">
        <v>1404</v>
      </c>
      <c r="AD705">
        <f t="shared" si="14"/>
        <v>20.059000000000001</v>
      </c>
    </row>
    <row r="706" spans="27:30" x14ac:dyDescent="0.25">
      <c r="AA706" s="268">
        <v>45233</v>
      </c>
      <c r="AB706" s="269">
        <v>8522.6</v>
      </c>
      <c r="AC706" s="14" t="s">
        <v>1405</v>
      </c>
      <c r="AD706">
        <f t="shared" si="14"/>
        <v>24.369</v>
      </c>
    </row>
    <row r="707" spans="27:30" x14ac:dyDescent="0.25">
      <c r="AA707" s="268">
        <v>45236</v>
      </c>
      <c r="AB707" s="269">
        <v>8640.9500000000007</v>
      </c>
      <c r="AC707" s="14" t="s">
        <v>1406</v>
      </c>
      <c r="AD707">
        <f t="shared" si="14"/>
        <v>19.472000000000001</v>
      </c>
    </row>
    <row r="708" spans="27:30" x14ac:dyDescent="0.25">
      <c r="AA708" s="268">
        <v>45237</v>
      </c>
      <c r="AB708" s="269">
        <v>8685.75</v>
      </c>
      <c r="AC708" s="14" t="s">
        <v>1407</v>
      </c>
      <c r="AD708">
        <f t="shared" ref="AD708:AD771" si="15">(IF(RIGHT(AC708,1)="K",
    VALUE(LEFT(AC708,LEN(AC708)-1))*1000,
    IF(RIGHT(AC708,1)="M",
       VALUE(LEFT(AC708,LEN(AC708)-1))*1000000,
       VALUE(AC708)
    )
))/10000</f>
        <v>20.635999999999999</v>
      </c>
    </row>
    <row r="709" spans="27:30" x14ac:dyDescent="0.25">
      <c r="AA709" s="268">
        <v>45238</v>
      </c>
      <c r="AB709" s="269">
        <v>8698.85</v>
      </c>
      <c r="AC709" s="14" t="s">
        <v>1408</v>
      </c>
      <c r="AD709">
        <f t="shared" si="15"/>
        <v>13.237</v>
      </c>
    </row>
    <row r="710" spans="27:30" x14ac:dyDescent="0.25">
      <c r="AA710" s="268">
        <v>45239</v>
      </c>
      <c r="AB710" s="269">
        <v>8627.0499999999993</v>
      </c>
      <c r="AC710" s="14" t="s">
        <v>1409</v>
      </c>
      <c r="AD710">
        <f t="shared" si="15"/>
        <v>12.813999999999998</v>
      </c>
    </row>
    <row r="711" spans="27:30" x14ac:dyDescent="0.25">
      <c r="AA711" s="268">
        <v>45240</v>
      </c>
      <c r="AB711" s="269">
        <v>8710.85</v>
      </c>
      <c r="AC711" s="14" t="s">
        <v>589</v>
      </c>
      <c r="AD711">
        <f t="shared" si="15"/>
        <v>14.994</v>
      </c>
    </row>
    <row r="712" spans="27:30" x14ac:dyDescent="0.25">
      <c r="AA712" s="268">
        <v>45242</v>
      </c>
      <c r="AB712" s="269">
        <v>8722.9500000000007</v>
      </c>
      <c r="AC712" s="14" t="s">
        <v>1410</v>
      </c>
      <c r="AD712">
        <f t="shared" si="15"/>
        <v>1.369</v>
      </c>
    </row>
    <row r="713" spans="27:30" x14ac:dyDescent="0.25">
      <c r="AA713" s="268">
        <v>45243</v>
      </c>
      <c r="AB713" s="269">
        <v>8677.4</v>
      </c>
      <c r="AC713" s="14" t="s">
        <v>1411</v>
      </c>
      <c r="AD713">
        <f t="shared" si="15"/>
        <v>6.4409999999999998</v>
      </c>
    </row>
    <row r="714" spans="27:30" x14ac:dyDescent="0.25">
      <c r="AA714" s="268">
        <v>45245</v>
      </c>
      <c r="AB714" s="269">
        <v>8766.9</v>
      </c>
      <c r="AC714" s="14" t="s">
        <v>1412</v>
      </c>
      <c r="AD714">
        <f t="shared" si="15"/>
        <v>19.234999999999999</v>
      </c>
    </row>
    <row r="715" spans="27:30" x14ac:dyDescent="0.25">
      <c r="AA715" s="268">
        <v>45246</v>
      </c>
      <c r="AB715" s="269">
        <v>8775.0499999999993</v>
      </c>
      <c r="AC715" s="14" t="s">
        <v>1413</v>
      </c>
      <c r="AD715">
        <f t="shared" si="15"/>
        <v>23.343</v>
      </c>
    </row>
    <row r="716" spans="27:30" x14ac:dyDescent="0.25">
      <c r="AA716" s="268">
        <v>45247</v>
      </c>
      <c r="AB716" s="269">
        <v>8790.9500000000007</v>
      </c>
      <c r="AC716" s="14" t="s">
        <v>1414</v>
      </c>
      <c r="AD716">
        <f t="shared" si="15"/>
        <v>15.182</v>
      </c>
    </row>
    <row r="717" spans="27:30" x14ac:dyDescent="0.25">
      <c r="AA717" s="268">
        <v>45250</v>
      </c>
      <c r="AB717" s="269">
        <v>8661.5</v>
      </c>
      <c r="AC717" s="14" t="s">
        <v>1415</v>
      </c>
      <c r="AD717">
        <f t="shared" si="15"/>
        <v>17.431000000000001</v>
      </c>
    </row>
    <row r="718" spans="27:30" x14ac:dyDescent="0.25">
      <c r="AA718" s="268">
        <v>45251</v>
      </c>
      <c r="AB718" s="269">
        <v>8708.35</v>
      </c>
      <c r="AC718" s="14" t="s">
        <v>1416</v>
      </c>
      <c r="AD718">
        <f t="shared" si="15"/>
        <v>18.350999999999999</v>
      </c>
    </row>
    <row r="719" spans="27:30" x14ac:dyDescent="0.25">
      <c r="AA719" s="268">
        <v>45252</v>
      </c>
      <c r="AB719" s="269">
        <v>8759.9</v>
      </c>
      <c r="AC719" s="14" t="s">
        <v>1417</v>
      </c>
      <c r="AD719">
        <f t="shared" si="15"/>
        <v>32.531999999999996</v>
      </c>
    </row>
    <row r="720" spans="27:30" x14ac:dyDescent="0.25">
      <c r="AA720" s="268">
        <v>45253</v>
      </c>
      <c r="AB720" s="269">
        <v>8605.25</v>
      </c>
      <c r="AC720" s="14" t="s">
        <v>1418</v>
      </c>
      <c r="AD720">
        <f t="shared" si="15"/>
        <v>34.427</v>
      </c>
    </row>
    <row r="721" spans="27:30" x14ac:dyDescent="0.25">
      <c r="AA721" s="268">
        <v>45254</v>
      </c>
      <c r="AB721" s="269">
        <v>8556.2000000000007</v>
      </c>
      <c r="AC721" s="14" t="s">
        <v>1419</v>
      </c>
      <c r="AD721">
        <f t="shared" si="15"/>
        <v>19.728000000000002</v>
      </c>
    </row>
    <row r="722" spans="27:30" x14ac:dyDescent="0.25">
      <c r="AA722" s="268">
        <v>45258</v>
      </c>
      <c r="AB722" s="269">
        <v>8726.5</v>
      </c>
      <c r="AC722" s="14" t="s">
        <v>1420</v>
      </c>
      <c r="AD722">
        <f t="shared" si="15"/>
        <v>34.334000000000003</v>
      </c>
    </row>
    <row r="723" spans="27:30" x14ac:dyDescent="0.25">
      <c r="AA723" s="268">
        <v>45259</v>
      </c>
      <c r="AB723" s="269">
        <v>8732.75</v>
      </c>
      <c r="AC723" s="14" t="s">
        <v>1421</v>
      </c>
      <c r="AD723">
        <f t="shared" si="15"/>
        <v>20.773</v>
      </c>
    </row>
    <row r="724" spans="27:30" x14ac:dyDescent="0.25">
      <c r="AA724" s="268">
        <v>45260</v>
      </c>
      <c r="AB724" s="269">
        <v>9003.65</v>
      </c>
      <c r="AC724" s="14" t="s">
        <v>1422</v>
      </c>
      <c r="AD724">
        <f t="shared" si="15"/>
        <v>103</v>
      </c>
    </row>
    <row r="725" spans="27:30" x14ac:dyDescent="0.25">
      <c r="AA725" s="268">
        <v>45261</v>
      </c>
      <c r="AB725" s="269">
        <v>9033.85</v>
      </c>
      <c r="AC725" s="14" t="s">
        <v>1423</v>
      </c>
      <c r="AD725">
        <f t="shared" si="15"/>
        <v>35.302</v>
      </c>
    </row>
    <row r="726" spans="27:30" x14ac:dyDescent="0.25">
      <c r="AA726" s="268">
        <v>45264</v>
      </c>
      <c r="AB726" s="269">
        <v>9317.75</v>
      </c>
      <c r="AC726" s="14" t="s">
        <v>1424</v>
      </c>
      <c r="AD726">
        <f t="shared" si="15"/>
        <v>47.356999999999999</v>
      </c>
    </row>
    <row r="727" spans="27:30" x14ac:dyDescent="0.25">
      <c r="AA727" s="268">
        <v>45265</v>
      </c>
      <c r="AB727" s="269">
        <v>9329.75</v>
      </c>
      <c r="AC727" s="14" t="s">
        <v>1425</v>
      </c>
      <c r="AD727">
        <f t="shared" si="15"/>
        <v>44.845999999999997</v>
      </c>
    </row>
    <row r="728" spans="27:30" x14ac:dyDescent="0.25">
      <c r="AA728" s="268">
        <v>45266</v>
      </c>
      <c r="AB728" s="269">
        <v>9213</v>
      </c>
      <c r="AC728" s="14" t="s">
        <v>1426</v>
      </c>
      <c r="AD728">
        <f t="shared" si="15"/>
        <v>30.890999999999998</v>
      </c>
    </row>
    <row r="729" spans="27:30" x14ac:dyDescent="0.25">
      <c r="AA729" s="268">
        <v>45267</v>
      </c>
      <c r="AB729" s="269">
        <v>9354.5499999999993</v>
      </c>
      <c r="AC729" s="14" t="s">
        <v>1427</v>
      </c>
      <c r="AD729">
        <f t="shared" si="15"/>
        <v>34.683</v>
      </c>
    </row>
    <row r="730" spans="27:30" x14ac:dyDescent="0.25">
      <c r="AA730" s="268">
        <v>45268</v>
      </c>
      <c r="AB730" s="269">
        <v>9413.5499999999993</v>
      </c>
      <c r="AC730" s="14" t="s">
        <v>1428</v>
      </c>
      <c r="AD730">
        <f t="shared" si="15"/>
        <v>31.175999999999998</v>
      </c>
    </row>
    <row r="731" spans="27:30" x14ac:dyDescent="0.25">
      <c r="AA731" s="268">
        <v>45271</v>
      </c>
      <c r="AB731" s="269">
        <v>9670.9</v>
      </c>
      <c r="AC731" s="14" t="s">
        <v>1429</v>
      </c>
      <c r="AD731">
        <f t="shared" si="15"/>
        <v>58.808</v>
      </c>
    </row>
    <row r="732" spans="27:30" x14ac:dyDescent="0.25">
      <c r="AA732" s="268">
        <v>45272</v>
      </c>
      <c r="AB732" s="269">
        <v>9863.5</v>
      </c>
      <c r="AC732" s="14" t="s">
        <v>1236</v>
      </c>
      <c r="AD732">
        <f t="shared" si="15"/>
        <v>106</v>
      </c>
    </row>
    <row r="733" spans="27:30" x14ac:dyDescent="0.25">
      <c r="AA733" s="268">
        <v>45273</v>
      </c>
      <c r="AB733" s="269">
        <v>9739.15</v>
      </c>
      <c r="AC733" s="14" t="s">
        <v>1430</v>
      </c>
      <c r="AD733">
        <f t="shared" si="15"/>
        <v>150</v>
      </c>
    </row>
    <row r="734" spans="27:30" x14ac:dyDescent="0.25">
      <c r="AA734" s="268">
        <v>45274</v>
      </c>
      <c r="AB734" s="269">
        <v>9963.2999999999993</v>
      </c>
      <c r="AC734" s="14" t="s">
        <v>1431</v>
      </c>
      <c r="AD734">
        <f t="shared" si="15"/>
        <v>71.042000000000002</v>
      </c>
    </row>
    <row r="735" spans="27:30" x14ac:dyDescent="0.25">
      <c r="AA735" s="268">
        <v>45275</v>
      </c>
      <c r="AB735" s="269">
        <v>10029.450000000001</v>
      </c>
      <c r="AC735" s="14" t="s">
        <v>1432</v>
      </c>
      <c r="AD735">
        <f t="shared" si="15"/>
        <v>43.951999999999998</v>
      </c>
    </row>
    <row r="736" spans="27:30" x14ac:dyDescent="0.25">
      <c r="AA736" s="268">
        <v>45278</v>
      </c>
      <c r="AB736" s="269">
        <v>9970.35</v>
      </c>
      <c r="AC736" s="14" t="s">
        <v>1433</v>
      </c>
      <c r="AD736">
        <f t="shared" si="15"/>
        <v>26.655999999999999</v>
      </c>
    </row>
    <row r="737" spans="27:30" x14ac:dyDescent="0.25">
      <c r="AA737" s="268">
        <v>45279</v>
      </c>
      <c r="AB737" s="269">
        <v>10017.1</v>
      </c>
      <c r="AC737" s="14" t="s">
        <v>1434</v>
      </c>
      <c r="AD737">
        <f t="shared" si="15"/>
        <v>67.516999999999996</v>
      </c>
    </row>
    <row r="738" spans="27:30" x14ac:dyDescent="0.25">
      <c r="AA738" s="268">
        <v>45280</v>
      </c>
      <c r="AB738" s="269">
        <v>9887.4500000000007</v>
      </c>
      <c r="AC738" s="14" t="s">
        <v>1435</v>
      </c>
      <c r="AD738">
        <f t="shared" si="15"/>
        <v>50.145000000000003</v>
      </c>
    </row>
    <row r="739" spans="27:30" x14ac:dyDescent="0.25">
      <c r="AA739" s="268">
        <v>45281</v>
      </c>
      <c r="AB739" s="269">
        <v>9954.4500000000007</v>
      </c>
      <c r="AC739" s="14" t="s">
        <v>1436</v>
      </c>
      <c r="AD739">
        <f t="shared" si="15"/>
        <v>21.672999999999998</v>
      </c>
    </row>
    <row r="740" spans="27:30" x14ac:dyDescent="0.25">
      <c r="AA740" s="268">
        <v>45282</v>
      </c>
      <c r="AB740" s="269">
        <v>9969</v>
      </c>
      <c r="AC740" s="14" t="s">
        <v>1437</v>
      </c>
      <c r="AD740">
        <f t="shared" si="15"/>
        <v>22.693999999999999</v>
      </c>
    </row>
    <row r="741" spans="27:30" x14ac:dyDescent="0.25">
      <c r="AA741" s="268">
        <v>45286</v>
      </c>
      <c r="AB741" s="269">
        <v>10018.65</v>
      </c>
      <c r="AC741" s="14" t="s">
        <v>1438</v>
      </c>
      <c r="AD741">
        <f t="shared" si="15"/>
        <v>22.611000000000001</v>
      </c>
    </row>
    <row r="742" spans="27:30" x14ac:dyDescent="0.25">
      <c r="AA742" s="268">
        <v>45287</v>
      </c>
      <c r="AB742" s="269">
        <v>10436.1</v>
      </c>
      <c r="AC742" s="14" t="s">
        <v>1439</v>
      </c>
      <c r="AD742">
        <f t="shared" si="15"/>
        <v>65.811999999999998</v>
      </c>
    </row>
    <row r="743" spans="27:30" x14ac:dyDescent="0.25">
      <c r="AA743" s="268">
        <v>45288</v>
      </c>
      <c r="AB743" s="269">
        <v>10426.299999999999</v>
      </c>
      <c r="AC743" s="14" t="s">
        <v>1440</v>
      </c>
      <c r="AD743">
        <f t="shared" si="15"/>
        <v>42.140999999999998</v>
      </c>
    </row>
    <row r="744" spans="27:30" x14ac:dyDescent="0.25">
      <c r="AA744" s="268">
        <v>45289</v>
      </c>
      <c r="AB744" s="269">
        <v>10503.05</v>
      </c>
      <c r="AC744" s="14" t="s">
        <v>1441</v>
      </c>
      <c r="AD744">
        <f t="shared" si="15"/>
        <v>24.309000000000001</v>
      </c>
    </row>
    <row r="745" spans="27:30" x14ac:dyDescent="0.25">
      <c r="AA745" s="268">
        <v>45292</v>
      </c>
      <c r="AB745" s="269">
        <v>10464</v>
      </c>
      <c r="AC745" s="14" t="s">
        <v>1442</v>
      </c>
      <c r="AD745">
        <f t="shared" si="15"/>
        <v>9.7680000000000007</v>
      </c>
    </row>
    <row r="746" spans="27:30" x14ac:dyDescent="0.25">
      <c r="AA746" s="268">
        <v>45293</v>
      </c>
      <c r="AB746" s="269">
        <v>10204.700000000001</v>
      </c>
      <c r="AC746" s="14" t="s">
        <v>1443</v>
      </c>
      <c r="AD746">
        <f t="shared" si="15"/>
        <v>33.753</v>
      </c>
    </row>
    <row r="747" spans="27:30" x14ac:dyDescent="0.25">
      <c r="AA747" s="268">
        <v>45294</v>
      </c>
      <c r="AB747" s="269">
        <v>10111.549999999999</v>
      </c>
      <c r="AC747" s="14" t="s">
        <v>1444</v>
      </c>
      <c r="AD747">
        <f t="shared" si="15"/>
        <v>17.957999999999998</v>
      </c>
    </row>
    <row r="748" spans="27:30" x14ac:dyDescent="0.25">
      <c r="AA748" s="268">
        <v>45295</v>
      </c>
      <c r="AB748" s="269">
        <v>10014.799999999999</v>
      </c>
      <c r="AC748" s="14" t="s">
        <v>1445</v>
      </c>
      <c r="AD748">
        <f t="shared" si="15"/>
        <v>31.376000000000001</v>
      </c>
    </row>
    <row r="749" spans="27:30" x14ac:dyDescent="0.25">
      <c r="AA749" s="268">
        <v>45296</v>
      </c>
      <c r="AB749" s="269">
        <v>10016.049999999999</v>
      </c>
      <c r="AC749" s="14" t="s">
        <v>1446</v>
      </c>
      <c r="AD749">
        <f t="shared" si="15"/>
        <v>16.318999999999999</v>
      </c>
    </row>
    <row r="750" spans="27:30" x14ac:dyDescent="0.25">
      <c r="AA750" s="268">
        <v>45299</v>
      </c>
      <c r="AB750" s="269">
        <v>9934.5</v>
      </c>
      <c r="AC750" s="14" t="s">
        <v>1447</v>
      </c>
      <c r="AD750">
        <f t="shared" si="15"/>
        <v>17.684000000000001</v>
      </c>
    </row>
    <row r="751" spans="27:30" x14ac:dyDescent="0.25">
      <c r="AA751" s="268">
        <v>45300</v>
      </c>
      <c r="AB751" s="269">
        <v>9899.1</v>
      </c>
      <c r="AC751" s="14" t="s">
        <v>1448</v>
      </c>
      <c r="AD751">
        <f t="shared" si="15"/>
        <v>24.292999999999999</v>
      </c>
    </row>
    <row r="752" spans="27:30" x14ac:dyDescent="0.25">
      <c r="AA752" s="268">
        <v>45301</v>
      </c>
      <c r="AB752" s="269">
        <v>9776.2000000000007</v>
      </c>
      <c r="AC752" s="14" t="s">
        <v>1449</v>
      </c>
      <c r="AD752">
        <f t="shared" si="15"/>
        <v>37.433</v>
      </c>
    </row>
    <row r="753" spans="27:30" x14ac:dyDescent="0.25">
      <c r="AA753" s="268">
        <v>45302</v>
      </c>
      <c r="AB753" s="269">
        <v>9920.4500000000007</v>
      </c>
      <c r="AC753" s="14" t="s">
        <v>1450</v>
      </c>
      <c r="AD753">
        <f t="shared" si="15"/>
        <v>37.521000000000001</v>
      </c>
    </row>
    <row r="754" spans="27:30" x14ac:dyDescent="0.25">
      <c r="AA754" s="268">
        <v>45303</v>
      </c>
      <c r="AB754" s="269">
        <v>9808.4500000000007</v>
      </c>
      <c r="AC754" s="14" t="s">
        <v>1451</v>
      </c>
      <c r="AD754">
        <f t="shared" si="15"/>
        <v>37.682000000000002</v>
      </c>
    </row>
    <row r="755" spans="27:30" x14ac:dyDescent="0.25">
      <c r="AA755" s="268">
        <v>45306</v>
      </c>
      <c r="AB755" s="269">
        <v>9954.5499999999993</v>
      </c>
      <c r="AC755" s="14" t="s">
        <v>1452</v>
      </c>
      <c r="AD755">
        <f t="shared" si="15"/>
        <v>27.393000000000001</v>
      </c>
    </row>
    <row r="756" spans="27:30" x14ac:dyDescent="0.25">
      <c r="AA756" s="268">
        <v>45307</v>
      </c>
      <c r="AB756" s="269">
        <v>9969.6</v>
      </c>
      <c r="AC756" s="14" t="s">
        <v>1453</v>
      </c>
      <c r="AD756">
        <f t="shared" si="15"/>
        <v>14.678000000000001</v>
      </c>
    </row>
    <row r="757" spans="27:30" x14ac:dyDescent="0.25">
      <c r="AA757" s="268">
        <v>45308</v>
      </c>
      <c r="AB757" s="269">
        <v>9854.65</v>
      </c>
      <c r="AC757" s="14" t="s">
        <v>1454</v>
      </c>
      <c r="AD757">
        <f t="shared" si="15"/>
        <v>25.282</v>
      </c>
    </row>
    <row r="758" spans="27:30" x14ac:dyDescent="0.25">
      <c r="AA758" s="268">
        <v>45309</v>
      </c>
      <c r="AB758" s="269">
        <v>9892.25</v>
      </c>
      <c r="AC758" s="14" t="s">
        <v>1455</v>
      </c>
      <c r="AD758">
        <f t="shared" si="15"/>
        <v>27.834</v>
      </c>
    </row>
    <row r="759" spans="27:30" x14ac:dyDescent="0.25">
      <c r="AA759" s="268">
        <v>45310</v>
      </c>
      <c r="AB759" s="269">
        <v>10093.700000000001</v>
      </c>
      <c r="AC759" s="14" t="s">
        <v>1456</v>
      </c>
      <c r="AD759">
        <f t="shared" si="15"/>
        <v>56.762</v>
      </c>
    </row>
    <row r="760" spans="27:30" x14ac:dyDescent="0.25">
      <c r="AA760" s="268">
        <v>45311</v>
      </c>
      <c r="AB760" s="269">
        <v>9997.4</v>
      </c>
      <c r="AC760" s="14" t="s">
        <v>1457</v>
      </c>
      <c r="AD760">
        <f t="shared" si="15"/>
        <v>13.826000000000001</v>
      </c>
    </row>
    <row r="761" spans="27:30" x14ac:dyDescent="0.25">
      <c r="AA761" s="268">
        <v>45314</v>
      </c>
      <c r="AB761" s="269">
        <v>9831</v>
      </c>
      <c r="AC761" s="14" t="s">
        <v>1458</v>
      </c>
      <c r="AD761">
        <f t="shared" si="15"/>
        <v>58.029000000000003</v>
      </c>
    </row>
    <row r="762" spans="27:30" x14ac:dyDescent="0.25">
      <c r="AA762" s="268">
        <v>45315</v>
      </c>
      <c r="AB762" s="269">
        <v>9990.5</v>
      </c>
      <c r="AC762" s="14" t="s">
        <v>1459</v>
      </c>
      <c r="AD762">
        <f t="shared" si="15"/>
        <v>27.242000000000001</v>
      </c>
    </row>
    <row r="763" spans="27:30" x14ac:dyDescent="0.25">
      <c r="AA763" s="268">
        <v>45316</v>
      </c>
      <c r="AB763" s="269">
        <v>9969.35</v>
      </c>
      <c r="AC763" s="14" t="s">
        <v>1460</v>
      </c>
      <c r="AD763">
        <f t="shared" si="15"/>
        <v>29.626999999999999</v>
      </c>
    </row>
    <row r="764" spans="27:30" x14ac:dyDescent="0.25">
      <c r="AA764" s="268">
        <v>45320</v>
      </c>
      <c r="AB764" s="269">
        <v>10274.049999999999</v>
      </c>
      <c r="AC764" s="14" t="s">
        <v>1461</v>
      </c>
      <c r="AD764">
        <f t="shared" si="15"/>
        <v>33.445999999999998</v>
      </c>
    </row>
    <row r="765" spans="27:30" x14ac:dyDescent="0.25">
      <c r="AA765" s="268">
        <v>45321</v>
      </c>
      <c r="AB765" s="269">
        <v>9963.6</v>
      </c>
      <c r="AC765" s="14" t="s">
        <v>1462</v>
      </c>
      <c r="AD765">
        <f t="shared" si="15"/>
        <v>36.883000000000003</v>
      </c>
    </row>
    <row r="766" spans="27:30" x14ac:dyDescent="0.25">
      <c r="AA766" s="268">
        <v>45322</v>
      </c>
      <c r="AB766" s="269">
        <v>10167.35</v>
      </c>
      <c r="AC766" s="14" t="s">
        <v>1463</v>
      </c>
      <c r="AD766">
        <f t="shared" si="15"/>
        <v>34.156999999999996</v>
      </c>
    </row>
    <row r="767" spans="27:30" x14ac:dyDescent="0.25">
      <c r="AA767" s="268">
        <v>45323</v>
      </c>
      <c r="AB767" s="269">
        <v>9922.2999999999993</v>
      </c>
      <c r="AC767" s="14" t="s">
        <v>1464</v>
      </c>
      <c r="AD767">
        <f t="shared" si="15"/>
        <v>40.15</v>
      </c>
    </row>
    <row r="768" spans="27:30" x14ac:dyDescent="0.25">
      <c r="AA768" s="268">
        <v>45324</v>
      </c>
      <c r="AB768" s="269">
        <v>10098.549999999999</v>
      </c>
      <c r="AC768" s="14" t="s">
        <v>1465</v>
      </c>
      <c r="AD768">
        <f t="shared" si="15"/>
        <v>33.439</v>
      </c>
    </row>
    <row r="769" spans="27:30" x14ac:dyDescent="0.25">
      <c r="AA769" s="268">
        <v>45327</v>
      </c>
      <c r="AB769" s="269">
        <v>9916.35</v>
      </c>
      <c r="AC769" s="14" t="s">
        <v>1466</v>
      </c>
      <c r="AD769">
        <f t="shared" si="15"/>
        <v>16.247</v>
      </c>
    </row>
    <row r="770" spans="27:30" x14ac:dyDescent="0.25">
      <c r="AA770" s="268">
        <v>45328</v>
      </c>
      <c r="AB770" s="269">
        <v>10048.75</v>
      </c>
      <c r="AC770" s="14" t="s">
        <v>1467</v>
      </c>
      <c r="AD770">
        <f t="shared" si="15"/>
        <v>25.087</v>
      </c>
    </row>
    <row r="771" spans="27:30" x14ac:dyDescent="0.25">
      <c r="AA771" s="268">
        <v>45329</v>
      </c>
      <c r="AB771" s="269">
        <v>10226.5</v>
      </c>
      <c r="AC771" s="14" t="s">
        <v>1468</v>
      </c>
      <c r="AD771">
        <f t="shared" si="15"/>
        <v>25.018000000000001</v>
      </c>
    </row>
    <row r="772" spans="27:30" x14ac:dyDescent="0.25">
      <c r="AA772" s="268">
        <v>45330</v>
      </c>
      <c r="AB772" s="269">
        <v>9997.65</v>
      </c>
      <c r="AC772" s="14" t="s">
        <v>1469</v>
      </c>
      <c r="AD772">
        <f t="shared" ref="AD772:AD835" si="16">(IF(RIGHT(AC772,1)="K",
    VALUE(LEFT(AC772,LEN(AC772)-1))*1000,
    IF(RIGHT(AC772,1)="M",
       VALUE(LEFT(AC772,LEN(AC772)-1))*1000000,
       VALUE(AC772)
    )
))/10000</f>
        <v>32.091000000000001</v>
      </c>
    </row>
    <row r="773" spans="27:30" x14ac:dyDescent="0.25">
      <c r="AA773" s="268">
        <v>45331</v>
      </c>
      <c r="AB773" s="269">
        <v>9945.75</v>
      </c>
      <c r="AC773" s="14" t="s">
        <v>1470</v>
      </c>
      <c r="AD773">
        <f t="shared" si="16"/>
        <v>40.082000000000001</v>
      </c>
    </row>
    <row r="774" spans="27:30" x14ac:dyDescent="0.25">
      <c r="AA774" s="268">
        <v>45334</v>
      </c>
      <c r="AB774" s="269">
        <v>9963.85</v>
      </c>
      <c r="AC774" s="14" t="s">
        <v>1471</v>
      </c>
      <c r="AD774">
        <f t="shared" si="16"/>
        <v>19.169</v>
      </c>
    </row>
    <row r="775" spans="27:30" x14ac:dyDescent="0.25">
      <c r="AA775" s="268">
        <v>45335</v>
      </c>
      <c r="AB775" s="269">
        <v>9852.4</v>
      </c>
      <c r="AC775" s="14" t="s">
        <v>1472</v>
      </c>
      <c r="AD775">
        <f t="shared" si="16"/>
        <v>27.645</v>
      </c>
    </row>
    <row r="776" spans="27:30" x14ac:dyDescent="0.25">
      <c r="AA776" s="268">
        <v>45336</v>
      </c>
      <c r="AB776" s="269">
        <v>9787.7999999999993</v>
      </c>
      <c r="AC776" s="14" t="s">
        <v>1473</v>
      </c>
      <c r="AD776">
        <f t="shared" si="16"/>
        <v>41.78</v>
      </c>
    </row>
    <row r="777" spans="27:30" x14ac:dyDescent="0.25">
      <c r="AA777" s="268">
        <v>45337</v>
      </c>
      <c r="AB777" s="269">
        <v>9814.2999999999993</v>
      </c>
      <c r="AC777" s="14" t="s">
        <v>1474</v>
      </c>
      <c r="AD777">
        <f t="shared" si="16"/>
        <v>41.509</v>
      </c>
    </row>
    <row r="778" spans="27:30" x14ac:dyDescent="0.25">
      <c r="AA778" s="268">
        <v>45338</v>
      </c>
      <c r="AB778" s="269">
        <v>9916.2000000000007</v>
      </c>
      <c r="AC778" s="14" t="s">
        <v>1475</v>
      </c>
      <c r="AD778">
        <f t="shared" si="16"/>
        <v>25.055</v>
      </c>
    </row>
    <row r="779" spans="27:30" x14ac:dyDescent="0.25">
      <c r="AA779" s="268">
        <v>45341</v>
      </c>
      <c r="AB779" s="269">
        <v>9902.2000000000007</v>
      </c>
      <c r="AC779" s="14" t="s">
        <v>1476</v>
      </c>
      <c r="AD779">
        <f t="shared" si="16"/>
        <v>10.978</v>
      </c>
    </row>
    <row r="780" spans="27:30" x14ac:dyDescent="0.25">
      <c r="AA780" s="268">
        <v>45342</v>
      </c>
      <c r="AB780" s="269">
        <v>9978.9500000000007</v>
      </c>
      <c r="AC780" s="14" t="s">
        <v>1469</v>
      </c>
      <c r="AD780">
        <f t="shared" si="16"/>
        <v>32.091000000000001</v>
      </c>
    </row>
    <row r="781" spans="27:30" x14ac:dyDescent="0.25">
      <c r="AA781" s="268">
        <v>45343</v>
      </c>
      <c r="AB781" s="269">
        <v>9968.4</v>
      </c>
      <c r="AC781" s="14" t="s">
        <v>1477</v>
      </c>
      <c r="AD781">
        <f t="shared" si="16"/>
        <v>32.295999999999999</v>
      </c>
    </row>
    <row r="782" spans="27:30" x14ac:dyDescent="0.25">
      <c r="AA782" s="268">
        <v>45344</v>
      </c>
      <c r="AB782" s="269">
        <v>9961.2000000000007</v>
      </c>
      <c r="AC782" s="14" t="s">
        <v>1478</v>
      </c>
      <c r="AD782">
        <f t="shared" si="16"/>
        <v>36.384</v>
      </c>
    </row>
    <row r="783" spans="27:30" x14ac:dyDescent="0.25">
      <c r="AA783" s="268">
        <v>45345</v>
      </c>
      <c r="AB783" s="269">
        <v>10000.9</v>
      </c>
      <c r="AC783" s="14" t="s">
        <v>1479</v>
      </c>
      <c r="AD783">
        <f t="shared" si="16"/>
        <v>30.423999999999999</v>
      </c>
    </row>
    <row r="784" spans="27:30" x14ac:dyDescent="0.25">
      <c r="AA784" s="268">
        <v>45348</v>
      </c>
      <c r="AB784" s="269">
        <v>9930.0499999999993</v>
      </c>
      <c r="AC784" s="14" t="s">
        <v>1480</v>
      </c>
      <c r="AD784">
        <f t="shared" si="16"/>
        <v>16.253</v>
      </c>
    </row>
    <row r="785" spans="27:30" x14ac:dyDescent="0.25">
      <c r="AA785" s="268">
        <v>45349</v>
      </c>
      <c r="AB785" s="269">
        <v>9951.1</v>
      </c>
      <c r="AC785" s="14" t="s">
        <v>1481</v>
      </c>
      <c r="AD785">
        <f t="shared" si="16"/>
        <v>21.419</v>
      </c>
    </row>
    <row r="786" spans="27:30" x14ac:dyDescent="0.25">
      <c r="AA786" s="268">
        <v>45350</v>
      </c>
      <c r="AB786" s="269">
        <v>9804.9500000000007</v>
      </c>
      <c r="AC786" s="14" t="s">
        <v>1482</v>
      </c>
      <c r="AD786">
        <f t="shared" si="16"/>
        <v>30.067</v>
      </c>
    </row>
    <row r="787" spans="27:30" x14ac:dyDescent="0.25">
      <c r="AA787" s="268">
        <v>45351</v>
      </c>
      <c r="AB787" s="269">
        <v>9892.4</v>
      </c>
      <c r="AC787" s="14" t="s">
        <v>1483</v>
      </c>
      <c r="AD787">
        <f t="shared" si="16"/>
        <v>32.884999999999998</v>
      </c>
    </row>
    <row r="788" spans="27:30" x14ac:dyDescent="0.25">
      <c r="AA788" s="268">
        <v>45352</v>
      </c>
      <c r="AB788" s="269">
        <v>10135.5</v>
      </c>
      <c r="AC788" s="14" t="s">
        <v>1484</v>
      </c>
      <c r="AD788">
        <f t="shared" si="16"/>
        <v>35.295000000000002</v>
      </c>
    </row>
    <row r="789" spans="27:30" x14ac:dyDescent="0.25">
      <c r="AA789" s="268">
        <v>45353</v>
      </c>
      <c r="AB789" s="269">
        <v>10106.35</v>
      </c>
      <c r="AC789" s="14" t="s">
        <v>1485</v>
      </c>
      <c r="AD789">
        <f t="shared" si="16"/>
        <v>0.69599999999999995</v>
      </c>
    </row>
    <row r="790" spans="27:30" x14ac:dyDescent="0.25">
      <c r="AA790" s="268">
        <v>45355</v>
      </c>
      <c r="AB790" s="269">
        <v>9978.4</v>
      </c>
      <c r="AC790" s="14" t="s">
        <v>1486</v>
      </c>
      <c r="AD790">
        <f t="shared" si="16"/>
        <v>22.128</v>
      </c>
    </row>
    <row r="791" spans="27:30" x14ac:dyDescent="0.25">
      <c r="AA791" s="268">
        <v>45356</v>
      </c>
      <c r="AB791" s="269">
        <v>9838.35</v>
      </c>
      <c r="AC791" s="14" t="s">
        <v>1487</v>
      </c>
      <c r="AD791">
        <f t="shared" si="16"/>
        <v>31.071999999999999</v>
      </c>
    </row>
    <row r="792" spans="27:30" x14ac:dyDescent="0.25">
      <c r="AA792" s="268">
        <v>45357</v>
      </c>
      <c r="AB792" s="269">
        <v>9641.0499999999993</v>
      </c>
      <c r="AC792" s="14" t="s">
        <v>1488</v>
      </c>
      <c r="AD792">
        <f t="shared" si="16"/>
        <v>53.482999999999997</v>
      </c>
    </row>
    <row r="793" spans="27:30" x14ac:dyDescent="0.25">
      <c r="AA793" s="268">
        <v>45358</v>
      </c>
      <c r="AB793" s="269">
        <v>9673.15</v>
      </c>
      <c r="AC793" s="14" t="s">
        <v>1489</v>
      </c>
      <c r="AD793">
        <f t="shared" si="16"/>
        <v>58.500999999999998</v>
      </c>
    </row>
    <row r="794" spans="27:30" x14ac:dyDescent="0.25">
      <c r="AA794" s="268">
        <v>45362</v>
      </c>
      <c r="AB794" s="269">
        <v>9697.9</v>
      </c>
      <c r="AC794" s="14" t="s">
        <v>974</v>
      </c>
      <c r="AD794">
        <f t="shared" si="16"/>
        <v>31.93</v>
      </c>
    </row>
    <row r="795" spans="27:30" x14ac:dyDescent="0.25">
      <c r="AA795" s="268">
        <v>45363</v>
      </c>
      <c r="AB795" s="269">
        <v>9615.5</v>
      </c>
      <c r="AC795" s="14" t="s">
        <v>1490</v>
      </c>
      <c r="AD795">
        <f t="shared" si="16"/>
        <v>23.542999999999999</v>
      </c>
    </row>
    <row r="796" spans="27:30" x14ac:dyDescent="0.25">
      <c r="AA796" s="268">
        <v>45364</v>
      </c>
      <c r="AB796" s="269">
        <v>9593.5499999999993</v>
      </c>
      <c r="AC796" s="14" t="s">
        <v>1491</v>
      </c>
      <c r="AD796">
        <f t="shared" si="16"/>
        <v>41.593000000000004</v>
      </c>
    </row>
    <row r="797" spans="27:30" x14ac:dyDescent="0.25">
      <c r="AA797" s="268">
        <v>45365</v>
      </c>
      <c r="AB797" s="269">
        <v>9696.9500000000007</v>
      </c>
      <c r="AC797" s="14" t="s">
        <v>1492</v>
      </c>
      <c r="AD797">
        <f t="shared" si="16"/>
        <v>34.781999999999996</v>
      </c>
    </row>
    <row r="798" spans="27:30" x14ac:dyDescent="0.25">
      <c r="AA798" s="268">
        <v>45366</v>
      </c>
      <c r="AB798" s="269">
        <v>9632.9500000000007</v>
      </c>
      <c r="AC798" s="14" t="s">
        <v>1493</v>
      </c>
      <c r="AD798">
        <f t="shared" si="16"/>
        <v>37.965000000000003</v>
      </c>
    </row>
    <row r="799" spans="27:30" x14ac:dyDescent="0.25">
      <c r="AA799" s="268">
        <v>45369</v>
      </c>
      <c r="AB799" s="269">
        <v>9611.35</v>
      </c>
      <c r="AC799" s="14" t="s">
        <v>1494</v>
      </c>
      <c r="AD799">
        <f t="shared" si="16"/>
        <v>22.645</v>
      </c>
    </row>
    <row r="800" spans="27:30" x14ac:dyDescent="0.25">
      <c r="AA800" s="268">
        <v>45370</v>
      </c>
      <c r="AB800" s="269">
        <v>9453.25</v>
      </c>
      <c r="AC800" s="14" t="s">
        <v>1495</v>
      </c>
      <c r="AD800">
        <f t="shared" si="16"/>
        <v>31.600999999999999</v>
      </c>
    </row>
    <row r="801" spans="27:30" x14ac:dyDescent="0.25">
      <c r="AA801" s="268">
        <v>45371</v>
      </c>
      <c r="AB801" s="269">
        <v>9484.5499999999993</v>
      </c>
      <c r="AC801" s="14" t="s">
        <v>1496</v>
      </c>
      <c r="AD801">
        <f t="shared" si="16"/>
        <v>17.122</v>
      </c>
    </row>
    <row r="802" spans="27:30" x14ac:dyDescent="0.25">
      <c r="AA802" s="268">
        <v>45372</v>
      </c>
      <c r="AB802" s="269">
        <v>9600.75</v>
      </c>
      <c r="AC802" s="14" t="s">
        <v>1497</v>
      </c>
      <c r="AD802">
        <f t="shared" si="16"/>
        <v>21.584</v>
      </c>
    </row>
    <row r="803" spans="27:30" x14ac:dyDescent="0.25">
      <c r="AA803" s="268">
        <v>45373</v>
      </c>
      <c r="AB803" s="269">
        <v>9681.75</v>
      </c>
      <c r="AC803" s="14" t="s">
        <v>1498</v>
      </c>
      <c r="AD803">
        <f t="shared" si="16"/>
        <v>22.451000000000001</v>
      </c>
    </row>
    <row r="804" spans="27:30" x14ac:dyDescent="0.25">
      <c r="AA804" s="268">
        <v>45377</v>
      </c>
      <c r="AB804" s="269">
        <v>9600.7000000000007</v>
      </c>
      <c r="AC804" s="14" t="s">
        <v>1499</v>
      </c>
      <c r="AD804">
        <f t="shared" si="16"/>
        <v>39.78</v>
      </c>
    </row>
    <row r="805" spans="27:30" x14ac:dyDescent="0.25">
      <c r="AA805" s="268">
        <v>45378</v>
      </c>
      <c r="AB805" s="269">
        <v>9623.4500000000007</v>
      </c>
      <c r="AC805" s="14" t="s">
        <v>1500</v>
      </c>
      <c r="AD805">
        <f t="shared" si="16"/>
        <v>26.794</v>
      </c>
    </row>
    <row r="806" spans="27:30" x14ac:dyDescent="0.25">
      <c r="AA806" s="268">
        <v>45379</v>
      </c>
      <c r="AB806" s="269">
        <v>9749.15</v>
      </c>
      <c r="AC806" s="14" t="s">
        <v>1501</v>
      </c>
      <c r="AD806">
        <f t="shared" si="16"/>
        <v>50.639000000000003</v>
      </c>
    </row>
    <row r="807" spans="27:30" x14ac:dyDescent="0.25">
      <c r="AA807" s="268">
        <v>45383</v>
      </c>
      <c r="AB807" s="269">
        <v>9954.4</v>
      </c>
      <c r="AC807" s="14" t="s">
        <v>1502</v>
      </c>
      <c r="AD807">
        <f t="shared" si="16"/>
        <v>38.744</v>
      </c>
    </row>
    <row r="808" spans="27:30" x14ac:dyDescent="0.25">
      <c r="AA808" s="268">
        <v>45384</v>
      </c>
      <c r="AB808" s="269">
        <v>10038.15</v>
      </c>
      <c r="AC808" s="14" t="s">
        <v>1503</v>
      </c>
      <c r="AD808">
        <f t="shared" si="16"/>
        <v>30.710999999999999</v>
      </c>
    </row>
    <row r="809" spans="27:30" x14ac:dyDescent="0.25">
      <c r="AA809" s="268">
        <v>45385</v>
      </c>
      <c r="AB809" s="269">
        <v>10001.9</v>
      </c>
      <c r="AC809" s="14" t="s">
        <v>1504</v>
      </c>
      <c r="AD809">
        <f t="shared" si="16"/>
        <v>48.186</v>
      </c>
    </row>
    <row r="810" spans="27:30" x14ac:dyDescent="0.25">
      <c r="AA810" s="268">
        <v>45386</v>
      </c>
      <c r="AB810" s="269">
        <v>10005.1</v>
      </c>
      <c r="AC810" s="14" t="s">
        <v>1505</v>
      </c>
      <c r="AD810">
        <f t="shared" si="16"/>
        <v>34.637999999999998</v>
      </c>
    </row>
    <row r="811" spans="27:30" x14ac:dyDescent="0.25">
      <c r="AA811" s="268">
        <v>45387</v>
      </c>
      <c r="AB811" s="269">
        <v>9823.6</v>
      </c>
      <c r="AC811" s="14" t="s">
        <v>1506</v>
      </c>
      <c r="AD811">
        <f t="shared" si="16"/>
        <v>28.007999999999999</v>
      </c>
    </row>
    <row r="812" spans="27:30" x14ac:dyDescent="0.25">
      <c r="AA812" s="268">
        <v>45390</v>
      </c>
      <c r="AB812" s="269">
        <v>9863.75</v>
      </c>
      <c r="AC812" s="14" t="s">
        <v>1507</v>
      </c>
      <c r="AD812">
        <f t="shared" si="16"/>
        <v>21.523</v>
      </c>
    </row>
    <row r="813" spans="27:30" x14ac:dyDescent="0.25">
      <c r="AA813" s="268">
        <v>45391</v>
      </c>
      <c r="AB813" s="269">
        <v>9769.15</v>
      </c>
      <c r="AC813" s="14" t="s">
        <v>1508</v>
      </c>
      <c r="AD813">
        <f t="shared" si="16"/>
        <v>27.591999999999999</v>
      </c>
    </row>
    <row r="814" spans="27:30" x14ac:dyDescent="0.25">
      <c r="AA814" s="268">
        <v>45392</v>
      </c>
      <c r="AB814" s="269">
        <v>9817.85</v>
      </c>
      <c r="AC814" s="14" t="s">
        <v>1509</v>
      </c>
      <c r="AD814">
        <f t="shared" si="16"/>
        <v>18.622</v>
      </c>
    </row>
    <row r="815" spans="27:30" x14ac:dyDescent="0.25">
      <c r="AA815" s="268">
        <v>45394</v>
      </c>
      <c r="AB815" s="269">
        <v>9652.5499999999993</v>
      </c>
      <c r="AC815" s="14" t="s">
        <v>1510</v>
      </c>
      <c r="AD815">
        <f t="shared" si="16"/>
        <v>44.095999999999997</v>
      </c>
    </row>
    <row r="816" spans="27:30" x14ac:dyDescent="0.25">
      <c r="AA816" s="268">
        <v>45397</v>
      </c>
      <c r="AB816" s="269">
        <v>9506.25</v>
      </c>
      <c r="AC816" s="14" t="s">
        <v>1511</v>
      </c>
      <c r="AD816">
        <f t="shared" si="16"/>
        <v>22.068999999999999</v>
      </c>
    </row>
    <row r="817" spans="27:30" x14ac:dyDescent="0.25">
      <c r="AA817" s="268">
        <v>45398</v>
      </c>
      <c r="AB817" s="269">
        <v>9463.7999999999993</v>
      </c>
      <c r="AC817" s="14" t="s">
        <v>1512</v>
      </c>
      <c r="AD817">
        <f t="shared" si="16"/>
        <v>54.765000000000001</v>
      </c>
    </row>
    <row r="818" spans="27:30" x14ac:dyDescent="0.25">
      <c r="AA818" s="268">
        <v>45400</v>
      </c>
      <c r="AB818" s="269">
        <v>9382.75</v>
      </c>
      <c r="AC818" s="14" t="s">
        <v>1513</v>
      </c>
      <c r="AD818">
        <f t="shared" si="16"/>
        <v>58.427</v>
      </c>
    </row>
    <row r="819" spans="27:30" x14ac:dyDescent="0.25">
      <c r="AA819" s="268">
        <v>45401</v>
      </c>
      <c r="AB819" s="269">
        <v>9363.9500000000007</v>
      </c>
      <c r="AC819" s="14" t="s">
        <v>1514</v>
      </c>
      <c r="AD819">
        <f t="shared" si="16"/>
        <v>41.555999999999997</v>
      </c>
    </row>
    <row r="820" spans="27:30" x14ac:dyDescent="0.25">
      <c r="AA820" s="268">
        <v>45404</v>
      </c>
      <c r="AB820" s="269">
        <v>9565.25</v>
      </c>
      <c r="AC820" s="14" t="s">
        <v>1515</v>
      </c>
      <c r="AD820">
        <f t="shared" si="16"/>
        <v>27.777999999999999</v>
      </c>
    </row>
    <row r="821" spans="27:30" x14ac:dyDescent="0.25">
      <c r="AA821" s="268">
        <v>45405</v>
      </c>
      <c r="AB821" s="269">
        <v>9533.5499999999993</v>
      </c>
      <c r="AC821" s="14" t="s">
        <v>1516</v>
      </c>
      <c r="AD821">
        <f t="shared" si="16"/>
        <v>31.745000000000001</v>
      </c>
    </row>
    <row r="822" spans="27:30" x14ac:dyDescent="0.25">
      <c r="AA822" s="268">
        <v>45406</v>
      </c>
      <c r="AB822" s="269">
        <v>9658.85</v>
      </c>
      <c r="AC822" s="14" t="s">
        <v>1517</v>
      </c>
      <c r="AD822">
        <f t="shared" si="16"/>
        <v>31.792999999999999</v>
      </c>
    </row>
    <row r="823" spans="27:30" x14ac:dyDescent="0.25">
      <c r="AA823" s="268">
        <v>45407</v>
      </c>
      <c r="AB823" s="269">
        <v>9683.75</v>
      </c>
      <c r="AC823" s="14" t="s">
        <v>1518</v>
      </c>
      <c r="AD823">
        <f t="shared" si="16"/>
        <v>39.826000000000001</v>
      </c>
    </row>
    <row r="824" spans="27:30" x14ac:dyDescent="0.25">
      <c r="AA824" s="268">
        <v>45408</v>
      </c>
      <c r="AB824" s="269">
        <v>9700.9</v>
      </c>
      <c r="AC824" s="14" t="s">
        <v>1519</v>
      </c>
      <c r="AD824">
        <f t="shared" si="16"/>
        <v>26.577999999999999</v>
      </c>
    </row>
    <row r="825" spans="27:30" x14ac:dyDescent="0.25">
      <c r="AA825" s="268">
        <v>45411</v>
      </c>
      <c r="AB825" s="269">
        <v>9964.4500000000007</v>
      </c>
      <c r="AC825" s="14" t="s">
        <v>1520</v>
      </c>
      <c r="AD825">
        <f t="shared" si="16"/>
        <v>80.850999999999999</v>
      </c>
    </row>
    <row r="826" spans="27:30" x14ac:dyDescent="0.25">
      <c r="AA826" s="268">
        <v>45412</v>
      </c>
      <c r="AB826" s="269">
        <v>9971.85</v>
      </c>
      <c r="AC826" s="14" t="s">
        <v>1521</v>
      </c>
      <c r="AD826">
        <f t="shared" si="16"/>
        <v>77.784000000000006</v>
      </c>
    </row>
    <row r="827" spans="27:30" x14ac:dyDescent="0.25">
      <c r="AA827" s="268">
        <v>45414</v>
      </c>
      <c r="AB827" s="269">
        <v>9983.4500000000007</v>
      </c>
      <c r="AC827" s="14" t="s">
        <v>1522</v>
      </c>
      <c r="AD827">
        <f t="shared" si="16"/>
        <v>31.885999999999999</v>
      </c>
    </row>
    <row r="828" spans="27:30" x14ac:dyDescent="0.25">
      <c r="AA828" s="268">
        <v>45415</v>
      </c>
      <c r="AB828" s="269">
        <v>9816.2999999999993</v>
      </c>
      <c r="AC828" s="14" t="s">
        <v>1523</v>
      </c>
      <c r="AD828">
        <f t="shared" si="16"/>
        <v>51.734999999999999</v>
      </c>
    </row>
    <row r="829" spans="27:30" x14ac:dyDescent="0.25">
      <c r="AA829" s="268">
        <v>45418</v>
      </c>
      <c r="AB829" s="269">
        <v>9776.9</v>
      </c>
      <c r="AC829" s="14" t="s">
        <v>1524</v>
      </c>
      <c r="AD829">
        <f t="shared" si="16"/>
        <v>23.852</v>
      </c>
    </row>
    <row r="830" spans="27:30" x14ac:dyDescent="0.25">
      <c r="AA830" s="268">
        <v>45419</v>
      </c>
      <c r="AB830" s="269">
        <v>9682.4</v>
      </c>
      <c r="AC830" s="14" t="s">
        <v>1525</v>
      </c>
      <c r="AD830">
        <f t="shared" si="16"/>
        <v>21.431000000000001</v>
      </c>
    </row>
    <row r="831" spans="27:30" x14ac:dyDescent="0.25">
      <c r="AA831" s="268">
        <v>45420</v>
      </c>
      <c r="AB831" s="269">
        <v>9519.4</v>
      </c>
      <c r="AC831" s="14" t="s">
        <v>1526</v>
      </c>
      <c r="AD831">
        <f t="shared" si="16"/>
        <v>39.207000000000001</v>
      </c>
    </row>
    <row r="832" spans="27:30" x14ac:dyDescent="0.25">
      <c r="AA832" s="268">
        <v>45421</v>
      </c>
      <c r="AB832" s="269">
        <v>9446.1</v>
      </c>
      <c r="AC832" s="14" t="s">
        <v>1527</v>
      </c>
      <c r="AD832">
        <f t="shared" si="16"/>
        <v>32.872</v>
      </c>
    </row>
    <row r="833" spans="27:30" x14ac:dyDescent="0.25">
      <c r="AA833" s="268">
        <v>45422</v>
      </c>
      <c r="AB833" s="269">
        <v>9491.7000000000007</v>
      </c>
      <c r="AC833" s="14" t="s">
        <v>1528</v>
      </c>
      <c r="AD833">
        <f t="shared" si="16"/>
        <v>20.52</v>
      </c>
    </row>
    <row r="834" spans="27:30" x14ac:dyDescent="0.25">
      <c r="AA834" s="268">
        <v>45425</v>
      </c>
      <c r="AB834" s="269">
        <v>9551.5</v>
      </c>
      <c r="AC834" s="14" t="s">
        <v>1529</v>
      </c>
      <c r="AD834">
        <f t="shared" si="16"/>
        <v>21.539000000000001</v>
      </c>
    </row>
    <row r="835" spans="27:30" x14ac:dyDescent="0.25">
      <c r="AA835" s="268">
        <v>45426</v>
      </c>
      <c r="AB835" s="269">
        <v>9660.65</v>
      </c>
      <c r="AC835" s="14" t="s">
        <v>1530</v>
      </c>
      <c r="AD835">
        <f t="shared" si="16"/>
        <v>17.193999999999999</v>
      </c>
    </row>
    <row r="836" spans="27:30" x14ac:dyDescent="0.25">
      <c r="AA836" s="268">
        <v>45427</v>
      </c>
      <c r="AB836" s="269">
        <v>9614.1</v>
      </c>
      <c r="AC836" s="14" t="s">
        <v>1531</v>
      </c>
      <c r="AD836">
        <f t="shared" ref="AD836:AD899" si="17">(IF(RIGHT(AC836,1)="K",
    VALUE(LEFT(AC836,LEN(AC836)-1))*1000,
    IF(RIGHT(AC836,1)="M",
       VALUE(LEFT(AC836,LEN(AC836)-1))*1000000,
       VALUE(AC836)
    )
))/10000</f>
        <v>16.106999999999999</v>
      </c>
    </row>
    <row r="837" spans="27:30" x14ac:dyDescent="0.25">
      <c r="AA837" s="268">
        <v>45428</v>
      </c>
      <c r="AB837" s="269">
        <v>9709.1</v>
      </c>
      <c r="AC837" s="14" t="s">
        <v>1532</v>
      </c>
      <c r="AD837">
        <f t="shared" si="17"/>
        <v>36.844999999999999</v>
      </c>
    </row>
    <row r="838" spans="27:30" x14ac:dyDescent="0.25">
      <c r="AA838" s="268">
        <v>45429</v>
      </c>
      <c r="AB838" s="269">
        <v>9890.35</v>
      </c>
      <c r="AC838" s="14" t="s">
        <v>1533</v>
      </c>
      <c r="AD838">
        <f t="shared" si="17"/>
        <v>28.385000000000002</v>
      </c>
    </row>
    <row r="839" spans="27:30" x14ac:dyDescent="0.25">
      <c r="AA839" s="268">
        <v>45430</v>
      </c>
      <c r="AB839" s="269">
        <v>9865.6</v>
      </c>
      <c r="AC839" s="14" t="s">
        <v>1534</v>
      </c>
      <c r="AD839">
        <f t="shared" si="17"/>
        <v>1.2290000000000001</v>
      </c>
    </row>
    <row r="840" spans="27:30" x14ac:dyDescent="0.25">
      <c r="AA840" s="268">
        <v>45433</v>
      </c>
      <c r="AB840" s="269">
        <v>9789.4</v>
      </c>
      <c r="AC840" s="14" t="s">
        <v>1535</v>
      </c>
      <c r="AD840">
        <f t="shared" si="17"/>
        <v>34.695</v>
      </c>
    </row>
    <row r="841" spans="27:30" x14ac:dyDescent="0.25">
      <c r="AA841" s="268">
        <v>45434</v>
      </c>
      <c r="AB841" s="269">
        <v>9894.85</v>
      </c>
      <c r="AC841" s="14" t="s">
        <v>1536</v>
      </c>
      <c r="AD841">
        <f t="shared" si="17"/>
        <v>28.024000000000001</v>
      </c>
    </row>
    <row r="842" spans="27:30" x14ac:dyDescent="0.25">
      <c r="AA842" s="268">
        <v>45435</v>
      </c>
      <c r="AB842" s="269">
        <v>10170.549999999999</v>
      </c>
      <c r="AC842" s="14" t="s">
        <v>1537</v>
      </c>
      <c r="AD842">
        <f t="shared" si="17"/>
        <v>52.161999999999999</v>
      </c>
    </row>
    <row r="843" spans="27:30" x14ac:dyDescent="0.25">
      <c r="AA843" s="268">
        <v>45436</v>
      </c>
      <c r="AB843" s="269">
        <v>10231.1</v>
      </c>
      <c r="AC843" s="14" t="s">
        <v>1538</v>
      </c>
      <c r="AD843">
        <f t="shared" si="17"/>
        <v>51.941999999999993</v>
      </c>
    </row>
    <row r="844" spans="27:30" x14ac:dyDescent="0.25">
      <c r="AA844" s="268">
        <v>45439</v>
      </c>
      <c r="AB844" s="269">
        <v>10225.5</v>
      </c>
      <c r="AC844" s="14" t="s">
        <v>1539</v>
      </c>
      <c r="AD844">
        <f t="shared" si="17"/>
        <v>38.933</v>
      </c>
    </row>
    <row r="845" spans="27:30" x14ac:dyDescent="0.25">
      <c r="AA845" s="268">
        <v>45440</v>
      </c>
      <c r="AB845" s="269">
        <v>10178.9</v>
      </c>
      <c r="AC845" s="14" t="s">
        <v>1540</v>
      </c>
      <c r="AD845">
        <f t="shared" si="17"/>
        <v>40.377000000000002</v>
      </c>
    </row>
    <row r="846" spans="27:30" x14ac:dyDescent="0.25">
      <c r="AA846" s="268">
        <v>45441</v>
      </c>
      <c r="AB846" s="269">
        <v>10023.4</v>
      </c>
      <c r="AC846" s="14" t="s">
        <v>1541</v>
      </c>
      <c r="AD846">
        <f t="shared" si="17"/>
        <v>31.788</v>
      </c>
    </row>
    <row r="847" spans="27:30" x14ac:dyDescent="0.25">
      <c r="AA847" s="268">
        <v>45442</v>
      </c>
      <c r="AB847" s="269">
        <v>9868.85</v>
      </c>
      <c r="AC847" s="14" t="s">
        <v>1542</v>
      </c>
      <c r="AD847">
        <f t="shared" si="17"/>
        <v>32.341999999999999</v>
      </c>
    </row>
    <row r="848" spans="27:30" x14ac:dyDescent="0.25">
      <c r="AA848" s="268">
        <v>45443</v>
      </c>
      <c r="AB848" s="269">
        <v>9915.5</v>
      </c>
      <c r="AC848" s="14" t="s">
        <v>1543</v>
      </c>
      <c r="AD848">
        <f t="shared" si="17"/>
        <v>79.106999999999999</v>
      </c>
    </row>
    <row r="849" spans="27:30" x14ac:dyDescent="0.25">
      <c r="AA849" s="268">
        <v>45446</v>
      </c>
      <c r="AB849" s="269">
        <v>10470.049999999999</v>
      </c>
      <c r="AC849" s="14" t="s">
        <v>1544</v>
      </c>
      <c r="AD849">
        <f t="shared" si="17"/>
        <v>73.263000000000005</v>
      </c>
    </row>
    <row r="850" spans="27:30" x14ac:dyDescent="0.25">
      <c r="AA850" s="268">
        <v>45447</v>
      </c>
      <c r="AB850" s="269">
        <v>9918.2999999999993</v>
      </c>
      <c r="AC850" s="14" t="s">
        <v>1545</v>
      </c>
      <c r="AD850">
        <f t="shared" si="17"/>
        <v>97.201999999999998</v>
      </c>
    </row>
    <row r="851" spans="27:30" x14ac:dyDescent="0.25">
      <c r="AA851" s="268">
        <v>45448</v>
      </c>
      <c r="AB851" s="269">
        <v>10038.1</v>
      </c>
      <c r="AC851" s="14" t="s">
        <v>1546</v>
      </c>
      <c r="AD851">
        <f t="shared" si="17"/>
        <v>36.171999999999997</v>
      </c>
    </row>
    <row r="852" spans="27:30" x14ac:dyDescent="0.25">
      <c r="AA852" s="268">
        <v>45449</v>
      </c>
      <c r="AB852" s="269">
        <v>10054.950000000001</v>
      </c>
      <c r="AC852" s="14" t="s">
        <v>1547</v>
      </c>
      <c r="AD852">
        <f t="shared" si="17"/>
        <v>48.356999999999999</v>
      </c>
    </row>
    <row r="853" spans="27:30" x14ac:dyDescent="0.25">
      <c r="AA853" s="268">
        <v>45450</v>
      </c>
      <c r="AB853" s="269">
        <v>10463.15</v>
      </c>
      <c r="AC853" s="14" t="s">
        <v>1548</v>
      </c>
      <c r="AD853">
        <f t="shared" si="17"/>
        <v>54.527999999999999</v>
      </c>
    </row>
    <row r="854" spans="27:30" x14ac:dyDescent="0.25">
      <c r="AA854" s="268">
        <v>45453</v>
      </c>
      <c r="AB854" s="269">
        <v>10826.25</v>
      </c>
      <c r="AC854" s="14" t="s">
        <v>1549</v>
      </c>
      <c r="AD854">
        <f t="shared" si="17"/>
        <v>70.525999999999996</v>
      </c>
    </row>
    <row r="855" spans="27:30" x14ac:dyDescent="0.25">
      <c r="AA855" s="268">
        <v>45454</v>
      </c>
      <c r="AB855" s="269">
        <v>10933.55</v>
      </c>
      <c r="AC855" s="14" t="s">
        <v>1550</v>
      </c>
      <c r="AD855">
        <f t="shared" si="17"/>
        <v>65.013999999999996</v>
      </c>
    </row>
    <row r="856" spans="27:30" x14ac:dyDescent="0.25">
      <c r="AA856" s="268">
        <v>45455</v>
      </c>
      <c r="AB856" s="269">
        <v>11044.8</v>
      </c>
      <c r="AC856" s="14" t="s">
        <v>1551</v>
      </c>
      <c r="AD856">
        <f t="shared" si="17"/>
        <v>43.914000000000001</v>
      </c>
    </row>
    <row r="857" spans="27:30" x14ac:dyDescent="0.25">
      <c r="AA857" s="268">
        <v>45456</v>
      </c>
      <c r="AB857" s="269">
        <v>11173.8</v>
      </c>
      <c r="AC857" s="14" t="s">
        <v>1552</v>
      </c>
      <c r="AD857">
        <f t="shared" si="17"/>
        <v>60.231999999999999</v>
      </c>
    </row>
    <row r="858" spans="27:30" x14ac:dyDescent="0.25">
      <c r="AA858" s="268">
        <v>45457</v>
      </c>
      <c r="AB858" s="269">
        <v>11242.8</v>
      </c>
      <c r="AC858" s="14" t="s">
        <v>1553</v>
      </c>
      <c r="AD858">
        <f t="shared" si="17"/>
        <v>30.532</v>
      </c>
    </row>
    <row r="859" spans="27:30" x14ac:dyDescent="0.25">
      <c r="AA859" s="268">
        <v>45461</v>
      </c>
      <c r="AB859" s="269">
        <v>11119.05</v>
      </c>
      <c r="AC859" s="14" t="s">
        <v>1554</v>
      </c>
      <c r="AD859">
        <f t="shared" si="17"/>
        <v>32.271999999999998</v>
      </c>
    </row>
    <row r="860" spans="27:30" x14ac:dyDescent="0.25">
      <c r="AA860" s="268">
        <v>45462</v>
      </c>
      <c r="AB860" s="269">
        <v>10995.55</v>
      </c>
      <c r="AC860" s="14" t="s">
        <v>1555</v>
      </c>
      <c r="AD860">
        <f t="shared" si="17"/>
        <v>65.927000000000007</v>
      </c>
    </row>
    <row r="861" spans="27:30" x14ac:dyDescent="0.25">
      <c r="AA861" s="268">
        <v>45463</v>
      </c>
      <c r="AB861" s="269">
        <v>10903.2</v>
      </c>
      <c r="AC861" s="14" t="s">
        <v>1556</v>
      </c>
      <c r="AD861">
        <f t="shared" si="17"/>
        <v>44.536999999999999</v>
      </c>
    </row>
    <row r="862" spans="27:30" x14ac:dyDescent="0.25">
      <c r="AA862" s="268">
        <v>45464</v>
      </c>
      <c r="AB862" s="269">
        <v>10662.4</v>
      </c>
      <c r="AC862" s="14" t="s">
        <v>1557</v>
      </c>
      <c r="AD862">
        <f t="shared" si="17"/>
        <v>58.674999999999997</v>
      </c>
    </row>
    <row r="863" spans="27:30" x14ac:dyDescent="0.25">
      <c r="AA863" s="268">
        <v>45467</v>
      </c>
      <c r="AB863" s="269">
        <v>10786</v>
      </c>
      <c r="AC863" s="14" t="s">
        <v>1558</v>
      </c>
      <c r="AD863">
        <f t="shared" si="17"/>
        <v>27.614999999999998</v>
      </c>
    </row>
    <row r="864" spans="27:30" x14ac:dyDescent="0.25">
      <c r="AA864" s="268">
        <v>45468</v>
      </c>
      <c r="AB864" s="269">
        <v>10846.2</v>
      </c>
      <c r="AC864" s="14" t="s">
        <v>1559</v>
      </c>
      <c r="AD864">
        <f t="shared" si="17"/>
        <v>56.207999999999998</v>
      </c>
    </row>
    <row r="865" spans="27:30" x14ac:dyDescent="0.25">
      <c r="AA865" s="268">
        <v>45469</v>
      </c>
      <c r="AB865" s="269">
        <v>11143.1</v>
      </c>
      <c r="AC865" s="14" t="s">
        <v>1560</v>
      </c>
      <c r="AD865">
        <f t="shared" si="17"/>
        <v>79.319999999999993</v>
      </c>
    </row>
    <row r="866" spans="27:30" x14ac:dyDescent="0.25">
      <c r="AA866" s="268">
        <v>45470</v>
      </c>
      <c r="AB866" s="269">
        <v>11716.7</v>
      </c>
      <c r="AC866" s="14" t="s">
        <v>1561</v>
      </c>
      <c r="AD866">
        <f t="shared" si="17"/>
        <v>234</v>
      </c>
    </row>
    <row r="867" spans="27:30" x14ac:dyDescent="0.25">
      <c r="AA867" s="268">
        <v>45471</v>
      </c>
      <c r="AB867" s="269">
        <v>11667.9</v>
      </c>
      <c r="AC867" s="14" t="s">
        <v>1562</v>
      </c>
      <c r="AD867">
        <f t="shared" si="17"/>
        <v>68.478999999999999</v>
      </c>
    </row>
    <row r="868" spans="27:30" x14ac:dyDescent="0.25">
      <c r="AA868" s="268">
        <v>45474</v>
      </c>
      <c r="AB868" s="269">
        <v>11904.65</v>
      </c>
      <c r="AC868" s="14" t="s">
        <v>1563</v>
      </c>
      <c r="AD868">
        <f t="shared" si="17"/>
        <v>52.034000000000006</v>
      </c>
    </row>
    <row r="869" spans="27:30" x14ac:dyDescent="0.25">
      <c r="AA869" s="268">
        <v>45475</v>
      </c>
      <c r="AB869" s="269">
        <v>11853.95</v>
      </c>
      <c r="AC869" s="14" t="s">
        <v>1564</v>
      </c>
      <c r="AD869">
        <f t="shared" si="17"/>
        <v>42.216999999999999</v>
      </c>
    </row>
    <row r="870" spans="27:30" x14ac:dyDescent="0.25">
      <c r="AA870" s="268">
        <v>45476</v>
      </c>
      <c r="AB870" s="269">
        <v>11872.1</v>
      </c>
      <c r="AC870" s="14" t="s">
        <v>1565</v>
      </c>
      <c r="AD870">
        <f t="shared" si="17"/>
        <v>20.617000000000001</v>
      </c>
    </row>
    <row r="871" spans="27:30" x14ac:dyDescent="0.25">
      <c r="AA871" s="268">
        <v>45477</v>
      </c>
      <c r="AB871" s="269">
        <v>11760.05</v>
      </c>
      <c r="AC871" s="14" t="s">
        <v>1566</v>
      </c>
      <c r="AD871">
        <f t="shared" si="17"/>
        <v>22.722999999999999</v>
      </c>
    </row>
    <row r="872" spans="27:30" x14ac:dyDescent="0.25">
      <c r="AA872" s="268">
        <v>45478</v>
      </c>
      <c r="AB872" s="269">
        <v>11690.15</v>
      </c>
      <c r="AC872" s="14" t="s">
        <v>1567</v>
      </c>
      <c r="AD872">
        <f t="shared" si="17"/>
        <v>42.598999999999997</v>
      </c>
    </row>
    <row r="873" spans="27:30" x14ac:dyDescent="0.25">
      <c r="AA873" s="268">
        <v>45481</v>
      </c>
      <c r="AB873" s="269">
        <v>11582.9</v>
      </c>
      <c r="AC873" s="14" t="s">
        <v>1568</v>
      </c>
      <c r="AD873">
        <f t="shared" si="17"/>
        <v>14.920999999999999</v>
      </c>
    </row>
    <row r="874" spans="27:30" x14ac:dyDescent="0.25">
      <c r="AA874" s="268">
        <v>45482</v>
      </c>
      <c r="AB874" s="269">
        <v>11679.8</v>
      </c>
      <c r="AC874" s="14" t="s">
        <v>1569</v>
      </c>
      <c r="AD874">
        <f t="shared" si="17"/>
        <v>53.09</v>
      </c>
    </row>
    <row r="875" spans="27:30" x14ac:dyDescent="0.25">
      <c r="AA875" s="268">
        <v>45483</v>
      </c>
      <c r="AB875" s="269">
        <v>11634.25</v>
      </c>
      <c r="AC875" s="14" t="s">
        <v>1570</v>
      </c>
      <c r="AD875">
        <f t="shared" si="17"/>
        <v>20.241</v>
      </c>
    </row>
    <row r="876" spans="27:30" x14ac:dyDescent="0.25">
      <c r="AA876" s="268">
        <v>45484</v>
      </c>
      <c r="AB876" s="269">
        <v>11554.95</v>
      </c>
      <c r="AC876" s="14" t="s">
        <v>1571</v>
      </c>
      <c r="AD876">
        <f t="shared" si="17"/>
        <v>36.682000000000002</v>
      </c>
    </row>
    <row r="877" spans="27:30" x14ac:dyDescent="0.25">
      <c r="AA877" s="268">
        <v>45485</v>
      </c>
      <c r="AB877" s="269">
        <v>11602.3</v>
      </c>
      <c r="AC877" s="14" t="s">
        <v>1572</v>
      </c>
      <c r="AD877">
        <f t="shared" si="17"/>
        <v>36.627000000000002</v>
      </c>
    </row>
    <row r="878" spans="27:30" x14ac:dyDescent="0.25">
      <c r="AA878" s="268">
        <v>45488</v>
      </c>
      <c r="AB878" s="269">
        <v>11833.65</v>
      </c>
      <c r="AC878" s="14" t="s">
        <v>1573</v>
      </c>
      <c r="AD878">
        <f t="shared" si="17"/>
        <v>39.447000000000003</v>
      </c>
    </row>
    <row r="879" spans="27:30" x14ac:dyDescent="0.25">
      <c r="AA879" s="268">
        <v>45489</v>
      </c>
      <c r="AB879" s="269">
        <v>11658.7</v>
      </c>
      <c r="AC879" s="14" t="s">
        <v>1574</v>
      </c>
      <c r="AD879">
        <f t="shared" si="17"/>
        <v>55.606000000000002</v>
      </c>
    </row>
    <row r="880" spans="27:30" x14ac:dyDescent="0.25">
      <c r="AA880" s="268">
        <v>45491</v>
      </c>
      <c r="AB880" s="269">
        <v>11647.25</v>
      </c>
      <c r="AC880" s="14" t="s">
        <v>1575</v>
      </c>
      <c r="AD880">
        <f t="shared" si="17"/>
        <v>73.126999999999995</v>
      </c>
    </row>
    <row r="881" spans="27:30" x14ac:dyDescent="0.25">
      <c r="AA881" s="268">
        <v>45492</v>
      </c>
      <c r="AB881" s="269">
        <v>11258.3</v>
      </c>
      <c r="AC881" s="14" t="s">
        <v>1576</v>
      </c>
      <c r="AD881">
        <f t="shared" si="17"/>
        <v>51.414999999999999</v>
      </c>
    </row>
    <row r="882" spans="27:30" x14ac:dyDescent="0.25">
      <c r="AA882" s="268">
        <v>45495</v>
      </c>
      <c r="AB882" s="269">
        <v>11515.7</v>
      </c>
      <c r="AC882" s="14" t="s">
        <v>1577</v>
      </c>
      <c r="AD882">
        <f t="shared" si="17"/>
        <v>57.383000000000003</v>
      </c>
    </row>
    <row r="883" spans="27:30" x14ac:dyDescent="0.25">
      <c r="AA883" s="268">
        <v>45496</v>
      </c>
      <c r="AB883" s="269">
        <v>11545.8</v>
      </c>
      <c r="AC883" s="14" t="s">
        <v>1578</v>
      </c>
      <c r="AD883">
        <f t="shared" si="17"/>
        <v>52.515999999999998</v>
      </c>
    </row>
    <row r="884" spans="27:30" x14ac:dyDescent="0.25">
      <c r="AA884" s="268">
        <v>45497</v>
      </c>
      <c r="AB884" s="269">
        <v>11453.4</v>
      </c>
      <c r="AC884" s="14" t="s">
        <v>1579</v>
      </c>
      <c r="AD884">
        <f t="shared" si="17"/>
        <v>26.814</v>
      </c>
    </row>
    <row r="885" spans="27:30" x14ac:dyDescent="0.25">
      <c r="AA885" s="268">
        <v>45498</v>
      </c>
      <c r="AB885" s="269">
        <v>11441.5</v>
      </c>
      <c r="AC885" s="14" t="s">
        <v>1580</v>
      </c>
      <c r="AD885">
        <f t="shared" si="17"/>
        <v>25.468</v>
      </c>
    </row>
    <row r="886" spans="27:30" x14ac:dyDescent="0.25">
      <c r="AA886" s="268">
        <v>45499</v>
      </c>
      <c r="AB886" s="269">
        <v>11673.05</v>
      </c>
      <c r="AC886" s="14" t="s">
        <v>1581</v>
      </c>
      <c r="AD886">
        <f t="shared" si="17"/>
        <v>33.320999999999998</v>
      </c>
    </row>
    <row r="887" spans="27:30" x14ac:dyDescent="0.25">
      <c r="AA887" s="268">
        <v>45502</v>
      </c>
      <c r="AB887" s="269">
        <v>11873.8</v>
      </c>
      <c r="AC887" s="14" t="s">
        <v>1582</v>
      </c>
      <c r="AD887">
        <f t="shared" si="17"/>
        <v>49.643999999999998</v>
      </c>
    </row>
    <row r="888" spans="27:30" x14ac:dyDescent="0.25">
      <c r="AA888" s="268">
        <v>45503</v>
      </c>
      <c r="AB888" s="269">
        <v>11806.45</v>
      </c>
      <c r="AC888" s="14" t="s">
        <v>1583</v>
      </c>
      <c r="AD888">
        <f t="shared" si="17"/>
        <v>43.811</v>
      </c>
    </row>
    <row r="889" spans="27:30" x14ac:dyDescent="0.25">
      <c r="AA889" s="268">
        <v>45504</v>
      </c>
      <c r="AB889" s="269">
        <v>11887.2</v>
      </c>
      <c r="AC889" s="14" t="s">
        <v>1584</v>
      </c>
      <c r="AD889">
        <f t="shared" si="17"/>
        <v>32.253</v>
      </c>
    </row>
    <row r="890" spans="27:30" x14ac:dyDescent="0.25">
      <c r="AA890" s="268">
        <v>45505</v>
      </c>
      <c r="AB890" s="269">
        <v>11984.5</v>
      </c>
      <c r="AC890" s="14" t="s">
        <v>1585</v>
      </c>
      <c r="AD890">
        <f t="shared" si="17"/>
        <v>25.013000000000002</v>
      </c>
    </row>
    <row r="891" spans="27:30" x14ac:dyDescent="0.25">
      <c r="AA891" s="268">
        <v>45506</v>
      </c>
      <c r="AB891" s="269">
        <v>11764.5</v>
      </c>
      <c r="AC891" s="14" t="s">
        <v>1586</v>
      </c>
      <c r="AD891">
        <f t="shared" si="17"/>
        <v>27.341999999999999</v>
      </c>
    </row>
    <row r="892" spans="27:30" x14ac:dyDescent="0.25">
      <c r="AA892" s="268">
        <v>45509</v>
      </c>
      <c r="AB892" s="269">
        <v>11417.25</v>
      </c>
      <c r="AC892" s="14" t="s">
        <v>1587</v>
      </c>
      <c r="AD892">
        <f t="shared" si="17"/>
        <v>40.084000000000003</v>
      </c>
    </row>
    <row r="893" spans="27:30" x14ac:dyDescent="0.25">
      <c r="AA893" s="268">
        <v>45510</v>
      </c>
      <c r="AB893" s="269">
        <v>11325.3</v>
      </c>
      <c r="AC893" s="14" t="s">
        <v>1588</v>
      </c>
      <c r="AD893">
        <f t="shared" si="17"/>
        <v>36.895000000000003</v>
      </c>
    </row>
    <row r="894" spans="27:30" x14ac:dyDescent="0.25">
      <c r="AA894" s="268">
        <v>45511</v>
      </c>
      <c r="AB894" s="269">
        <v>11543.2</v>
      </c>
      <c r="AC894" s="14" t="s">
        <v>1589</v>
      </c>
      <c r="AD894">
        <f t="shared" si="17"/>
        <v>23.021000000000001</v>
      </c>
    </row>
    <row r="895" spans="27:30" x14ac:dyDescent="0.25">
      <c r="AA895" s="268">
        <v>45512</v>
      </c>
      <c r="AB895" s="269">
        <v>11258</v>
      </c>
      <c r="AC895" s="14" t="s">
        <v>1590</v>
      </c>
      <c r="AD895">
        <f t="shared" si="17"/>
        <v>29.035</v>
      </c>
    </row>
    <row r="896" spans="27:30" x14ac:dyDescent="0.25">
      <c r="AA896" s="268">
        <v>45513</v>
      </c>
      <c r="AB896" s="269">
        <v>11300.35</v>
      </c>
      <c r="AC896" s="14" t="s">
        <v>1591</v>
      </c>
      <c r="AD896">
        <f t="shared" si="17"/>
        <v>18.922999999999998</v>
      </c>
    </row>
    <row r="897" spans="27:30" x14ac:dyDescent="0.25">
      <c r="AA897" s="268">
        <v>45516</v>
      </c>
      <c r="AB897" s="269">
        <v>11302.85</v>
      </c>
      <c r="AC897" s="14" t="s">
        <v>1592</v>
      </c>
      <c r="AD897">
        <f t="shared" si="17"/>
        <v>20.041</v>
      </c>
    </row>
    <row r="898" spans="27:30" x14ac:dyDescent="0.25">
      <c r="AA898" s="268">
        <v>45517</v>
      </c>
      <c r="AB898" s="269">
        <v>11271.2</v>
      </c>
      <c r="AC898" s="14" t="s">
        <v>1593</v>
      </c>
      <c r="AD898">
        <f t="shared" si="17"/>
        <v>18.997</v>
      </c>
    </row>
    <row r="899" spans="27:30" x14ac:dyDescent="0.25">
      <c r="AA899" s="268">
        <v>45518</v>
      </c>
      <c r="AB899" s="269">
        <v>11002.6</v>
      </c>
      <c r="AC899" s="14" t="s">
        <v>1594</v>
      </c>
      <c r="AD899">
        <f t="shared" si="17"/>
        <v>40.466999999999999</v>
      </c>
    </row>
    <row r="900" spans="27:30" x14ac:dyDescent="0.25">
      <c r="AA900" s="268">
        <v>45520</v>
      </c>
      <c r="AB900" s="269">
        <v>11295.7</v>
      </c>
      <c r="AC900" s="14" t="s">
        <v>1595</v>
      </c>
      <c r="AD900">
        <f t="shared" ref="AD900:AD963" si="18">(IF(RIGHT(AC900,1)="K",
    VALUE(LEFT(AC900,LEN(AC900)-1))*1000,
    IF(RIGHT(AC900,1)="M",
       VALUE(LEFT(AC900,LEN(AC900)-1))*1000000,
       VALUE(AC900)
    )
))/10000</f>
        <v>43.563000000000002</v>
      </c>
    </row>
    <row r="901" spans="27:30" x14ac:dyDescent="0.25">
      <c r="AA901" s="268">
        <v>45523</v>
      </c>
      <c r="AB901" s="269">
        <v>11315.35</v>
      </c>
      <c r="AC901" s="14" t="s">
        <v>1596</v>
      </c>
      <c r="AD901">
        <f t="shared" si="18"/>
        <v>24.425999999999998</v>
      </c>
    </row>
    <row r="902" spans="27:30" x14ac:dyDescent="0.25">
      <c r="AA902" s="268">
        <v>45524</v>
      </c>
      <c r="AB902" s="269">
        <v>11349.7</v>
      </c>
      <c r="AC902" s="14" t="s">
        <v>1597</v>
      </c>
      <c r="AD902">
        <f t="shared" si="18"/>
        <v>42.107999999999997</v>
      </c>
    </row>
    <row r="903" spans="27:30" x14ac:dyDescent="0.25">
      <c r="AA903" s="268">
        <v>45525</v>
      </c>
      <c r="AB903" s="269">
        <v>11200.9</v>
      </c>
      <c r="AC903" s="14" t="s">
        <v>1598</v>
      </c>
      <c r="AD903">
        <f t="shared" si="18"/>
        <v>45.679000000000002</v>
      </c>
    </row>
    <row r="904" spans="27:30" x14ac:dyDescent="0.25">
      <c r="AA904" s="268">
        <v>45526</v>
      </c>
      <c r="AB904" s="269">
        <v>11309.4</v>
      </c>
      <c r="AC904" s="14" t="s">
        <v>1599</v>
      </c>
      <c r="AD904">
        <f t="shared" si="18"/>
        <v>30.545999999999999</v>
      </c>
    </row>
    <row r="905" spans="27:30" x14ac:dyDescent="0.25">
      <c r="AA905" s="268">
        <v>45527</v>
      </c>
      <c r="AB905" s="269">
        <v>11341.8</v>
      </c>
      <c r="AC905" s="14" t="s">
        <v>1600</v>
      </c>
      <c r="AD905">
        <f t="shared" si="18"/>
        <v>25.873000000000005</v>
      </c>
    </row>
    <row r="906" spans="27:30" x14ac:dyDescent="0.25">
      <c r="AA906" s="268">
        <v>45530</v>
      </c>
      <c r="AB906" s="269">
        <v>11337.1</v>
      </c>
      <c r="AC906" s="14" t="s">
        <v>1601</v>
      </c>
      <c r="AD906">
        <f t="shared" si="18"/>
        <v>23.422000000000001</v>
      </c>
    </row>
    <row r="907" spans="27:30" x14ac:dyDescent="0.25">
      <c r="AA907" s="268">
        <v>45531</v>
      </c>
      <c r="AB907" s="269">
        <v>11300.35</v>
      </c>
      <c r="AC907" s="14" t="s">
        <v>1602</v>
      </c>
      <c r="AD907">
        <f t="shared" si="18"/>
        <v>18.443000000000001</v>
      </c>
    </row>
    <row r="908" spans="27:30" x14ac:dyDescent="0.25">
      <c r="AA908" s="268">
        <v>45532</v>
      </c>
      <c r="AB908" s="269">
        <v>11234.8</v>
      </c>
      <c r="AC908" s="14" t="s">
        <v>1603</v>
      </c>
      <c r="AD908">
        <f t="shared" si="18"/>
        <v>20.11</v>
      </c>
    </row>
    <row r="909" spans="27:30" x14ac:dyDescent="0.25">
      <c r="AA909" s="268">
        <v>45533</v>
      </c>
      <c r="AB909" s="269">
        <v>11222</v>
      </c>
      <c r="AC909" s="14" t="s">
        <v>1604</v>
      </c>
      <c r="AD909">
        <f t="shared" si="18"/>
        <v>40.625999999999998</v>
      </c>
    </row>
    <row r="910" spans="27:30" x14ac:dyDescent="0.25">
      <c r="AA910" s="268">
        <v>45534</v>
      </c>
      <c r="AB910" s="269">
        <v>11301.9</v>
      </c>
      <c r="AC910" s="14" t="s">
        <v>1605</v>
      </c>
      <c r="AD910">
        <f t="shared" si="18"/>
        <v>46.219000000000001</v>
      </c>
    </row>
    <row r="911" spans="27:30" x14ac:dyDescent="0.25">
      <c r="AA911" s="268">
        <v>45537</v>
      </c>
      <c r="AB911" s="269">
        <v>11424.9</v>
      </c>
      <c r="AC911" s="14" t="s">
        <v>1606</v>
      </c>
      <c r="AD911">
        <f t="shared" si="18"/>
        <v>24.867000000000001</v>
      </c>
    </row>
    <row r="912" spans="27:30" x14ac:dyDescent="0.25">
      <c r="AA912" s="268">
        <v>45538</v>
      </c>
      <c r="AB912" s="269">
        <v>11460.8</v>
      </c>
      <c r="AC912" s="14" t="s">
        <v>1607</v>
      </c>
      <c r="AD912">
        <f t="shared" si="18"/>
        <v>18.172000000000001</v>
      </c>
    </row>
    <row r="913" spans="27:30" x14ac:dyDescent="0.25">
      <c r="AA913" s="268">
        <v>45539</v>
      </c>
      <c r="AB913" s="269">
        <v>11580.45</v>
      </c>
      <c r="AC913" s="14" t="s">
        <v>1608</v>
      </c>
      <c r="AD913">
        <f t="shared" si="18"/>
        <v>19.818999999999999</v>
      </c>
    </row>
    <row r="914" spans="27:30" x14ac:dyDescent="0.25">
      <c r="AA914" s="268">
        <v>45540</v>
      </c>
      <c r="AB914" s="269">
        <v>11542.65</v>
      </c>
      <c r="AC914" s="14" t="s">
        <v>1609</v>
      </c>
      <c r="AD914">
        <f t="shared" si="18"/>
        <v>40.682000000000002</v>
      </c>
    </row>
    <row r="915" spans="27:30" x14ac:dyDescent="0.25">
      <c r="AA915" s="268">
        <v>45541</v>
      </c>
      <c r="AB915" s="269">
        <v>11432.85</v>
      </c>
      <c r="AC915" s="14" t="s">
        <v>1610</v>
      </c>
      <c r="AD915">
        <f t="shared" si="18"/>
        <v>24.524999999999999</v>
      </c>
    </row>
    <row r="916" spans="27:30" x14ac:dyDescent="0.25">
      <c r="AA916" s="268">
        <v>45544</v>
      </c>
      <c r="AB916" s="269">
        <v>11494.35</v>
      </c>
      <c r="AC916" s="14" t="s">
        <v>1611</v>
      </c>
      <c r="AD916">
        <f t="shared" si="18"/>
        <v>15.467000000000001</v>
      </c>
    </row>
    <row r="917" spans="27:30" x14ac:dyDescent="0.25">
      <c r="AA917" s="268">
        <v>45545</v>
      </c>
      <c r="AB917" s="269">
        <v>11541.05</v>
      </c>
      <c r="AC917" s="14" t="s">
        <v>1612</v>
      </c>
      <c r="AD917">
        <f t="shared" si="18"/>
        <v>23.75</v>
      </c>
    </row>
    <row r="918" spans="27:30" x14ac:dyDescent="0.25">
      <c r="AA918" s="268">
        <v>45546</v>
      </c>
      <c r="AB918" s="269">
        <v>11487.45</v>
      </c>
      <c r="AC918" s="14" t="s">
        <v>1613</v>
      </c>
      <c r="AD918">
        <f t="shared" si="18"/>
        <v>14.134</v>
      </c>
    </row>
    <row r="919" spans="27:30" x14ac:dyDescent="0.25">
      <c r="AA919" s="268">
        <v>45547</v>
      </c>
      <c r="AB919" s="269">
        <v>11710.25</v>
      </c>
      <c r="AC919" s="14" t="s">
        <v>1614</v>
      </c>
      <c r="AD919">
        <f t="shared" si="18"/>
        <v>45.593000000000004</v>
      </c>
    </row>
    <row r="920" spans="27:30" x14ac:dyDescent="0.25">
      <c r="AA920" s="268">
        <v>45548</v>
      </c>
      <c r="AB920" s="269">
        <v>11717.95</v>
      </c>
      <c r="AC920" s="14" t="s">
        <v>1615</v>
      </c>
      <c r="AD920">
        <f t="shared" si="18"/>
        <v>27.966000000000001</v>
      </c>
    </row>
    <row r="921" spans="27:30" x14ac:dyDescent="0.25">
      <c r="AA921" s="268">
        <v>45551</v>
      </c>
      <c r="AB921" s="269">
        <v>11642.65</v>
      </c>
      <c r="AC921" s="14" t="s">
        <v>1616</v>
      </c>
      <c r="AD921">
        <f t="shared" si="18"/>
        <v>25.786000000000001</v>
      </c>
    </row>
    <row r="922" spans="27:30" x14ac:dyDescent="0.25">
      <c r="AA922" s="268">
        <v>45552</v>
      </c>
      <c r="AB922" s="269">
        <v>11645.65</v>
      </c>
      <c r="AC922" s="14" t="s">
        <v>1617</v>
      </c>
      <c r="AD922">
        <f t="shared" si="18"/>
        <v>20.273</v>
      </c>
    </row>
    <row r="923" spans="27:30" x14ac:dyDescent="0.25">
      <c r="AA923" s="268">
        <v>45553</v>
      </c>
      <c r="AB923" s="269">
        <v>11630.9</v>
      </c>
      <c r="AC923" s="14" t="s">
        <v>1618</v>
      </c>
      <c r="AD923">
        <f t="shared" si="18"/>
        <v>18.507000000000001</v>
      </c>
    </row>
    <row r="924" spans="27:30" x14ac:dyDescent="0.25">
      <c r="AA924" s="268">
        <v>45554</v>
      </c>
      <c r="AB924" s="269">
        <v>11627.5</v>
      </c>
      <c r="AC924" s="14" t="s">
        <v>1619</v>
      </c>
      <c r="AD924">
        <f t="shared" si="18"/>
        <v>22.725000000000001</v>
      </c>
    </row>
    <row r="925" spans="27:30" x14ac:dyDescent="0.25">
      <c r="AA925" s="268">
        <v>45555</v>
      </c>
      <c r="AB925" s="269">
        <v>11798.3</v>
      </c>
      <c r="AC925" s="14" t="s">
        <v>1620</v>
      </c>
      <c r="AD925">
        <f t="shared" si="18"/>
        <v>60.878999999999998</v>
      </c>
    </row>
    <row r="926" spans="27:30" x14ac:dyDescent="0.25">
      <c r="AA926" s="268">
        <v>45558</v>
      </c>
      <c r="AB926" s="269">
        <v>11962.05</v>
      </c>
      <c r="AC926" s="14" t="s">
        <v>1621</v>
      </c>
      <c r="AD926">
        <f t="shared" si="18"/>
        <v>27.931999999999999</v>
      </c>
    </row>
    <row r="927" spans="27:30" x14ac:dyDescent="0.25">
      <c r="AA927" s="268">
        <v>45559</v>
      </c>
      <c r="AB927" s="269">
        <v>11761.65</v>
      </c>
      <c r="AC927" s="14" t="s">
        <v>1622</v>
      </c>
      <c r="AD927">
        <f t="shared" si="18"/>
        <v>24.204000000000001</v>
      </c>
    </row>
    <row r="928" spans="27:30" x14ac:dyDescent="0.25">
      <c r="AA928" s="268">
        <v>45560</v>
      </c>
      <c r="AB928" s="269">
        <v>11816.3</v>
      </c>
      <c r="AC928" s="14" t="s">
        <v>1623</v>
      </c>
      <c r="AD928">
        <f t="shared" si="18"/>
        <v>19.669</v>
      </c>
    </row>
    <row r="929" spans="27:30" x14ac:dyDescent="0.25">
      <c r="AA929" s="268">
        <v>45561</v>
      </c>
      <c r="AB929" s="269">
        <v>12065</v>
      </c>
      <c r="AC929" s="14" t="s">
        <v>1624</v>
      </c>
      <c r="AD929">
        <f t="shared" si="18"/>
        <v>27.707999999999998</v>
      </c>
    </row>
    <row r="930" spans="27:30" x14ac:dyDescent="0.25">
      <c r="AA930" s="268">
        <v>45562</v>
      </c>
      <c r="AB930" s="269">
        <v>11952.3</v>
      </c>
      <c r="AC930" s="14" t="s">
        <v>1625</v>
      </c>
      <c r="AD930">
        <f t="shared" si="18"/>
        <v>40.427999999999997</v>
      </c>
    </row>
    <row r="931" spans="27:30" x14ac:dyDescent="0.25">
      <c r="AA931" s="268">
        <v>45565</v>
      </c>
      <c r="AB931" s="269">
        <v>11802</v>
      </c>
      <c r="AC931" s="14" t="s">
        <v>1626</v>
      </c>
      <c r="AD931">
        <f t="shared" si="18"/>
        <v>40.548999999999999</v>
      </c>
    </row>
    <row r="932" spans="27:30" x14ac:dyDescent="0.25">
      <c r="AA932" s="268">
        <v>45566</v>
      </c>
      <c r="AB932" s="269">
        <v>11837.15</v>
      </c>
      <c r="AC932" s="14" t="s">
        <v>1627</v>
      </c>
      <c r="AD932">
        <f t="shared" si="18"/>
        <v>32.491</v>
      </c>
    </row>
    <row r="933" spans="27:30" x14ac:dyDescent="0.25">
      <c r="AA933" s="268">
        <v>45568</v>
      </c>
      <c r="AB933" s="269">
        <v>11724.8</v>
      </c>
      <c r="AC933" s="14" t="s">
        <v>1628</v>
      </c>
      <c r="AD933">
        <f t="shared" si="18"/>
        <v>30.460999999999999</v>
      </c>
    </row>
    <row r="934" spans="27:30" x14ac:dyDescent="0.25">
      <c r="AA934" s="268">
        <v>45569</v>
      </c>
      <c r="AB934" s="269">
        <v>11450.25</v>
      </c>
      <c r="AC934" s="14" t="s">
        <v>1629</v>
      </c>
      <c r="AD934">
        <f t="shared" si="18"/>
        <v>35.728000000000002</v>
      </c>
    </row>
    <row r="935" spans="27:30" x14ac:dyDescent="0.25">
      <c r="AA935" s="268">
        <v>45572</v>
      </c>
      <c r="AB935" s="269">
        <v>11230.35</v>
      </c>
      <c r="AC935" s="14" t="s">
        <v>1630</v>
      </c>
      <c r="AD935">
        <f t="shared" si="18"/>
        <v>37.466000000000001</v>
      </c>
    </row>
    <row r="936" spans="27:30" x14ac:dyDescent="0.25">
      <c r="AA936" s="268">
        <v>45573</v>
      </c>
      <c r="AB936" s="269">
        <v>11389.8</v>
      </c>
      <c r="AC936" s="14" t="s">
        <v>1631</v>
      </c>
      <c r="AD936">
        <f t="shared" si="18"/>
        <v>44.722000000000001</v>
      </c>
    </row>
    <row r="937" spans="27:30" x14ac:dyDescent="0.25">
      <c r="AA937" s="268">
        <v>45574</v>
      </c>
      <c r="AB937" s="269">
        <v>11350.15</v>
      </c>
      <c r="AC937" s="14" t="s">
        <v>1632</v>
      </c>
      <c r="AD937">
        <f t="shared" si="18"/>
        <v>28.638000000000002</v>
      </c>
    </row>
    <row r="938" spans="27:30" x14ac:dyDescent="0.25">
      <c r="AA938" s="268">
        <v>45575</v>
      </c>
      <c r="AB938" s="269">
        <v>11430.05</v>
      </c>
      <c r="AC938" s="14" t="s">
        <v>1633</v>
      </c>
      <c r="AD938">
        <f t="shared" si="18"/>
        <v>18.053999999999998</v>
      </c>
    </row>
    <row r="939" spans="27:30" x14ac:dyDescent="0.25">
      <c r="AA939" s="268">
        <v>45576</v>
      </c>
      <c r="AB939" s="269">
        <v>11421.3</v>
      </c>
      <c r="AC939" s="14" t="s">
        <v>1634</v>
      </c>
      <c r="AD939">
        <f t="shared" si="18"/>
        <v>12.028</v>
      </c>
    </row>
    <row r="940" spans="27:30" x14ac:dyDescent="0.25">
      <c r="AA940" s="268">
        <v>45579</v>
      </c>
      <c r="AB940" s="269">
        <v>11300.3</v>
      </c>
      <c r="AC940" s="14" t="s">
        <v>1635</v>
      </c>
      <c r="AD940">
        <f t="shared" si="18"/>
        <v>14.416</v>
      </c>
    </row>
    <row r="941" spans="27:30" x14ac:dyDescent="0.25">
      <c r="AA941" s="268">
        <v>45580</v>
      </c>
      <c r="AB941" s="269">
        <v>11416.9</v>
      </c>
      <c r="AC941" s="14" t="s">
        <v>1636</v>
      </c>
      <c r="AD941">
        <f t="shared" si="18"/>
        <v>18.228999999999999</v>
      </c>
    </row>
    <row r="942" spans="27:30" x14ac:dyDescent="0.25">
      <c r="AA942" s="268">
        <v>45581</v>
      </c>
      <c r="AB942" s="269">
        <v>11322.3</v>
      </c>
      <c r="AC942" s="14" t="s">
        <v>1637</v>
      </c>
      <c r="AD942">
        <f t="shared" si="18"/>
        <v>27.681000000000001</v>
      </c>
    </row>
    <row r="943" spans="27:30" x14ac:dyDescent="0.25">
      <c r="AA943" s="268">
        <v>45582</v>
      </c>
      <c r="AB943" s="269">
        <v>11017.3</v>
      </c>
      <c r="AC943" s="14" t="s">
        <v>1638</v>
      </c>
      <c r="AD943">
        <f t="shared" si="18"/>
        <v>35.332999999999998</v>
      </c>
    </row>
    <row r="944" spans="27:30" x14ac:dyDescent="0.25">
      <c r="AA944" s="268">
        <v>45583</v>
      </c>
      <c r="AB944" s="269">
        <v>11069.3</v>
      </c>
      <c r="AC944" s="14" t="s">
        <v>1639</v>
      </c>
      <c r="AD944">
        <f t="shared" si="18"/>
        <v>33.07</v>
      </c>
    </row>
    <row r="945" spans="27:30" x14ac:dyDescent="0.25">
      <c r="AA945" s="268">
        <v>45586</v>
      </c>
      <c r="AB945" s="269">
        <v>10869.3</v>
      </c>
      <c r="AC945" s="14" t="s">
        <v>1640</v>
      </c>
      <c r="AD945">
        <f t="shared" si="18"/>
        <v>56.667000000000002</v>
      </c>
    </row>
    <row r="946" spans="27:30" x14ac:dyDescent="0.25">
      <c r="AA946" s="268">
        <v>45587</v>
      </c>
      <c r="AB946" s="269">
        <v>10825.15</v>
      </c>
      <c r="AC946" s="14" t="s">
        <v>1641</v>
      </c>
      <c r="AD946">
        <f t="shared" si="18"/>
        <v>79.388999999999996</v>
      </c>
    </row>
    <row r="947" spans="27:30" x14ac:dyDescent="0.25">
      <c r="AA947" s="268">
        <v>45588</v>
      </c>
      <c r="AB947" s="269">
        <v>10753.05</v>
      </c>
      <c r="AC947" s="14" t="s">
        <v>1642</v>
      </c>
      <c r="AD947">
        <f t="shared" si="18"/>
        <v>35.171999999999997</v>
      </c>
    </row>
    <row r="948" spans="27:30" x14ac:dyDescent="0.25">
      <c r="AA948" s="268">
        <v>45589</v>
      </c>
      <c r="AB948" s="269">
        <v>11043.6</v>
      </c>
      <c r="AC948" s="14" t="s">
        <v>1643</v>
      </c>
      <c r="AD948">
        <f t="shared" si="18"/>
        <v>34.14</v>
      </c>
    </row>
    <row r="949" spans="27:30" x14ac:dyDescent="0.25">
      <c r="AA949" s="268">
        <v>45590</v>
      </c>
      <c r="AB949" s="269">
        <v>10995.2</v>
      </c>
      <c r="AC949" s="14" t="s">
        <v>1644</v>
      </c>
      <c r="AD949">
        <f t="shared" si="18"/>
        <v>51.965000000000003</v>
      </c>
    </row>
    <row r="950" spans="27:30" x14ac:dyDescent="0.25">
      <c r="AA950" s="268">
        <v>45593</v>
      </c>
      <c r="AB950" s="269">
        <v>11092.6</v>
      </c>
      <c r="AC950" s="14" t="s">
        <v>1645</v>
      </c>
      <c r="AD950">
        <f t="shared" si="18"/>
        <v>22.911000000000001</v>
      </c>
    </row>
    <row r="951" spans="27:30" x14ac:dyDescent="0.25">
      <c r="AA951" s="268">
        <v>45594</v>
      </c>
      <c r="AB951" s="269">
        <v>11112.1</v>
      </c>
      <c r="AC951" s="14" t="s">
        <v>1646</v>
      </c>
      <c r="AD951">
        <f t="shared" si="18"/>
        <v>26.675999999999998</v>
      </c>
    </row>
    <row r="952" spans="27:30" x14ac:dyDescent="0.25">
      <c r="AA952" s="268">
        <v>45595</v>
      </c>
      <c r="AB952" s="269">
        <v>11205.1</v>
      </c>
      <c r="AC952" s="14" t="s">
        <v>1647</v>
      </c>
      <c r="AD952">
        <f t="shared" si="18"/>
        <v>23.992999999999999</v>
      </c>
    </row>
    <row r="953" spans="27:30" x14ac:dyDescent="0.25">
      <c r="AA953" s="268">
        <v>45596</v>
      </c>
      <c r="AB953" s="269">
        <v>11065.65</v>
      </c>
      <c r="AC953" s="14" t="s">
        <v>1648</v>
      </c>
      <c r="AD953">
        <f t="shared" si="18"/>
        <v>42.369</v>
      </c>
    </row>
    <row r="954" spans="27:30" x14ac:dyDescent="0.25">
      <c r="AA954" s="268">
        <v>45597</v>
      </c>
      <c r="AB954" s="269">
        <v>11145.8</v>
      </c>
      <c r="AC954" s="14" t="s">
        <v>1649</v>
      </c>
      <c r="AD954">
        <f t="shared" si="18"/>
        <v>1.903</v>
      </c>
    </row>
    <row r="955" spans="27:30" x14ac:dyDescent="0.25">
      <c r="AA955" s="268">
        <v>45600</v>
      </c>
      <c r="AB955" s="269">
        <v>11001.85</v>
      </c>
      <c r="AC955" s="14" t="s">
        <v>1650</v>
      </c>
      <c r="AD955">
        <f t="shared" si="18"/>
        <v>27.698</v>
      </c>
    </row>
    <row r="956" spans="27:30" x14ac:dyDescent="0.25">
      <c r="AA956" s="268">
        <v>45601</v>
      </c>
      <c r="AB956" s="269">
        <v>11176.35</v>
      </c>
      <c r="AC956" s="14" t="s">
        <v>1651</v>
      </c>
      <c r="AD956">
        <f t="shared" si="18"/>
        <v>27.442</v>
      </c>
    </row>
    <row r="957" spans="27:30" x14ac:dyDescent="0.25">
      <c r="AA957" s="268">
        <v>45602</v>
      </c>
      <c r="AB957" s="269">
        <v>11274.4</v>
      </c>
      <c r="AC957" s="14" t="s">
        <v>1652</v>
      </c>
      <c r="AD957">
        <f t="shared" si="18"/>
        <v>28.248999999999999</v>
      </c>
    </row>
    <row r="958" spans="27:30" x14ac:dyDescent="0.25">
      <c r="AA958" s="268">
        <v>45603</v>
      </c>
      <c r="AB958" s="269">
        <v>11050.8</v>
      </c>
      <c r="AC958" s="14" t="s">
        <v>1653</v>
      </c>
      <c r="AD958">
        <f t="shared" si="18"/>
        <v>32.625</v>
      </c>
    </row>
    <row r="959" spans="27:30" x14ac:dyDescent="0.25">
      <c r="AA959" s="268">
        <v>45604</v>
      </c>
      <c r="AB959" s="269">
        <v>11043.35</v>
      </c>
      <c r="AC959" s="14" t="s">
        <v>1654</v>
      </c>
      <c r="AD959">
        <f t="shared" si="18"/>
        <v>15.589</v>
      </c>
    </row>
    <row r="960" spans="27:30" x14ac:dyDescent="0.25">
      <c r="AA960" s="268">
        <v>45607</v>
      </c>
      <c r="AB960" s="269">
        <v>10970.45</v>
      </c>
      <c r="AC960" s="14" t="s">
        <v>1655</v>
      </c>
      <c r="AD960">
        <f t="shared" si="18"/>
        <v>10.747</v>
      </c>
    </row>
    <row r="961" spans="27:30" x14ac:dyDescent="0.25">
      <c r="AA961" s="268">
        <v>45608</v>
      </c>
      <c r="AB961" s="269">
        <v>10892</v>
      </c>
      <c r="AC961" s="14" t="s">
        <v>1656</v>
      </c>
      <c r="AD961">
        <f t="shared" si="18"/>
        <v>16.635000000000002</v>
      </c>
    </row>
    <row r="962" spans="27:30" x14ac:dyDescent="0.25">
      <c r="AA962" s="268">
        <v>45609</v>
      </c>
      <c r="AB962" s="269">
        <v>10782.2</v>
      </c>
      <c r="AC962" s="14" t="s">
        <v>1657</v>
      </c>
      <c r="AD962">
        <f t="shared" si="18"/>
        <v>21.69</v>
      </c>
    </row>
    <row r="963" spans="27:30" x14ac:dyDescent="0.25">
      <c r="AA963" s="268">
        <v>45610</v>
      </c>
      <c r="AB963" s="269">
        <v>10728.5</v>
      </c>
      <c r="AC963" s="14" t="s">
        <v>1658</v>
      </c>
      <c r="AD963">
        <f t="shared" si="18"/>
        <v>29.744</v>
      </c>
    </row>
    <row r="964" spans="27:30" x14ac:dyDescent="0.25">
      <c r="AA964" s="268">
        <v>45614</v>
      </c>
      <c r="AB964" s="269">
        <v>10630.9</v>
      </c>
      <c r="AC964" s="14" t="s">
        <v>1659</v>
      </c>
      <c r="AD964">
        <f t="shared" ref="AD964:AD1027" si="19">(IF(RIGHT(AC964,1)="K",
    VALUE(LEFT(AC964,LEN(AC964)-1))*1000,
    IF(RIGHT(AC964,1)="M",
       VALUE(LEFT(AC964,LEN(AC964)-1))*1000000,
       VALUE(AC964)
    )
))/10000</f>
        <v>42.418999999999997</v>
      </c>
    </row>
    <row r="965" spans="27:30" x14ac:dyDescent="0.25">
      <c r="AA965" s="268">
        <v>45615</v>
      </c>
      <c r="AB965" s="269">
        <v>10769.55</v>
      </c>
      <c r="AC965" s="14" t="s">
        <v>1660</v>
      </c>
      <c r="AD965">
        <f t="shared" si="19"/>
        <v>22.036000000000001</v>
      </c>
    </row>
    <row r="966" spans="27:30" x14ac:dyDescent="0.25">
      <c r="AA966" s="268">
        <v>45617</v>
      </c>
      <c r="AB966" s="269">
        <v>10954.85</v>
      </c>
      <c r="AC966" s="14" t="s">
        <v>1661</v>
      </c>
      <c r="AD966">
        <f t="shared" si="19"/>
        <v>25.692000000000004</v>
      </c>
    </row>
    <row r="967" spans="27:30" x14ac:dyDescent="0.25">
      <c r="AA967" s="268">
        <v>45618</v>
      </c>
      <c r="AB967" s="269">
        <v>11375.3</v>
      </c>
      <c r="AC967" s="14" t="s">
        <v>1662</v>
      </c>
      <c r="AD967">
        <f t="shared" si="19"/>
        <v>32.843000000000004</v>
      </c>
    </row>
    <row r="968" spans="27:30" x14ac:dyDescent="0.25">
      <c r="AA968" s="268">
        <v>45621</v>
      </c>
      <c r="AB968" s="269">
        <v>11457.45</v>
      </c>
      <c r="AC968" s="14" t="s">
        <v>1663</v>
      </c>
      <c r="AD968">
        <f t="shared" si="19"/>
        <v>46.506</v>
      </c>
    </row>
    <row r="969" spans="27:30" x14ac:dyDescent="0.25">
      <c r="AA969" s="268">
        <v>45622</v>
      </c>
      <c r="AB969" s="269">
        <v>11121.05</v>
      </c>
      <c r="AC969" s="14" t="s">
        <v>957</v>
      </c>
      <c r="AD969">
        <f t="shared" si="19"/>
        <v>24.370999999999999</v>
      </c>
    </row>
    <row r="970" spans="27:30" x14ac:dyDescent="0.25">
      <c r="AA970" s="268">
        <v>45623</v>
      </c>
      <c r="AB970" s="269">
        <v>11139.9</v>
      </c>
      <c r="AC970" s="14" t="s">
        <v>1664</v>
      </c>
      <c r="AD970">
        <f t="shared" si="19"/>
        <v>33.027999999999999</v>
      </c>
    </row>
    <row r="971" spans="27:30" x14ac:dyDescent="0.25">
      <c r="AA971" s="268">
        <v>45624</v>
      </c>
      <c r="AB971" s="269">
        <v>10997.8</v>
      </c>
      <c r="AC971" s="14" t="s">
        <v>1665</v>
      </c>
      <c r="AD971">
        <f t="shared" si="19"/>
        <v>32.613999999999997</v>
      </c>
    </row>
    <row r="972" spans="27:30" x14ac:dyDescent="0.25">
      <c r="AA972" s="268">
        <v>45625</v>
      </c>
      <c r="AB972" s="269">
        <v>11202.15</v>
      </c>
      <c r="AC972" s="14" t="s">
        <v>1666</v>
      </c>
      <c r="AD972">
        <f t="shared" si="19"/>
        <v>36.756999999999998</v>
      </c>
    </row>
    <row r="973" spans="27:30" x14ac:dyDescent="0.25">
      <c r="AA973" s="268">
        <v>45628</v>
      </c>
      <c r="AB973" s="269">
        <v>11648.55</v>
      </c>
      <c r="AC973" s="14" t="s">
        <v>1667</v>
      </c>
      <c r="AD973">
        <f t="shared" si="19"/>
        <v>63.369</v>
      </c>
    </row>
    <row r="974" spans="27:30" x14ac:dyDescent="0.25">
      <c r="AA974" s="268">
        <v>45629</v>
      </c>
      <c r="AB974" s="269">
        <v>11852.35</v>
      </c>
      <c r="AC974" s="14" t="s">
        <v>1668</v>
      </c>
      <c r="AD974">
        <f t="shared" si="19"/>
        <v>50.180999999999997</v>
      </c>
    </row>
    <row r="975" spans="27:30" x14ac:dyDescent="0.25">
      <c r="AA975" s="268">
        <v>45630</v>
      </c>
      <c r="AB975" s="269">
        <v>11766.8</v>
      </c>
      <c r="AC975" s="14" t="s">
        <v>1669</v>
      </c>
      <c r="AD975">
        <f t="shared" si="19"/>
        <v>30.677</v>
      </c>
    </row>
    <row r="976" spans="27:30" x14ac:dyDescent="0.25">
      <c r="AA976" s="268">
        <v>45631</v>
      </c>
      <c r="AB976" s="269">
        <v>11932.8</v>
      </c>
      <c r="AC976" s="14" t="s">
        <v>1670</v>
      </c>
      <c r="AD976">
        <f t="shared" si="19"/>
        <v>43.637</v>
      </c>
    </row>
    <row r="977" spans="27:30" x14ac:dyDescent="0.25">
      <c r="AA977" s="268">
        <v>45632</v>
      </c>
      <c r="AB977" s="269">
        <v>11848.5</v>
      </c>
      <c r="AC977" s="14" t="s">
        <v>1671</v>
      </c>
      <c r="AD977">
        <f t="shared" si="19"/>
        <v>19.332000000000001</v>
      </c>
    </row>
    <row r="978" spans="27:30" x14ac:dyDescent="0.25">
      <c r="AA978" s="268">
        <v>45635</v>
      </c>
      <c r="AB978" s="269">
        <v>11814.8</v>
      </c>
      <c r="AC978" s="14" t="s">
        <v>1672</v>
      </c>
      <c r="AD978">
        <f t="shared" si="19"/>
        <v>26.818000000000001</v>
      </c>
    </row>
    <row r="979" spans="27:30" x14ac:dyDescent="0.25">
      <c r="AA979" s="268">
        <v>45636</v>
      </c>
      <c r="AB979" s="269">
        <v>11745.8</v>
      </c>
      <c r="AC979" s="14" t="s">
        <v>1673</v>
      </c>
      <c r="AD979">
        <f t="shared" si="19"/>
        <v>23.276</v>
      </c>
    </row>
    <row r="980" spans="27:30" x14ac:dyDescent="0.25">
      <c r="AA980" s="268">
        <v>45637</v>
      </c>
      <c r="AB980" s="269">
        <v>11898.5</v>
      </c>
      <c r="AC980" s="14" t="s">
        <v>1674</v>
      </c>
      <c r="AD980">
        <f t="shared" si="19"/>
        <v>52.703000000000003</v>
      </c>
    </row>
    <row r="981" spans="27:30" x14ac:dyDescent="0.25">
      <c r="AA981" s="268">
        <v>45638</v>
      </c>
      <c r="AB981" s="269">
        <v>11856.95</v>
      </c>
      <c r="AC981" s="14" t="s">
        <v>1675</v>
      </c>
      <c r="AD981">
        <f t="shared" si="19"/>
        <v>24.780999999999999</v>
      </c>
    </row>
    <row r="982" spans="27:30" x14ac:dyDescent="0.25">
      <c r="AA982" s="268">
        <v>45639</v>
      </c>
      <c r="AB982" s="269">
        <v>12083.9</v>
      </c>
      <c r="AC982" s="14" t="s">
        <v>1676</v>
      </c>
      <c r="AD982">
        <f t="shared" si="19"/>
        <v>40.887999999999998</v>
      </c>
    </row>
    <row r="983" spans="27:30" x14ac:dyDescent="0.25">
      <c r="AA983" s="268">
        <v>45642</v>
      </c>
      <c r="AB983" s="269">
        <v>11942.5</v>
      </c>
      <c r="AC983" s="14" t="s">
        <v>1677</v>
      </c>
      <c r="AD983">
        <f t="shared" si="19"/>
        <v>21.495000000000001</v>
      </c>
    </row>
    <row r="984" spans="27:30" x14ac:dyDescent="0.25">
      <c r="AA984" s="268">
        <v>45643</v>
      </c>
      <c r="AB984" s="269">
        <v>11774.95</v>
      </c>
      <c r="AC984" s="14" t="s">
        <v>1678</v>
      </c>
      <c r="AD984">
        <f t="shared" si="19"/>
        <v>24.463999999999999</v>
      </c>
    </row>
    <row r="985" spans="27:30" x14ac:dyDescent="0.25">
      <c r="AA985" s="268">
        <v>45644</v>
      </c>
      <c r="AB985" s="269">
        <v>11763.95</v>
      </c>
      <c r="AC985" s="14" t="s">
        <v>1679</v>
      </c>
      <c r="AD985">
        <f t="shared" si="19"/>
        <v>22.29</v>
      </c>
    </row>
    <row r="986" spans="27:30" x14ac:dyDescent="0.25">
      <c r="AA986" s="268">
        <v>45645</v>
      </c>
      <c r="AB986" s="269">
        <v>11670.8</v>
      </c>
      <c r="AC986" s="14" t="s">
        <v>1680</v>
      </c>
      <c r="AD986">
        <f t="shared" si="19"/>
        <v>16.225000000000001</v>
      </c>
    </row>
    <row r="987" spans="27:30" x14ac:dyDescent="0.25">
      <c r="AA987" s="268">
        <v>45646</v>
      </c>
      <c r="AB987" s="269">
        <v>11422.8</v>
      </c>
      <c r="AC987" s="14" t="s">
        <v>1681</v>
      </c>
      <c r="AD987">
        <f t="shared" si="19"/>
        <v>29.98</v>
      </c>
    </row>
    <row r="988" spans="27:30" x14ac:dyDescent="0.25">
      <c r="AA988" s="268">
        <v>45649</v>
      </c>
      <c r="AB988" s="269">
        <v>11472.6</v>
      </c>
      <c r="AC988" s="14" t="s">
        <v>1682</v>
      </c>
      <c r="AD988">
        <f t="shared" si="19"/>
        <v>14.935</v>
      </c>
    </row>
    <row r="989" spans="27:30" x14ac:dyDescent="0.25">
      <c r="AA989" s="268">
        <v>45650</v>
      </c>
      <c r="AB989" s="269">
        <v>11390.35</v>
      </c>
      <c r="AC989" s="14" t="s">
        <v>1683</v>
      </c>
      <c r="AD989">
        <f t="shared" si="19"/>
        <v>10.8</v>
      </c>
    </row>
    <row r="990" spans="27:30" x14ac:dyDescent="0.25">
      <c r="AA990" s="268">
        <v>45652</v>
      </c>
      <c r="AB990" s="269">
        <v>11460.65</v>
      </c>
      <c r="AC990" s="14" t="s">
        <v>1684</v>
      </c>
      <c r="AD990">
        <f t="shared" si="19"/>
        <v>14.428000000000001</v>
      </c>
    </row>
    <row r="991" spans="27:30" x14ac:dyDescent="0.25">
      <c r="AA991" s="268">
        <v>45653</v>
      </c>
      <c r="AB991" s="269">
        <v>11406.55</v>
      </c>
      <c r="AC991" s="14" t="s">
        <v>1685</v>
      </c>
      <c r="AD991">
        <f t="shared" si="19"/>
        <v>11.840999999999999</v>
      </c>
    </row>
    <row r="992" spans="27:30" x14ac:dyDescent="0.25">
      <c r="AA992" s="268">
        <v>45656</v>
      </c>
      <c r="AB992" s="269">
        <v>11288.35</v>
      </c>
      <c r="AC992" s="14" t="s">
        <v>1686</v>
      </c>
      <c r="AD992">
        <f t="shared" si="19"/>
        <v>16.472999999999999</v>
      </c>
    </row>
    <row r="993" spans="27:30" x14ac:dyDescent="0.25">
      <c r="AA993" s="268">
        <v>45657</v>
      </c>
      <c r="AB993" s="269">
        <v>11426.35</v>
      </c>
      <c r="AC993" s="14" t="s">
        <v>1687</v>
      </c>
      <c r="AD993">
        <f t="shared" si="19"/>
        <v>24.173999999999999</v>
      </c>
    </row>
    <row r="994" spans="27:30" x14ac:dyDescent="0.25">
      <c r="AA994" s="268">
        <v>45658</v>
      </c>
      <c r="AB994" s="269">
        <v>11447</v>
      </c>
      <c r="AC994" s="14" t="s">
        <v>1688</v>
      </c>
      <c r="AD994">
        <f t="shared" si="19"/>
        <v>10.795</v>
      </c>
    </row>
    <row r="995" spans="27:30" x14ac:dyDescent="0.25">
      <c r="AA995" s="268">
        <v>45659</v>
      </c>
      <c r="AB995" s="269">
        <v>11797.7</v>
      </c>
      <c r="AC995" s="14" t="s">
        <v>1689</v>
      </c>
      <c r="AD995">
        <f t="shared" si="19"/>
        <v>26.760999999999999</v>
      </c>
    </row>
    <row r="996" spans="27:30" x14ac:dyDescent="0.25">
      <c r="AA996" s="268">
        <v>45660</v>
      </c>
      <c r="AB996" s="269">
        <v>11786</v>
      </c>
      <c r="AC996" s="14" t="s">
        <v>464</v>
      </c>
      <c r="AD996">
        <f t="shared" si="19"/>
        <v>23.765000000000001</v>
      </c>
    </row>
    <row r="997" spans="27:30" x14ac:dyDescent="0.25">
      <c r="AA997" s="268">
        <v>45663</v>
      </c>
      <c r="AB997" s="269">
        <v>11503.6</v>
      </c>
      <c r="AC997" s="14" t="s">
        <v>465</v>
      </c>
      <c r="AD997">
        <f t="shared" si="19"/>
        <v>13.981999999999999</v>
      </c>
    </row>
    <row r="998" spans="27:30" x14ac:dyDescent="0.25">
      <c r="AA998" s="268">
        <v>45664</v>
      </c>
      <c r="AB998" s="269">
        <v>11618.55</v>
      </c>
      <c r="AC998" s="14" t="s">
        <v>466</v>
      </c>
      <c r="AD998">
        <f t="shared" si="19"/>
        <v>19.721</v>
      </c>
    </row>
    <row r="999" spans="27:30" x14ac:dyDescent="0.25">
      <c r="AA999" s="268">
        <v>45665</v>
      </c>
      <c r="AB999" s="269">
        <v>11403.55</v>
      </c>
      <c r="AC999" s="14" t="s">
        <v>467</v>
      </c>
      <c r="AD999">
        <f t="shared" si="19"/>
        <v>15.958</v>
      </c>
    </row>
    <row r="1000" spans="27:30" x14ac:dyDescent="0.25">
      <c r="AA1000" s="268">
        <v>45666</v>
      </c>
      <c r="AB1000" s="269">
        <v>11259.8</v>
      </c>
      <c r="AC1000" s="14" t="s">
        <v>468</v>
      </c>
      <c r="AD1000">
        <f t="shared" si="19"/>
        <v>19.655999999999999</v>
      </c>
    </row>
    <row r="1001" spans="27:30" x14ac:dyDescent="0.25">
      <c r="AA1001" s="268">
        <v>45667</v>
      </c>
      <c r="AB1001" s="269">
        <v>10865.2</v>
      </c>
      <c r="AC1001" s="14" t="s">
        <v>469</v>
      </c>
      <c r="AD1001">
        <f t="shared" si="19"/>
        <v>22.861999999999998</v>
      </c>
    </row>
    <row r="1002" spans="27:30" x14ac:dyDescent="0.25">
      <c r="AA1002" s="268">
        <v>45670</v>
      </c>
      <c r="AB1002" s="269">
        <v>10615.15</v>
      </c>
      <c r="AC1002" s="14" t="s">
        <v>470</v>
      </c>
      <c r="AD1002">
        <f t="shared" si="19"/>
        <v>22.59</v>
      </c>
    </row>
    <row r="1003" spans="27:30" x14ac:dyDescent="0.25">
      <c r="AA1003" s="268">
        <v>45671</v>
      </c>
      <c r="AB1003" s="269">
        <v>10483.75</v>
      </c>
      <c r="AC1003" s="14" t="s">
        <v>471</v>
      </c>
      <c r="AD1003">
        <f t="shared" si="19"/>
        <v>34.44</v>
      </c>
    </row>
    <row r="1004" spans="27:30" x14ac:dyDescent="0.25">
      <c r="AA1004" s="268">
        <v>45672</v>
      </c>
      <c r="AB1004" s="269">
        <v>10521.65</v>
      </c>
      <c r="AC1004" s="14" t="s">
        <v>472</v>
      </c>
      <c r="AD1004">
        <f t="shared" si="19"/>
        <v>37.146000000000001</v>
      </c>
    </row>
    <row r="1005" spans="27:30" x14ac:dyDescent="0.25">
      <c r="AA1005" s="268">
        <v>45673</v>
      </c>
      <c r="AB1005" s="269">
        <v>10636.2</v>
      </c>
      <c r="AC1005" s="14" t="s">
        <v>473</v>
      </c>
      <c r="AD1005">
        <f t="shared" si="19"/>
        <v>37.591000000000001</v>
      </c>
    </row>
    <row r="1006" spans="27:30" x14ac:dyDescent="0.25">
      <c r="AA1006" s="268">
        <v>45674</v>
      </c>
      <c r="AB1006" s="269">
        <v>10580</v>
      </c>
      <c r="AC1006" s="14" t="s">
        <v>474</v>
      </c>
      <c r="AD1006">
        <f t="shared" si="19"/>
        <v>29.776</v>
      </c>
    </row>
    <row r="1007" spans="27:30" x14ac:dyDescent="0.25">
      <c r="AA1007" s="268">
        <v>45677</v>
      </c>
      <c r="AB1007" s="269">
        <v>10624.45</v>
      </c>
      <c r="AC1007" s="14" t="s">
        <v>475</v>
      </c>
      <c r="AD1007">
        <f t="shared" si="19"/>
        <v>33.206000000000003</v>
      </c>
    </row>
    <row r="1008" spans="27:30" x14ac:dyDescent="0.25">
      <c r="AA1008" s="268">
        <v>45678</v>
      </c>
      <c r="AB1008" s="269">
        <v>10667.8</v>
      </c>
      <c r="AC1008" s="14" t="s">
        <v>476</v>
      </c>
      <c r="AD1008">
        <f t="shared" si="19"/>
        <v>59.384</v>
      </c>
    </row>
    <row r="1009" spans="27:30" x14ac:dyDescent="0.25">
      <c r="AA1009" s="268">
        <v>45679</v>
      </c>
      <c r="AB1009" s="269">
        <v>10693.75</v>
      </c>
      <c r="AC1009" s="14" t="s">
        <v>477</v>
      </c>
      <c r="AD1009">
        <f t="shared" si="19"/>
        <v>24.954999999999998</v>
      </c>
    </row>
    <row r="1010" spans="27:30" x14ac:dyDescent="0.25">
      <c r="AA1010" s="268">
        <v>45680</v>
      </c>
      <c r="AB1010" s="269">
        <v>11420.9</v>
      </c>
      <c r="AC1010" s="14" t="s">
        <v>478</v>
      </c>
      <c r="AD1010">
        <f t="shared" si="19"/>
        <v>151</v>
      </c>
    </row>
    <row r="1011" spans="27:30" x14ac:dyDescent="0.25">
      <c r="AA1011" s="268">
        <v>45681</v>
      </c>
      <c r="AB1011" s="269">
        <v>11285.85</v>
      </c>
      <c r="AC1011" s="14" t="s">
        <v>479</v>
      </c>
      <c r="AD1011">
        <f t="shared" si="19"/>
        <v>54.594000000000001</v>
      </c>
    </row>
    <row r="1012" spans="27:30" x14ac:dyDescent="0.25">
      <c r="AA1012" s="268">
        <v>45684</v>
      </c>
      <c r="AB1012" s="269">
        <v>11239.5</v>
      </c>
      <c r="AC1012" s="14" t="s">
        <v>480</v>
      </c>
      <c r="AD1012">
        <f t="shared" si="19"/>
        <v>41.499000000000002</v>
      </c>
    </row>
    <row r="1013" spans="27:30" x14ac:dyDescent="0.25">
      <c r="AA1013" s="268">
        <v>45685</v>
      </c>
      <c r="AB1013" s="269">
        <v>11296.35</v>
      </c>
      <c r="AC1013" s="14" t="s">
        <v>481</v>
      </c>
      <c r="AD1013">
        <f t="shared" si="19"/>
        <v>43.670999999999999</v>
      </c>
    </row>
    <row r="1014" spans="27:30" x14ac:dyDescent="0.25">
      <c r="AA1014" s="268">
        <v>45686</v>
      </c>
      <c r="AB1014" s="269">
        <v>11544.85</v>
      </c>
      <c r="AC1014" s="14" t="s">
        <v>482</v>
      </c>
      <c r="AD1014">
        <f t="shared" si="19"/>
        <v>37.776000000000003</v>
      </c>
    </row>
    <row r="1015" spans="27:30" x14ac:dyDescent="0.25">
      <c r="AA1015" s="268">
        <v>45687</v>
      </c>
      <c r="AB1015" s="269">
        <v>11479.4</v>
      </c>
      <c r="AC1015" s="14" t="s">
        <v>483</v>
      </c>
      <c r="AD1015">
        <f t="shared" si="19"/>
        <v>27.481999999999999</v>
      </c>
    </row>
    <row r="1016" spans="27:30" x14ac:dyDescent="0.25">
      <c r="AA1016" s="268">
        <v>45688</v>
      </c>
      <c r="AB1016" s="269">
        <v>11487.45</v>
      </c>
      <c r="AC1016" s="14" t="s">
        <v>484</v>
      </c>
      <c r="AD1016">
        <f t="shared" si="19"/>
        <v>36.165999999999997</v>
      </c>
    </row>
    <row r="1017" spans="27:30" x14ac:dyDescent="0.25">
      <c r="AA1017" s="268">
        <v>45689</v>
      </c>
      <c r="AB1017" s="269">
        <v>11259.15</v>
      </c>
      <c r="AC1017" s="14" t="s">
        <v>485</v>
      </c>
      <c r="AD1017">
        <f t="shared" si="19"/>
        <v>51.36</v>
      </c>
    </row>
    <row r="1018" spans="27:30" x14ac:dyDescent="0.25">
      <c r="AA1018" s="268">
        <v>45691</v>
      </c>
      <c r="AB1018" s="269">
        <v>11174.65</v>
      </c>
      <c r="AC1018" s="14" t="s">
        <v>486</v>
      </c>
      <c r="AD1018">
        <f t="shared" si="19"/>
        <v>45.058999999999997</v>
      </c>
    </row>
    <row r="1019" spans="27:30" x14ac:dyDescent="0.25">
      <c r="AA1019" s="268">
        <v>45692</v>
      </c>
      <c r="AB1019" s="269">
        <v>11519.15</v>
      </c>
      <c r="AC1019" s="14" t="s">
        <v>487</v>
      </c>
      <c r="AD1019">
        <f t="shared" si="19"/>
        <v>31.475000000000001</v>
      </c>
    </row>
    <row r="1020" spans="27:30" x14ac:dyDescent="0.25">
      <c r="AA1020" s="268">
        <v>45693</v>
      </c>
      <c r="AB1020" s="269">
        <v>11585.7</v>
      </c>
      <c r="AC1020" s="14" t="s">
        <v>488</v>
      </c>
      <c r="AD1020">
        <f t="shared" si="19"/>
        <v>23.69</v>
      </c>
    </row>
    <row r="1021" spans="27:30" x14ac:dyDescent="0.25">
      <c r="AA1021" s="268">
        <v>45694</v>
      </c>
      <c r="AB1021" s="269">
        <v>11477.35</v>
      </c>
      <c r="AC1021" s="14" t="s">
        <v>489</v>
      </c>
      <c r="AD1021">
        <f t="shared" si="19"/>
        <v>30.866</v>
      </c>
    </row>
    <row r="1022" spans="27:30" x14ac:dyDescent="0.25">
      <c r="AA1022" s="268">
        <v>45695</v>
      </c>
      <c r="AB1022" s="269">
        <v>11640.6</v>
      </c>
      <c r="AC1022" s="14" t="s">
        <v>490</v>
      </c>
      <c r="AD1022">
        <f t="shared" si="19"/>
        <v>31.055</v>
      </c>
    </row>
    <row r="1023" spans="27:30" x14ac:dyDescent="0.25">
      <c r="AA1023" s="268">
        <v>45698</v>
      </c>
      <c r="AB1023" s="269">
        <v>11532.3</v>
      </c>
      <c r="AC1023" s="14" t="s">
        <v>491</v>
      </c>
      <c r="AD1023">
        <f t="shared" si="19"/>
        <v>26.245999999999999</v>
      </c>
    </row>
    <row r="1024" spans="27:30" x14ac:dyDescent="0.25">
      <c r="AA1024" s="268">
        <v>45699</v>
      </c>
      <c r="AB1024" s="269">
        <v>11300.2</v>
      </c>
      <c r="AC1024" s="14" t="s">
        <v>492</v>
      </c>
      <c r="AD1024">
        <f t="shared" si="19"/>
        <v>30.134</v>
      </c>
    </row>
    <row r="1025" spans="27:30" x14ac:dyDescent="0.25">
      <c r="AA1025" s="268">
        <v>45700</v>
      </c>
      <c r="AB1025" s="269">
        <v>11478.5</v>
      </c>
      <c r="AC1025" s="14" t="s">
        <v>493</v>
      </c>
      <c r="AD1025">
        <f t="shared" si="19"/>
        <v>34.72</v>
      </c>
    </row>
    <row r="1026" spans="27:30" x14ac:dyDescent="0.25">
      <c r="AA1026" s="268">
        <v>45701</v>
      </c>
      <c r="AB1026" s="269">
        <v>11546.45</v>
      </c>
      <c r="AC1026" s="14" t="s">
        <v>494</v>
      </c>
      <c r="AD1026">
        <f t="shared" si="19"/>
        <v>33.613</v>
      </c>
    </row>
    <row r="1027" spans="27:30" x14ac:dyDescent="0.25">
      <c r="AA1027" s="268">
        <v>45702</v>
      </c>
      <c r="AB1027" s="269">
        <v>11263.85</v>
      </c>
      <c r="AC1027" s="14" t="s">
        <v>495</v>
      </c>
      <c r="AD1027">
        <f t="shared" si="19"/>
        <v>27.92</v>
      </c>
    </row>
    <row r="1028" spans="27:30" x14ac:dyDescent="0.25">
      <c r="AA1028" s="268">
        <v>45705</v>
      </c>
      <c r="AB1028" s="269">
        <v>11490.1</v>
      </c>
      <c r="AC1028" s="14" t="s">
        <v>496</v>
      </c>
      <c r="AD1028">
        <f t="shared" ref="AD1028:AD1091" si="20">(IF(RIGHT(AC1028,1)="K",
    VALUE(LEFT(AC1028,LEN(AC1028)-1))*1000,
    IF(RIGHT(AC1028,1)="M",
       VALUE(LEFT(AC1028,LEN(AC1028)-1))*1000000,
       VALUE(AC1028)
    )
))/10000</f>
        <v>16.605</v>
      </c>
    </row>
    <row r="1029" spans="27:30" x14ac:dyDescent="0.25">
      <c r="AA1029" s="268">
        <v>45706</v>
      </c>
      <c r="AB1029" s="269">
        <v>11308.9</v>
      </c>
      <c r="AC1029" s="14" t="s">
        <v>497</v>
      </c>
      <c r="AD1029">
        <f t="shared" si="20"/>
        <v>26.88</v>
      </c>
    </row>
    <row r="1030" spans="27:30" x14ac:dyDescent="0.25">
      <c r="AA1030" s="268">
        <v>45707</v>
      </c>
      <c r="AB1030" s="269">
        <v>11291.55</v>
      </c>
      <c r="AC1030" s="14" t="s">
        <v>498</v>
      </c>
      <c r="AD1030">
        <f t="shared" si="20"/>
        <v>15.757999999999999</v>
      </c>
    </row>
    <row r="1031" spans="27:30" x14ac:dyDescent="0.25">
      <c r="AA1031" s="268">
        <v>45708</v>
      </c>
      <c r="AB1031" s="269">
        <v>11287.6</v>
      </c>
      <c r="AC1031" s="14" t="s">
        <v>499</v>
      </c>
      <c r="AD1031">
        <f t="shared" si="20"/>
        <v>14.218999999999999</v>
      </c>
    </row>
    <row r="1032" spans="27:30" x14ac:dyDescent="0.25">
      <c r="AA1032" s="268">
        <v>45709</v>
      </c>
      <c r="AB1032" s="269">
        <v>11157.25</v>
      </c>
      <c r="AC1032" s="14" t="s">
        <v>500</v>
      </c>
      <c r="AD1032">
        <f t="shared" si="20"/>
        <v>32.024000000000001</v>
      </c>
    </row>
    <row r="1033" spans="27:30" x14ac:dyDescent="0.25">
      <c r="AA1033" s="268">
        <v>45712</v>
      </c>
      <c r="AB1033" s="269">
        <v>11042.65</v>
      </c>
      <c r="AC1033" s="14" t="s">
        <v>501</v>
      </c>
      <c r="AD1033">
        <f t="shared" si="20"/>
        <v>17.529</v>
      </c>
    </row>
    <row r="1034" spans="27:30" x14ac:dyDescent="0.25">
      <c r="AA1034" s="268">
        <v>45713</v>
      </c>
      <c r="AB1034" s="269">
        <v>10964.15</v>
      </c>
      <c r="AC1034" s="14" t="s">
        <v>502</v>
      </c>
      <c r="AD1034">
        <f t="shared" si="20"/>
        <v>29.65</v>
      </c>
    </row>
    <row r="1035" spans="27:30" x14ac:dyDescent="0.25">
      <c r="AA1035" s="268">
        <v>45715</v>
      </c>
      <c r="AB1035" s="269">
        <v>10447.65</v>
      </c>
      <c r="AC1035" s="14" t="s">
        <v>503</v>
      </c>
      <c r="AD1035">
        <f t="shared" si="20"/>
        <v>172</v>
      </c>
    </row>
    <row r="1036" spans="27:30" x14ac:dyDescent="0.25">
      <c r="AA1036" s="268">
        <v>45716</v>
      </c>
      <c r="AB1036" s="269">
        <v>10128.450000000001</v>
      </c>
      <c r="AC1036" s="14" t="s">
        <v>504</v>
      </c>
      <c r="AD1036">
        <f t="shared" si="20"/>
        <v>123</v>
      </c>
    </row>
    <row r="1037" spans="27:30" x14ac:dyDescent="0.25">
      <c r="AA1037" s="268">
        <v>45719</v>
      </c>
      <c r="AB1037" s="269">
        <v>10340.799999999999</v>
      </c>
      <c r="AC1037" s="14" t="s">
        <v>505</v>
      </c>
      <c r="AD1037">
        <f t="shared" si="20"/>
        <v>83.534000000000006</v>
      </c>
    </row>
    <row r="1038" spans="27:30" x14ac:dyDescent="0.25">
      <c r="AA1038" s="268">
        <v>45720</v>
      </c>
      <c r="AB1038" s="269">
        <v>10370.1</v>
      </c>
      <c r="AC1038" s="14" t="s">
        <v>506</v>
      </c>
      <c r="AD1038">
        <f t="shared" si="20"/>
        <v>35.292000000000002</v>
      </c>
    </row>
    <row r="1039" spans="27:30" x14ac:dyDescent="0.25">
      <c r="AA1039" s="268">
        <v>45721</v>
      </c>
      <c r="AB1039" s="269">
        <v>10464.200000000001</v>
      </c>
      <c r="AC1039" s="14" t="s">
        <v>507</v>
      </c>
      <c r="AD1039">
        <f t="shared" si="20"/>
        <v>31.082999999999998</v>
      </c>
    </row>
    <row r="1040" spans="27:30" x14ac:dyDescent="0.25">
      <c r="AA1040" s="268">
        <v>45722</v>
      </c>
      <c r="AB1040" s="269">
        <v>10493.5</v>
      </c>
      <c r="AC1040" s="14" t="s">
        <v>508</v>
      </c>
      <c r="AD1040">
        <f t="shared" si="20"/>
        <v>36.591999999999999</v>
      </c>
    </row>
    <row r="1041" spans="27:30" x14ac:dyDescent="0.25">
      <c r="AA1041" s="268">
        <v>45723</v>
      </c>
      <c r="AB1041" s="269">
        <v>10582.4</v>
      </c>
      <c r="AC1041" s="14" t="s">
        <v>509</v>
      </c>
      <c r="AD1041">
        <f t="shared" si="20"/>
        <v>30.234000000000002</v>
      </c>
    </row>
    <row r="1042" spans="27:30" x14ac:dyDescent="0.25">
      <c r="AA1042" s="268">
        <v>45726</v>
      </c>
      <c r="AB1042" s="269">
        <v>10520.1</v>
      </c>
      <c r="AC1042" s="14" t="s">
        <v>510</v>
      </c>
      <c r="AD1042">
        <f t="shared" si="20"/>
        <v>16.565000000000001</v>
      </c>
    </row>
    <row r="1043" spans="27:30" x14ac:dyDescent="0.25">
      <c r="AA1043" s="268">
        <v>45727</v>
      </c>
      <c r="AB1043" s="269">
        <v>10439.25</v>
      </c>
      <c r="AC1043" s="14" t="s">
        <v>511</v>
      </c>
      <c r="AD1043">
        <f t="shared" si="20"/>
        <v>18.074999999999999</v>
      </c>
    </row>
    <row r="1044" spans="27:30" x14ac:dyDescent="0.25">
      <c r="AA1044" s="268">
        <v>45728</v>
      </c>
      <c r="AB1044" s="269">
        <v>10520.4</v>
      </c>
      <c r="AC1044" s="14" t="s">
        <v>512</v>
      </c>
      <c r="AD1044">
        <f t="shared" si="20"/>
        <v>29.977</v>
      </c>
    </row>
    <row r="1045" spans="27:30" x14ac:dyDescent="0.25">
      <c r="AA1045" s="268">
        <v>45729</v>
      </c>
      <c r="AB1045" s="269">
        <v>10452.1</v>
      </c>
      <c r="AC1045" s="14" t="s">
        <v>513</v>
      </c>
      <c r="AD1045">
        <f t="shared" si="20"/>
        <v>21.946999999999999</v>
      </c>
    </row>
    <row r="1046" spans="27:30" x14ac:dyDescent="0.25">
      <c r="AA1046" s="268">
        <v>45733</v>
      </c>
      <c r="AB1046" s="269">
        <v>10547.1</v>
      </c>
      <c r="AC1046" s="14" t="s">
        <v>514</v>
      </c>
      <c r="AD1046">
        <f t="shared" si="20"/>
        <v>21.206</v>
      </c>
    </row>
    <row r="1047" spans="27:30" x14ac:dyDescent="0.25">
      <c r="AA1047" s="268">
        <v>45734</v>
      </c>
      <c r="AB1047" s="269">
        <v>10698.1</v>
      </c>
      <c r="AC1047" s="14" t="s">
        <v>515</v>
      </c>
      <c r="AD1047">
        <f t="shared" si="20"/>
        <v>35.462000000000003</v>
      </c>
    </row>
    <row r="1048" spans="27:30" x14ac:dyDescent="0.25">
      <c r="AA1048" s="268">
        <v>45735</v>
      </c>
      <c r="AB1048" s="269">
        <v>10933.25</v>
      </c>
      <c r="AC1048" s="14" t="s">
        <v>516</v>
      </c>
      <c r="AD1048">
        <f t="shared" si="20"/>
        <v>26.917999999999999</v>
      </c>
    </row>
    <row r="1049" spans="27:30" x14ac:dyDescent="0.25">
      <c r="AA1049" s="268">
        <v>45736</v>
      </c>
      <c r="AB1049" s="269">
        <v>10948.15</v>
      </c>
      <c r="AC1049" s="14" t="s">
        <v>517</v>
      </c>
      <c r="AD1049">
        <f t="shared" si="20"/>
        <v>54.924999999999997</v>
      </c>
    </row>
    <row r="1050" spans="27:30" x14ac:dyDescent="0.25">
      <c r="AA1050" s="268">
        <v>45737</v>
      </c>
      <c r="AB1050" s="269">
        <v>10976.75</v>
      </c>
      <c r="AC1050" s="14" t="s">
        <v>518</v>
      </c>
      <c r="AD1050">
        <f t="shared" si="20"/>
        <v>65.656999999999996</v>
      </c>
    </row>
    <row r="1051" spans="27:30" x14ac:dyDescent="0.25">
      <c r="AA1051" s="268">
        <v>45740</v>
      </c>
      <c r="AB1051" s="269">
        <v>11051.2</v>
      </c>
      <c r="AC1051" s="14" t="s">
        <v>519</v>
      </c>
      <c r="AD1051">
        <f t="shared" si="20"/>
        <v>29.469000000000001</v>
      </c>
    </row>
    <row r="1052" spans="27:30" x14ac:dyDescent="0.25">
      <c r="AA1052" s="268">
        <v>45741</v>
      </c>
      <c r="AB1052" s="269">
        <v>11421.2</v>
      </c>
      <c r="AC1052" s="14" t="s">
        <v>520</v>
      </c>
      <c r="AD1052">
        <f t="shared" si="20"/>
        <v>75.445999999999998</v>
      </c>
    </row>
    <row r="1053" spans="27:30" x14ac:dyDescent="0.25">
      <c r="AA1053" s="268">
        <v>45742</v>
      </c>
      <c r="AB1053" s="269">
        <v>11402.1</v>
      </c>
      <c r="AC1053" s="14" t="s">
        <v>521</v>
      </c>
      <c r="AD1053">
        <f t="shared" si="20"/>
        <v>40.156999999999996</v>
      </c>
    </row>
    <row r="1054" spans="27:30" x14ac:dyDescent="0.25">
      <c r="AA1054" s="268">
        <v>45743</v>
      </c>
      <c r="AB1054" s="269">
        <v>11599.6</v>
      </c>
      <c r="AC1054" s="14" t="s">
        <v>522</v>
      </c>
      <c r="AD1054">
        <f t="shared" si="20"/>
        <v>40.610999999999997</v>
      </c>
    </row>
    <row r="1055" spans="27:30" x14ac:dyDescent="0.25">
      <c r="AA1055" s="268">
        <v>45744</v>
      </c>
      <c r="AB1055" s="269">
        <v>11509.55</v>
      </c>
      <c r="AC1055" s="14" t="s">
        <v>523</v>
      </c>
      <c r="AD1055">
        <f t="shared" si="20"/>
        <v>28.096</v>
      </c>
    </row>
    <row r="1056" spans="27:30" x14ac:dyDescent="0.25">
      <c r="AA1056" s="268">
        <v>45748</v>
      </c>
      <c r="AB1056" s="269">
        <v>11378.65</v>
      </c>
      <c r="AC1056" s="14" t="s">
        <v>524</v>
      </c>
      <c r="AD1056">
        <f t="shared" si="20"/>
        <v>26.314</v>
      </c>
    </row>
    <row r="1057" spans="27:30" x14ac:dyDescent="0.25">
      <c r="AA1057" s="268">
        <v>45749</v>
      </c>
      <c r="AB1057" s="269">
        <v>11250.95</v>
      </c>
      <c r="AC1057" s="14" t="s">
        <v>525</v>
      </c>
      <c r="AD1057">
        <f t="shared" si="20"/>
        <v>37.646999999999998</v>
      </c>
    </row>
    <row r="1058" spans="27:30" x14ac:dyDescent="0.25">
      <c r="AA1058" s="268">
        <v>45750</v>
      </c>
      <c r="AB1058" s="269">
        <v>11606.6</v>
      </c>
      <c r="AC1058" s="14" t="s">
        <v>526</v>
      </c>
      <c r="AD1058">
        <f t="shared" si="20"/>
        <v>36.188000000000002</v>
      </c>
    </row>
    <row r="1059" spans="27:30" x14ac:dyDescent="0.25">
      <c r="AA1059" s="268">
        <v>45751</v>
      </c>
      <c r="AB1059" s="269">
        <v>11498.65</v>
      </c>
      <c r="AC1059" s="14" t="s">
        <v>527</v>
      </c>
      <c r="AD1059">
        <f t="shared" si="20"/>
        <v>22.219000000000001</v>
      </c>
    </row>
    <row r="1060" spans="27:30" x14ac:dyDescent="0.25">
      <c r="AA1060" s="268">
        <v>45754</v>
      </c>
      <c r="AB1060" s="269">
        <v>11191.6</v>
      </c>
      <c r="AC1060" s="14" t="s">
        <v>528</v>
      </c>
      <c r="AD1060">
        <f t="shared" si="20"/>
        <v>48.451000000000001</v>
      </c>
    </row>
    <row r="1061" spans="27:30" x14ac:dyDescent="0.25">
      <c r="AA1061" s="268">
        <v>45755</v>
      </c>
      <c r="AB1061" s="269">
        <v>11270.45</v>
      </c>
      <c r="AC1061" s="14" t="s">
        <v>529</v>
      </c>
      <c r="AD1061">
        <f t="shared" si="20"/>
        <v>60.212000000000003</v>
      </c>
    </row>
    <row r="1062" spans="27:30" x14ac:dyDescent="0.25">
      <c r="AA1062" s="268">
        <v>45756</v>
      </c>
      <c r="AB1062" s="269">
        <v>11397.05</v>
      </c>
      <c r="AC1062" s="14" t="s">
        <v>530</v>
      </c>
      <c r="AD1062">
        <f t="shared" si="20"/>
        <v>23.061</v>
      </c>
    </row>
    <row r="1063" spans="27:30" x14ac:dyDescent="0.25">
      <c r="AA1063" s="268">
        <v>45758</v>
      </c>
      <c r="AB1063" s="269">
        <v>11502.65</v>
      </c>
      <c r="AC1063" s="14" t="s">
        <v>531</v>
      </c>
      <c r="AD1063">
        <f t="shared" si="20"/>
        <v>35.103999999999999</v>
      </c>
    </row>
    <row r="1064" spans="27:30" x14ac:dyDescent="0.25">
      <c r="AA1064" s="268">
        <v>45762</v>
      </c>
      <c r="AB1064" s="269">
        <v>11719</v>
      </c>
      <c r="AC1064" s="14" t="s">
        <v>532</v>
      </c>
      <c r="AD1064">
        <f t="shared" si="20"/>
        <v>34.526000000000003</v>
      </c>
    </row>
    <row r="1065" spans="27:30" x14ac:dyDescent="0.25">
      <c r="AA1065" s="268">
        <v>45763</v>
      </c>
      <c r="AB1065" s="269">
        <v>11728</v>
      </c>
      <c r="AC1065" s="14" t="s">
        <v>533</v>
      </c>
      <c r="AD1065">
        <f t="shared" si="20"/>
        <v>26.815000000000001</v>
      </c>
    </row>
    <row r="1066" spans="27:30" x14ac:dyDescent="0.25">
      <c r="AA1066" s="268">
        <v>45764</v>
      </c>
      <c r="AB1066" s="269">
        <v>11901</v>
      </c>
      <c r="AC1066" s="14" t="s">
        <v>534</v>
      </c>
      <c r="AD1066">
        <f t="shared" si="20"/>
        <v>29.047000000000001</v>
      </c>
    </row>
    <row r="1067" spans="27:30" x14ac:dyDescent="0.25">
      <c r="AA1067" s="268">
        <v>45768</v>
      </c>
      <c r="AB1067" s="269">
        <v>11934</v>
      </c>
      <c r="AC1067" s="14" t="s">
        <v>535</v>
      </c>
      <c r="AD1067">
        <f t="shared" si="20"/>
        <v>23.06</v>
      </c>
    </row>
    <row r="1068" spans="27:30" x14ac:dyDescent="0.25">
      <c r="AA1068" s="268">
        <v>45769</v>
      </c>
      <c r="AB1068" s="269">
        <v>11959</v>
      </c>
      <c r="AC1068" s="14" t="s">
        <v>536</v>
      </c>
      <c r="AD1068">
        <f t="shared" si="20"/>
        <v>33.466999999999999</v>
      </c>
    </row>
    <row r="1069" spans="27:30" x14ac:dyDescent="0.25">
      <c r="AA1069" s="268">
        <v>45770</v>
      </c>
      <c r="AB1069" s="269">
        <v>11949</v>
      </c>
      <c r="AC1069" s="14" t="s">
        <v>537</v>
      </c>
      <c r="AD1069">
        <f t="shared" si="20"/>
        <v>26.771999999999998</v>
      </c>
    </row>
    <row r="1070" spans="27:30" x14ac:dyDescent="0.25">
      <c r="AA1070" s="268">
        <v>45771</v>
      </c>
      <c r="AB1070" s="269">
        <v>12159</v>
      </c>
      <c r="AC1070" s="14" t="s">
        <v>538</v>
      </c>
      <c r="AD1070">
        <f t="shared" si="20"/>
        <v>33.973999999999997</v>
      </c>
    </row>
    <row r="1071" spans="27:30" x14ac:dyDescent="0.25">
      <c r="AA1071" s="268">
        <v>45772</v>
      </c>
      <c r="AB1071" s="269">
        <v>12237</v>
      </c>
      <c r="AC1071" s="14" t="s">
        <v>539</v>
      </c>
      <c r="AD1071">
        <f t="shared" si="20"/>
        <v>41.256</v>
      </c>
    </row>
    <row r="1072" spans="27:30" x14ac:dyDescent="0.25">
      <c r="AA1072" s="268">
        <v>45775</v>
      </c>
      <c r="AB1072" s="269">
        <v>12114</v>
      </c>
      <c r="AC1072" s="14" t="s">
        <v>540</v>
      </c>
      <c r="AD1072">
        <f t="shared" si="20"/>
        <v>51.674999999999997</v>
      </c>
    </row>
    <row r="1073" spans="27:30" x14ac:dyDescent="0.25">
      <c r="AA1073" s="268">
        <v>45776</v>
      </c>
      <c r="AB1073" s="269">
        <v>11869</v>
      </c>
      <c r="AC1073" s="14" t="s">
        <v>541</v>
      </c>
      <c r="AD1073">
        <f t="shared" si="20"/>
        <v>51.65</v>
      </c>
    </row>
    <row r="1074" spans="27:30" x14ac:dyDescent="0.25">
      <c r="AA1074" s="268">
        <v>45777</v>
      </c>
      <c r="AB1074" s="269">
        <v>11641</v>
      </c>
      <c r="AC1074" s="14" t="s">
        <v>542</v>
      </c>
      <c r="AD1074">
        <f t="shared" si="20"/>
        <v>63.039000000000001</v>
      </c>
    </row>
    <row r="1075" spans="27:30" x14ac:dyDescent="0.25">
      <c r="AA1075" s="268">
        <v>45779</v>
      </c>
      <c r="AB1075" s="269">
        <v>11644</v>
      </c>
      <c r="AC1075" s="14" t="s">
        <v>543</v>
      </c>
      <c r="AD1075">
        <f t="shared" si="20"/>
        <v>25.524999999999999</v>
      </c>
    </row>
    <row r="1076" spans="27:30" x14ac:dyDescent="0.25">
      <c r="AA1076" s="268">
        <v>45782</v>
      </c>
      <c r="AB1076" s="269">
        <v>11670</v>
      </c>
      <c r="AC1076" s="14" t="s">
        <v>544</v>
      </c>
      <c r="AD1076">
        <f t="shared" si="20"/>
        <v>14.57</v>
      </c>
    </row>
    <row r="1077" spans="27:30" x14ac:dyDescent="0.25">
      <c r="AA1077" s="268">
        <v>45783</v>
      </c>
      <c r="AB1077" s="269">
        <v>11693</v>
      </c>
      <c r="AC1077" s="14" t="s">
        <v>545</v>
      </c>
      <c r="AD1077">
        <f t="shared" si="20"/>
        <v>27.305</v>
      </c>
    </row>
    <row r="1078" spans="27:30" x14ac:dyDescent="0.25">
      <c r="AA1078" s="268">
        <v>45784</v>
      </c>
      <c r="AB1078" s="269">
        <v>11658</v>
      </c>
      <c r="AC1078" s="14" t="s">
        <v>546</v>
      </c>
      <c r="AD1078">
        <f t="shared" si="20"/>
        <v>21.745999999999999</v>
      </c>
    </row>
    <row r="1079" spans="27:30" x14ac:dyDescent="0.25">
      <c r="AA1079" s="268">
        <v>45785</v>
      </c>
      <c r="AB1079" s="269">
        <v>11631</v>
      </c>
      <c r="AC1079" s="14" t="s">
        <v>547</v>
      </c>
      <c r="AD1079">
        <f t="shared" si="20"/>
        <v>38.890999999999998</v>
      </c>
    </row>
    <row r="1080" spans="27:30" x14ac:dyDescent="0.25">
      <c r="AA1080" s="268">
        <v>45786</v>
      </c>
      <c r="AB1080" s="269">
        <v>11364</v>
      </c>
      <c r="AC1080" s="14" t="s">
        <v>548</v>
      </c>
      <c r="AD1080">
        <f t="shared" si="20"/>
        <v>20.027000000000001</v>
      </c>
    </row>
    <row r="1081" spans="27:30" x14ac:dyDescent="0.25">
      <c r="AA1081" s="268">
        <v>45789</v>
      </c>
      <c r="AB1081" s="269">
        <v>11736</v>
      </c>
      <c r="AC1081" s="14" t="s">
        <v>549</v>
      </c>
      <c r="AD1081">
        <f t="shared" si="20"/>
        <v>18.28</v>
      </c>
    </row>
    <row r="1082" spans="27:30" x14ac:dyDescent="0.25">
      <c r="AA1082" s="268">
        <v>45790</v>
      </c>
      <c r="AB1082" s="269">
        <v>11661</v>
      </c>
      <c r="AC1082" s="14" t="s">
        <v>550</v>
      </c>
      <c r="AD1082">
        <f t="shared" si="20"/>
        <v>30.768000000000001</v>
      </c>
    </row>
    <row r="1083" spans="27:30" x14ac:dyDescent="0.25">
      <c r="AA1083" s="268">
        <v>45791</v>
      </c>
      <c r="AB1083" s="269">
        <v>11672</v>
      </c>
      <c r="AC1083" s="14" t="s">
        <v>551</v>
      </c>
      <c r="AD1083">
        <f t="shared" si="20"/>
        <v>17.934000000000001</v>
      </c>
    </row>
    <row r="1084" spans="27:30" x14ac:dyDescent="0.25">
      <c r="AA1084" s="268">
        <v>45792</v>
      </c>
      <c r="AB1084" s="269">
        <v>11894</v>
      </c>
      <c r="AC1084" s="14" t="s">
        <v>552</v>
      </c>
      <c r="AD1084">
        <f t="shared" si="20"/>
        <v>37.137</v>
      </c>
    </row>
    <row r="1085" spans="27:30" x14ac:dyDescent="0.25">
      <c r="AA1085" s="268">
        <v>45793</v>
      </c>
      <c r="AB1085" s="269">
        <v>11905</v>
      </c>
      <c r="AC1085" s="14" t="s">
        <v>553</v>
      </c>
      <c r="AD1085">
        <f t="shared" si="20"/>
        <v>20.971</v>
      </c>
    </row>
    <row r="1086" spans="27:30" x14ac:dyDescent="0.25">
      <c r="AA1086" s="268">
        <v>45796</v>
      </c>
      <c r="AB1086" s="269">
        <v>11929</v>
      </c>
      <c r="AC1086" s="14" t="s">
        <v>554</v>
      </c>
      <c r="AD1086">
        <f t="shared" si="20"/>
        <v>12.824000000000002</v>
      </c>
    </row>
    <row r="1087" spans="27:30" x14ac:dyDescent="0.25">
      <c r="AA1087" s="268">
        <v>45797</v>
      </c>
      <c r="AB1087" s="269">
        <v>11697</v>
      </c>
      <c r="AC1087" s="14" t="s">
        <v>555</v>
      </c>
      <c r="AD1087">
        <f t="shared" si="20"/>
        <v>15.893000000000001</v>
      </c>
    </row>
    <row r="1088" spans="27:30" x14ac:dyDescent="0.25">
      <c r="AA1088" s="268">
        <v>45798</v>
      </c>
      <c r="AB1088" s="269">
        <v>11666</v>
      </c>
      <c r="AC1088" s="14" t="s">
        <v>556</v>
      </c>
      <c r="AD1088">
        <f t="shared" si="20"/>
        <v>17.302</v>
      </c>
    </row>
    <row r="1089" spans="27:30" x14ac:dyDescent="0.25">
      <c r="AA1089" s="268">
        <v>45799</v>
      </c>
      <c r="AB1089" s="269">
        <v>11680</v>
      </c>
      <c r="AC1089" s="14" t="s">
        <v>557</v>
      </c>
      <c r="AD1089">
        <f t="shared" si="20"/>
        <v>17.536999999999999</v>
      </c>
    </row>
    <row r="1090" spans="27:30" x14ac:dyDescent="0.25">
      <c r="AA1090" s="268">
        <v>45800</v>
      </c>
      <c r="AB1090" s="269">
        <v>11746</v>
      </c>
      <c r="AC1090" s="14" t="s">
        <v>558</v>
      </c>
      <c r="AD1090">
        <f t="shared" si="20"/>
        <v>18.146000000000001</v>
      </c>
    </row>
    <row r="1091" spans="27:30" x14ac:dyDescent="0.25">
      <c r="AA1091" s="268">
        <v>45803</v>
      </c>
      <c r="AB1091" s="269">
        <v>11689</v>
      </c>
      <c r="AC1091" s="14" t="s">
        <v>559</v>
      </c>
      <c r="AD1091">
        <f t="shared" si="20"/>
        <v>19.8</v>
      </c>
    </row>
    <row r="1092" spans="27:30" x14ac:dyDescent="0.25">
      <c r="AA1092" s="268">
        <v>45804</v>
      </c>
      <c r="AB1092" s="269">
        <v>11421</v>
      </c>
      <c r="AC1092" s="14" t="s">
        <v>560</v>
      </c>
      <c r="AD1092">
        <f t="shared" ref="AD1092:AD1155" si="21">(IF(RIGHT(AC1092,1)="K",
    VALUE(LEFT(AC1092,LEN(AC1092)-1))*1000,
    IF(RIGHT(AC1092,1)="M",
       VALUE(LEFT(AC1092,LEN(AC1092)-1))*1000000,
       VALUE(AC1092)
    )
))/10000</f>
        <v>47.835000000000001</v>
      </c>
    </row>
    <row r="1093" spans="27:30" x14ac:dyDescent="0.25">
      <c r="AA1093" s="268">
        <v>45805</v>
      </c>
      <c r="AB1093" s="269">
        <v>11238</v>
      </c>
      <c r="AC1093" s="14" t="s">
        <v>561</v>
      </c>
      <c r="AD1093">
        <f t="shared" si="21"/>
        <v>20.12</v>
      </c>
    </row>
    <row r="1094" spans="27:30" x14ac:dyDescent="0.25">
      <c r="AA1094" s="268">
        <v>45806</v>
      </c>
      <c r="AB1094" s="269">
        <v>11269</v>
      </c>
      <c r="AC1094" s="14" t="s">
        <v>562</v>
      </c>
      <c r="AD1094">
        <f t="shared" si="21"/>
        <v>35.021000000000001</v>
      </c>
    </row>
    <row r="1095" spans="27:30" x14ac:dyDescent="0.25">
      <c r="AA1095" s="268">
        <v>45807</v>
      </c>
      <c r="AB1095" s="269">
        <v>11210</v>
      </c>
      <c r="AC1095" s="14" t="s">
        <v>563</v>
      </c>
      <c r="AD1095">
        <f t="shared" si="21"/>
        <v>39.417999999999999</v>
      </c>
    </row>
    <row r="1096" spans="27:30" x14ac:dyDescent="0.25">
      <c r="AA1096" s="268">
        <v>45810</v>
      </c>
      <c r="AB1096" s="269">
        <v>11195</v>
      </c>
      <c r="AC1096" s="14" t="s">
        <v>564</v>
      </c>
      <c r="AD1096">
        <f t="shared" si="21"/>
        <v>31.494</v>
      </c>
    </row>
    <row r="1097" spans="27:30" x14ac:dyDescent="0.25">
      <c r="AA1097" s="268">
        <v>45811</v>
      </c>
      <c r="AB1097" s="269">
        <v>11035</v>
      </c>
      <c r="AC1097" s="14" t="s">
        <v>565</v>
      </c>
      <c r="AD1097">
        <f t="shared" si="21"/>
        <v>34.962000000000003</v>
      </c>
    </row>
    <row r="1098" spans="27:30" x14ac:dyDescent="0.25">
      <c r="AA1098" s="268">
        <v>45812</v>
      </c>
      <c r="AB1098" s="269">
        <v>11033</v>
      </c>
      <c r="AC1098" s="14" t="s">
        <v>566</v>
      </c>
      <c r="AD1098">
        <f t="shared" si="21"/>
        <v>34.505000000000003</v>
      </c>
    </row>
    <row r="1099" spans="27:30" x14ac:dyDescent="0.25">
      <c r="AA1099" s="268">
        <v>45813</v>
      </c>
      <c r="AB1099" s="269">
        <v>11159</v>
      </c>
      <c r="AC1099" s="14" t="s">
        <v>567</v>
      </c>
      <c r="AD1099">
        <f t="shared" si="21"/>
        <v>19.117999999999999</v>
      </c>
    </row>
    <row r="1100" spans="27:30" x14ac:dyDescent="0.25">
      <c r="AA1100" s="268">
        <v>45814</v>
      </c>
      <c r="AB1100" s="269">
        <v>11253</v>
      </c>
      <c r="AC1100" s="14" t="s">
        <v>568</v>
      </c>
      <c r="AD1100">
        <f t="shared" si="21"/>
        <v>14.372</v>
      </c>
    </row>
    <row r="1101" spans="27:30" x14ac:dyDescent="0.25">
      <c r="AA1101" s="268">
        <v>45817</v>
      </c>
      <c r="AB1101" s="269">
        <v>11260</v>
      </c>
      <c r="AC1101" s="14" t="s">
        <v>569</v>
      </c>
      <c r="AD1101">
        <f t="shared" si="21"/>
        <v>20.922999999999998</v>
      </c>
    </row>
    <row r="1102" spans="27:30" x14ac:dyDescent="0.25">
      <c r="AA1102" s="268">
        <v>45818</v>
      </c>
      <c r="AB1102" s="269">
        <v>11391</v>
      </c>
      <c r="AC1102" s="14" t="s">
        <v>570</v>
      </c>
      <c r="AD1102">
        <f t="shared" si="21"/>
        <v>27.992000000000001</v>
      </c>
    </row>
    <row r="1103" spans="27:30" x14ac:dyDescent="0.25">
      <c r="AA1103" s="268">
        <v>45819</v>
      </c>
      <c r="AB1103" s="269">
        <v>11464</v>
      </c>
      <c r="AC1103" s="14" t="s">
        <v>571</v>
      </c>
      <c r="AD1103">
        <f t="shared" si="21"/>
        <v>23.774999999999999</v>
      </c>
    </row>
    <row r="1104" spans="27:30" x14ac:dyDescent="0.25">
      <c r="AA1104" s="268">
        <v>45820</v>
      </c>
      <c r="AB1104" s="269">
        <v>11323</v>
      </c>
      <c r="AC1104" s="14" t="s">
        <v>572</v>
      </c>
      <c r="AD1104">
        <f t="shared" si="21"/>
        <v>26.253</v>
      </c>
    </row>
    <row r="1105" spans="27:30" x14ac:dyDescent="0.25">
      <c r="AA1105" s="268">
        <v>45821</v>
      </c>
      <c r="AB1105" s="269">
        <v>11224</v>
      </c>
      <c r="AC1105" s="14" t="s">
        <v>573</v>
      </c>
      <c r="AD1105">
        <f t="shared" si="21"/>
        <v>18.135999999999999</v>
      </c>
    </row>
    <row r="1106" spans="27:30" x14ac:dyDescent="0.25">
      <c r="AA1106" s="268">
        <v>45824</v>
      </c>
      <c r="AB1106" s="269">
        <v>11495</v>
      </c>
      <c r="AC1106" s="14" t="s">
        <v>574</v>
      </c>
      <c r="AD1106">
        <f t="shared" si="21"/>
        <v>40.11</v>
      </c>
    </row>
    <row r="1107" spans="27:30" x14ac:dyDescent="0.25">
      <c r="AA1107" s="268">
        <v>45825</v>
      </c>
      <c r="AB1107" s="269">
        <v>11383</v>
      </c>
      <c r="AC1107" s="14" t="s">
        <v>575</v>
      </c>
      <c r="AD1107">
        <f t="shared" si="21"/>
        <v>12.141999999999999</v>
      </c>
    </row>
    <row r="1108" spans="27:30" x14ac:dyDescent="0.25">
      <c r="AA1108" s="268">
        <v>45826</v>
      </c>
      <c r="AB1108" s="269">
        <v>11406</v>
      </c>
      <c r="AC1108" s="14" t="s">
        <v>576</v>
      </c>
      <c r="AD1108">
        <f t="shared" si="21"/>
        <v>15.682</v>
      </c>
    </row>
    <row r="1109" spans="27:30" x14ac:dyDescent="0.25">
      <c r="AA1109" s="268">
        <v>45827</v>
      </c>
      <c r="AB1109" s="269">
        <v>11420</v>
      </c>
      <c r="AC1109" s="14" t="s">
        <v>577</v>
      </c>
      <c r="AD1109">
        <f t="shared" si="21"/>
        <v>15.776</v>
      </c>
    </row>
    <row r="1110" spans="27:30" x14ac:dyDescent="0.25">
      <c r="AA1110" s="268">
        <v>45828</v>
      </c>
      <c r="AB1110" s="269">
        <v>11458</v>
      </c>
      <c r="AC1110" s="14" t="s">
        <v>578</v>
      </c>
      <c r="AD1110">
        <f t="shared" si="21"/>
        <v>62.99</v>
      </c>
    </row>
    <row r="1111" spans="27:30" x14ac:dyDescent="0.25">
      <c r="AA1111" s="268">
        <v>45831</v>
      </c>
      <c r="AB1111" s="269">
        <v>11449</v>
      </c>
      <c r="AC1111" s="14" t="s">
        <v>579</v>
      </c>
      <c r="AD1111">
        <f t="shared" si="21"/>
        <v>30.491</v>
      </c>
    </row>
    <row r="1112" spans="27:30" x14ac:dyDescent="0.25">
      <c r="AA1112" s="268">
        <v>45832</v>
      </c>
      <c r="AB1112" s="269">
        <v>11579</v>
      </c>
      <c r="AC1112" s="14" t="s">
        <v>580</v>
      </c>
      <c r="AD1112">
        <f t="shared" si="21"/>
        <v>73.569999999999993</v>
      </c>
    </row>
    <row r="1113" spans="27:30" x14ac:dyDescent="0.25">
      <c r="AA1113" s="268">
        <v>45833</v>
      </c>
      <c r="AB1113" s="269">
        <v>11733</v>
      </c>
      <c r="AC1113" s="14" t="s">
        <v>581</v>
      </c>
      <c r="AD1113">
        <f t="shared" si="21"/>
        <v>25.312999999999999</v>
      </c>
    </row>
    <row r="1114" spans="27:30" x14ac:dyDescent="0.25">
      <c r="AA1114" s="268">
        <v>45834</v>
      </c>
      <c r="AB1114" s="269">
        <v>11951</v>
      </c>
      <c r="AC1114" s="14" t="s">
        <v>582</v>
      </c>
      <c r="AD1114">
        <f t="shared" si="21"/>
        <v>50.658000000000001</v>
      </c>
    </row>
    <row r="1115" spans="27:30" x14ac:dyDescent="0.25">
      <c r="AA1115" s="268">
        <v>45835</v>
      </c>
      <c r="AB1115" s="269">
        <v>12213</v>
      </c>
      <c r="AC1115" s="14" t="s">
        <v>583</v>
      </c>
      <c r="AD1115">
        <f t="shared" si="21"/>
        <v>50.128999999999998</v>
      </c>
    </row>
    <row r="1116" spans="27:30" x14ac:dyDescent="0.25">
      <c r="AA1116" s="268">
        <v>45838</v>
      </c>
      <c r="AB1116" s="269">
        <v>12093</v>
      </c>
      <c r="AC1116" s="14" t="s">
        <v>584</v>
      </c>
      <c r="AD1116">
        <f t="shared" si="21"/>
        <v>33.31</v>
      </c>
    </row>
    <row r="1117" spans="27:30" x14ac:dyDescent="0.25">
      <c r="AA1117" s="268">
        <v>45839</v>
      </c>
      <c r="AB1117" s="269">
        <v>12210</v>
      </c>
      <c r="AC1117" s="14" t="s">
        <v>585</v>
      </c>
      <c r="AD1117">
        <f t="shared" si="21"/>
        <v>20.744</v>
      </c>
    </row>
    <row r="1118" spans="27:30" x14ac:dyDescent="0.25">
      <c r="AA1118" s="268">
        <v>45840</v>
      </c>
      <c r="AB1118" s="269">
        <v>12436</v>
      </c>
      <c r="AC1118" s="14" t="s">
        <v>586</v>
      </c>
      <c r="AD1118">
        <f t="shared" si="21"/>
        <v>44.582999999999998</v>
      </c>
    </row>
    <row r="1119" spans="27:30" x14ac:dyDescent="0.25">
      <c r="AA1119" s="268">
        <v>45841</v>
      </c>
      <c r="AB1119" s="269">
        <v>12398</v>
      </c>
      <c r="AC1119" s="14" t="s">
        <v>587</v>
      </c>
      <c r="AD1119">
        <f t="shared" si="21"/>
        <v>27.576000000000001</v>
      </c>
    </row>
    <row r="1120" spans="27:30" x14ac:dyDescent="0.25">
      <c r="AA1120" s="268">
        <v>45842</v>
      </c>
      <c r="AB1120" s="269">
        <v>12506</v>
      </c>
      <c r="AC1120" s="14" t="s">
        <v>588</v>
      </c>
      <c r="AD1120">
        <f t="shared" si="21"/>
        <v>19.152000000000001</v>
      </c>
    </row>
    <row r="1121" spans="27:30" x14ac:dyDescent="0.25">
      <c r="AA1121" s="268">
        <v>45845</v>
      </c>
      <c r="AB1121" s="269">
        <v>12345</v>
      </c>
      <c r="AC1121" s="14" t="s">
        <v>589</v>
      </c>
      <c r="AD1121">
        <f t="shared" si="21"/>
        <v>14.994</v>
      </c>
    </row>
    <row r="1122" spans="27:30" x14ac:dyDescent="0.25">
      <c r="AA1122" s="268">
        <v>45846</v>
      </c>
      <c r="AB1122" s="269">
        <v>12445</v>
      </c>
      <c r="AC1122" s="14" t="s">
        <v>590</v>
      </c>
      <c r="AD1122">
        <f t="shared" si="21"/>
        <v>21.922999999999998</v>
      </c>
    </row>
    <row r="1123" spans="27:30" x14ac:dyDescent="0.25">
      <c r="AA1123" s="268">
        <v>45847</v>
      </c>
      <c r="AB1123" s="269">
        <v>12562</v>
      </c>
      <c r="AC1123" s="14" t="s">
        <v>591</v>
      </c>
      <c r="AD1123">
        <f t="shared" si="21"/>
        <v>37.991999999999997</v>
      </c>
    </row>
    <row r="1124" spans="27:30" x14ac:dyDescent="0.25">
      <c r="AA1124" s="268">
        <v>45848</v>
      </c>
      <c r="AB1124" s="269">
        <v>12516</v>
      </c>
      <c r="AC1124" s="14" t="s">
        <v>592</v>
      </c>
      <c r="AD1124">
        <f t="shared" si="21"/>
        <v>26.931999999999999</v>
      </c>
    </row>
    <row r="1125" spans="27:30" x14ac:dyDescent="0.25">
      <c r="AA1125" s="268">
        <v>45849</v>
      </c>
      <c r="AB1125" s="269">
        <v>12495</v>
      </c>
      <c r="AC1125" s="14" t="s">
        <v>593</v>
      </c>
      <c r="AD1125">
        <f t="shared" si="21"/>
        <v>24.003</v>
      </c>
    </row>
    <row r="1126" spans="27:30" x14ac:dyDescent="0.25">
      <c r="AA1126" s="268">
        <v>45852</v>
      </c>
      <c r="AB1126" s="269">
        <v>12516</v>
      </c>
      <c r="AC1126" s="14" t="s">
        <v>594</v>
      </c>
      <c r="AD1126">
        <f t="shared" si="21"/>
        <v>27.891999999999999</v>
      </c>
    </row>
    <row r="1127" spans="27:30" x14ac:dyDescent="0.25">
      <c r="AA1127" s="268">
        <v>45853</v>
      </c>
      <c r="AB1127" s="269">
        <v>12502</v>
      </c>
      <c r="AC1127" s="14" t="s">
        <v>595</v>
      </c>
      <c r="AD1127">
        <f t="shared" si="21"/>
        <v>15.412000000000001</v>
      </c>
    </row>
    <row r="1128" spans="27:30" x14ac:dyDescent="0.25">
      <c r="AA1128" s="268">
        <v>45854</v>
      </c>
      <c r="AB1128" s="269">
        <v>12453</v>
      </c>
      <c r="AC1128" s="14" t="s">
        <v>596</v>
      </c>
      <c r="AD1128">
        <f t="shared" si="21"/>
        <v>15.631</v>
      </c>
    </row>
    <row r="1129" spans="27:30" x14ac:dyDescent="0.25">
      <c r="AA1129" s="268">
        <v>45855</v>
      </c>
      <c r="AB1129" s="269">
        <v>12495</v>
      </c>
      <c r="AC1129" s="14" t="s">
        <v>597</v>
      </c>
      <c r="AD1129">
        <f t="shared" si="21"/>
        <v>16.614000000000001</v>
      </c>
    </row>
    <row r="1130" spans="27:30" x14ac:dyDescent="0.25">
      <c r="AA1130" s="268">
        <v>45856</v>
      </c>
      <c r="AB1130" s="269">
        <v>12498</v>
      </c>
      <c r="AC1130" s="14" t="s">
        <v>598</v>
      </c>
      <c r="AD1130">
        <f t="shared" si="21"/>
        <v>9.8339999999999996</v>
      </c>
    </row>
    <row r="1131" spans="27:30" x14ac:dyDescent="0.25">
      <c r="AA1131" s="268">
        <v>45859</v>
      </c>
      <c r="AB1131" s="269">
        <v>12577</v>
      </c>
      <c r="AC1131" s="14" t="s">
        <v>599</v>
      </c>
      <c r="AD1131">
        <f t="shared" si="21"/>
        <v>51.252000000000002</v>
      </c>
    </row>
    <row r="1132" spans="27:30" x14ac:dyDescent="0.25">
      <c r="AA1132" s="268">
        <v>45860</v>
      </c>
      <c r="AB1132" s="269">
        <v>12452</v>
      </c>
      <c r="AC1132" s="14" t="s">
        <v>600</v>
      </c>
      <c r="AD1132">
        <f t="shared" si="21"/>
        <v>53.362000000000002</v>
      </c>
    </row>
    <row r="1133" spans="27:30" x14ac:dyDescent="0.25">
      <c r="AA1133" s="268">
        <v>45861</v>
      </c>
      <c r="AB1133" s="269">
        <v>12372</v>
      </c>
      <c r="AC1133" s="14" t="s">
        <v>601</v>
      </c>
      <c r="AD1133">
        <f t="shared" si="21"/>
        <v>18.962</v>
      </c>
    </row>
    <row r="1134" spans="27:30" x14ac:dyDescent="0.25">
      <c r="AA1134" s="268">
        <v>45862</v>
      </c>
      <c r="AB1134" s="269">
        <v>12304</v>
      </c>
      <c r="AC1134" s="14" t="s">
        <v>602</v>
      </c>
      <c r="AD1134">
        <f t="shared" si="21"/>
        <v>18.007999999999999</v>
      </c>
    </row>
    <row r="1135" spans="27:30" x14ac:dyDescent="0.25">
      <c r="AA1135" s="268">
        <v>45863</v>
      </c>
      <c r="AB1135" s="269">
        <v>12250</v>
      </c>
      <c r="AC1135" s="14" t="s">
        <v>603</v>
      </c>
      <c r="AD1135">
        <f t="shared" si="21"/>
        <v>29.038</v>
      </c>
    </row>
    <row r="1136" spans="27:30" x14ac:dyDescent="0.25">
      <c r="AA1136" s="268">
        <v>45866</v>
      </c>
      <c r="AB1136" s="269">
        <v>12240</v>
      </c>
      <c r="AC1136" s="14" t="s">
        <v>604</v>
      </c>
      <c r="AD1136">
        <f t="shared" si="21"/>
        <v>21.411000000000001</v>
      </c>
    </row>
    <row r="1137" spans="27:30" x14ac:dyDescent="0.25">
      <c r="AA1137" s="268">
        <v>45867</v>
      </c>
      <c r="AB1137" s="269">
        <v>12221</v>
      </c>
      <c r="AC1137" s="14" t="s">
        <v>605</v>
      </c>
      <c r="AD1137">
        <f t="shared" si="21"/>
        <v>20.844999999999999</v>
      </c>
    </row>
    <row r="1138" spans="27:30" x14ac:dyDescent="0.25">
      <c r="AA1138" s="268">
        <v>45868</v>
      </c>
      <c r="AB1138" s="269">
        <v>12268</v>
      </c>
      <c r="AC1138" s="14" t="s">
        <v>606</v>
      </c>
      <c r="AD1138">
        <f t="shared" si="21"/>
        <v>18.568000000000001</v>
      </c>
    </row>
    <row r="1139" spans="27:30" x14ac:dyDescent="0.25">
      <c r="AA1139" s="268">
        <v>45869</v>
      </c>
      <c r="AB1139" s="269">
        <v>12249</v>
      </c>
      <c r="AC1139" s="14" t="s">
        <v>607</v>
      </c>
      <c r="AD1139">
        <f t="shared" si="21"/>
        <v>15.038</v>
      </c>
    </row>
    <row r="1140" spans="27:30" x14ac:dyDescent="0.25">
      <c r="AA1140" s="268">
        <v>45870</v>
      </c>
      <c r="AB1140" s="269">
        <v>12113</v>
      </c>
      <c r="AC1140" s="14" t="s">
        <v>608</v>
      </c>
      <c r="AD1140">
        <f t="shared" si="21"/>
        <v>21.257000000000001</v>
      </c>
    </row>
    <row r="1141" spans="27:30" x14ac:dyDescent="0.25">
      <c r="AA1141" s="268">
        <v>45873</v>
      </c>
      <c r="AB1141" s="269">
        <v>12257</v>
      </c>
      <c r="AC1141" s="14" t="s">
        <v>609</v>
      </c>
      <c r="AD1141">
        <f t="shared" si="21"/>
        <v>20.788</v>
      </c>
    </row>
    <row r="1142" spans="27:30" x14ac:dyDescent="0.25">
      <c r="AA1142" s="268">
        <v>45874</v>
      </c>
      <c r="AB1142" s="269">
        <v>12298</v>
      </c>
      <c r="AC1142" s="14" t="s">
        <v>610</v>
      </c>
      <c r="AD1142">
        <f t="shared" si="21"/>
        <v>26.754000000000001</v>
      </c>
    </row>
    <row r="1143" spans="27:30" x14ac:dyDescent="0.25">
      <c r="AA1143" s="268">
        <v>45875</v>
      </c>
      <c r="AB1143" s="269">
        <v>12226</v>
      </c>
      <c r="AC1143" s="14" t="s">
        <v>611</v>
      </c>
      <c r="AD1143">
        <f t="shared" si="21"/>
        <v>19.209</v>
      </c>
    </row>
    <row r="1144" spans="27:30" x14ac:dyDescent="0.25">
      <c r="AA1144" s="268">
        <v>45876</v>
      </c>
      <c r="AB1144" s="269">
        <v>12273</v>
      </c>
      <c r="AC1144" s="14" t="s">
        <v>612</v>
      </c>
      <c r="AD1144">
        <f t="shared" si="21"/>
        <v>20.202999999999999</v>
      </c>
    </row>
    <row r="1145" spans="27:30" x14ac:dyDescent="0.25">
      <c r="AA1145" s="268">
        <v>45877</v>
      </c>
      <c r="AB1145" s="269">
        <v>12157</v>
      </c>
      <c r="AC1145" s="14" t="s">
        <v>613</v>
      </c>
      <c r="AD1145">
        <f t="shared" si="21"/>
        <v>20.177</v>
      </c>
    </row>
    <row r="1146" spans="27:30" x14ac:dyDescent="0.25">
      <c r="AA1146" s="268">
        <v>45880</v>
      </c>
      <c r="AB1146" s="269">
        <v>12405</v>
      </c>
      <c r="AC1146" s="14" t="s">
        <v>614</v>
      </c>
      <c r="AD1146">
        <f t="shared" si="21"/>
        <v>21.861000000000001</v>
      </c>
    </row>
    <row r="1147" spans="27:30" x14ac:dyDescent="0.25">
      <c r="AA1147" s="268">
        <v>45881</v>
      </c>
      <c r="AB1147" s="269">
        <v>12449</v>
      </c>
      <c r="AC1147" s="14" t="s">
        <v>615</v>
      </c>
      <c r="AD1147">
        <f t="shared" si="21"/>
        <v>33.409999999999997</v>
      </c>
    </row>
    <row r="1148" spans="27:30" x14ac:dyDescent="0.25">
      <c r="AA1148" s="268">
        <v>45882</v>
      </c>
      <c r="AB1148" s="269">
        <v>12401</v>
      </c>
      <c r="AC1148" s="14" t="s">
        <v>616</v>
      </c>
      <c r="AD1148">
        <f t="shared" si="21"/>
        <v>20.736000000000001</v>
      </c>
    </row>
    <row r="1149" spans="27:30" x14ac:dyDescent="0.25">
      <c r="AA1149" s="268">
        <v>45883</v>
      </c>
      <c r="AB1149" s="269">
        <v>12317</v>
      </c>
      <c r="AC1149" s="14" t="s">
        <v>617</v>
      </c>
      <c r="AD1149">
        <f t="shared" si="21"/>
        <v>23.574000000000002</v>
      </c>
    </row>
    <row r="1150" spans="27:30" x14ac:dyDescent="0.25">
      <c r="AA1150" s="268">
        <v>45887</v>
      </c>
      <c r="AB1150" s="269">
        <v>12765</v>
      </c>
      <c r="AC1150" s="14" t="s">
        <v>618</v>
      </c>
      <c r="AD1150">
        <f t="shared" si="21"/>
        <v>80.847999999999999</v>
      </c>
    </row>
    <row r="1151" spans="27:30" x14ac:dyDescent="0.25">
      <c r="AA1151" s="268">
        <v>45888</v>
      </c>
      <c r="AB1151" s="269">
        <v>12863</v>
      </c>
      <c r="AC1151" s="14" t="s">
        <v>619</v>
      </c>
      <c r="AD1151">
        <f t="shared" si="21"/>
        <v>35.125</v>
      </c>
    </row>
    <row r="1152" spans="27:30" x14ac:dyDescent="0.25">
      <c r="AA1152" s="268">
        <v>45889</v>
      </c>
      <c r="AB1152" s="269">
        <v>12874</v>
      </c>
      <c r="AC1152" s="14" t="s">
        <v>620</v>
      </c>
      <c r="AD1152">
        <f t="shared" si="21"/>
        <v>29.096</v>
      </c>
    </row>
    <row r="1153" spans="27:30" x14ac:dyDescent="0.25">
      <c r="AA1153" s="268">
        <v>45890</v>
      </c>
      <c r="AB1153" s="269">
        <v>12870</v>
      </c>
      <c r="AC1153" s="14" t="s">
        <v>621</v>
      </c>
      <c r="AD1153">
        <f t="shared" si="21"/>
        <v>15.545999999999999</v>
      </c>
    </row>
    <row r="1154" spans="27:30" x14ac:dyDescent="0.25">
      <c r="AA1154" s="268">
        <v>45891</v>
      </c>
      <c r="AB1154" s="269">
        <v>12589</v>
      </c>
      <c r="AC1154" s="14" t="s">
        <v>622</v>
      </c>
      <c r="AD1154">
        <f t="shared" si="21"/>
        <v>22.695</v>
      </c>
    </row>
    <row r="1155" spans="27:30" x14ac:dyDescent="0.25">
      <c r="AA1155" s="268">
        <v>45894</v>
      </c>
      <c r="AB1155" s="269">
        <v>12606</v>
      </c>
      <c r="AC1155" s="14" t="s">
        <v>623</v>
      </c>
      <c r="AD1155">
        <f t="shared" si="21"/>
        <v>19.919</v>
      </c>
    </row>
    <row r="1156" spans="27:30" x14ac:dyDescent="0.25">
      <c r="AA1156" s="268">
        <v>45895</v>
      </c>
      <c r="AB1156" s="269">
        <v>12610</v>
      </c>
      <c r="AC1156" s="14" t="s">
        <v>624</v>
      </c>
      <c r="AD1156">
        <f t="shared" ref="AD1156:AD1219" si="22">(IF(RIGHT(AC1156,1)="K",
    VALUE(LEFT(AC1156,LEN(AC1156)-1))*1000,
    IF(RIGHT(AC1156,1)="M",
       VALUE(LEFT(AC1156,LEN(AC1156)-1))*1000000,
       VALUE(AC1156)
    )
))/10000</f>
        <v>29.032</v>
      </c>
    </row>
    <row r="1157" spans="27:30" x14ac:dyDescent="0.25">
      <c r="AA1157" s="268">
        <v>45897</v>
      </c>
      <c r="AB1157" s="269">
        <v>12521</v>
      </c>
      <c r="AC1157" s="14" t="s">
        <v>625</v>
      </c>
      <c r="AD1157">
        <f t="shared" si="22"/>
        <v>28.367999999999999</v>
      </c>
    </row>
    <row r="1158" spans="27:30" x14ac:dyDescent="0.25">
      <c r="AA1158" s="268">
        <v>45898</v>
      </c>
      <c r="AB1158" s="269">
        <v>12640</v>
      </c>
      <c r="AC1158" s="14" t="s">
        <v>626</v>
      </c>
      <c r="AD1158">
        <f t="shared" si="22"/>
        <v>17.786000000000001</v>
      </c>
    </row>
    <row r="1159" spans="27:30" x14ac:dyDescent="0.25">
      <c r="AA1159" s="268">
        <v>45901</v>
      </c>
      <c r="AB1159" s="269">
        <v>12826</v>
      </c>
      <c r="AC1159" s="14" t="s">
        <v>627</v>
      </c>
      <c r="AD1159">
        <f t="shared" si="22"/>
        <v>21.423999999999999</v>
      </c>
    </row>
    <row r="1160" spans="27:30" x14ac:dyDescent="0.25">
      <c r="AA1160" s="268">
        <v>45902</v>
      </c>
      <c r="AB1160" s="269">
        <v>12730</v>
      </c>
      <c r="AC1160" s="14" t="s">
        <v>628</v>
      </c>
      <c r="AD1160">
        <f t="shared" si="22"/>
        <v>21.41</v>
      </c>
    </row>
    <row r="1161" spans="27:30" x14ac:dyDescent="0.25">
      <c r="AA1161" s="268">
        <v>45903</v>
      </c>
      <c r="AB1161" s="269">
        <v>12733</v>
      </c>
      <c r="AC1161" s="14" t="s">
        <v>629</v>
      </c>
      <c r="AD1161">
        <f t="shared" si="22"/>
        <v>14.002000000000001</v>
      </c>
    </row>
    <row r="1162" spans="27:30" x14ac:dyDescent="0.25">
      <c r="AA1162" s="268">
        <v>45904</v>
      </c>
      <c r="AB1162" s="269">
        <v>12651</v>
      </c>
      <c r="AC1162" s="14" t="s">
        <v>630</v>
      </c>
      <c r="AD1162">
        <f t="shared" si="22"/>
        <v>30.504000000000001</v>
      </c>
    </row>
    <row r="1163" spans="27:30" x14ac:dyDescent="0.25">
      <c r="AA1163" s="268">
        <v>45905</v>
      </c>
      <c r="AB1163" s="269">
        <v>12601</v>
      </c>
      <c r="AC1163" s="14" t="s">
        <v>631</v>
      </c>
      <c r="AD1163">
        <f t="shared" si="22"/>
        <v>15.377000000000001</v>
      </c>
    </row>
    <row r="1164" spans="27:30" x14ac:dyDescent="0.25">
      <c r="AA1164" s="268">
        <v>45908</v>
      </c>
      <c r="AB1164" s="269">
        <v>12664</v>
      </c>
      <c r="AC1164" s="14" t="s">
        <v>632</v>
      </c>
      <c r="AD1164">
        <f t="shared" si="22"/>
        <v>12.645</v>
      </c>
    </row>
    <row r="1165" spans="27:30" x14ac:dyDescent="0.25">
      <c r="AA1165" s="268">
        <v>45909</v>
      </c>
      <c r="AB1165" s="269">
        <v>12572</v>
      </c>
      <c r="AC1165" s="14" t="s">
        <v>633</v>
      </c>
      <c r="AD1165">
        <f t="shared" si="22"/>
        <v>24.023</v>
      </c>
    </row>
    <row r="1166" spans="27:30" x14ac:dyDescent="0.25">
      <c r="AA1166" s="268">
        <v>45910</v>
      </c>
      <c r="AB1166" s="269">
        <v>12478</v>
      </c>
      <c r="AC1166" s="14" t="s">
        <v>634</v>
      </c>
      <c r="AD1166">
        <f t="shared" si="22"/>
        <v>17.558</v>
      </c>
    </row>
    <row r="1167" spans="27:30" x14ac:dyDescent="0.25">
      <c r="AA1167" s="268">
        <v>45911</v>
      </c>
      <c r="AB1167" s="269">
        <v>12392</v>
      </c>
      <c r="AC1167" s="14" t="s">
        <v>635</v>
      </c>
      <c r="AD1167">
        <f t="shared" si="22"/>
        <v>13.266</v>
      </c>
    </row>
    <row r="1168" spans="27:30" x14ac:dyDescent="0.25">
      <c r="AA1168" s="268">
        <v>45912</v>
      </c>
      <c r="AB1168" s="269">
        <v>12370</v>
      </c>
      <c r="AC1168" s="14" t="s">
        <v>636</v>
      </c>
      <c r="AD1168">
        <f t="shared" si="22"/>
        <v>15.308999999999999</v>
      </c>
    </row>
    <row r="1169" spans="27:30" x14ac:dyDescent="0.25">
      <c r="AA1169" s="268">
        <v>45915</v>
      </c>
      <c r="AB1169" s="269">
        <v>12435</v>
      </c>
      <c r="AC1169" s="14" t="s">
        <v>637</v>
      </c>
      <c r="AD1169">
        <f t="shared" si="22"/>
        <v>17.952999999999999</v>
      </c>
    </row>
    <row r="1170" spans="27:30" x14ac:dyDescent="0.25">
      <c r="AA1170" s="268">
        <v>45916</v>
      </c>
      <c r="AB1170" s="269">
        <v>12578</v>
      </c>
      <c r="AC1170" s="14" t="s">
        <v>638</v>
      </c>
      <c r="AD1170">
        <f t="shared" si="22"/>
        <v>18.904</v>
      </c>
    </row>
    <row r="1171" spans="27:30" x14ac:dyDescent="0.25">
      <c r="AA1171" s="268">
        <v>45917</v>
      </c>
      <c r="AB1171" s="269">
        <v>12721</v>
      </c>
      <c r="AC1171" s="14" t="s">
        <v>639</v>
      </c>
      <c r="AD1171">
        <f t="shared" si="22"/>
        <v>26.431999999999999</v>
      </c>
    </row>
    <row r="1172" spans="27:30" x14ac:dyDescent="0.25">
      <c r="AA1172" s="268">
        <v>45918</v>
      </c>
      <c r="AB1172" s="269">
        <v>12626</v>
      </c>
      <c r="AC1172" s="14" t="s">
        <v>640</v>
      </c>
      <c r="AD1172">
        <f t="shared" si="22"/>
        <v>19.007999999999999</v>
      </c>
    </row>
    <row r="1173" spans="27:30" x14ac:dyDescent="0.25">
      <c r="AA1173" s="268">
        <v>45919</v>
      </c>
      <c r="AB1173" s="269">
        <v>12508</v>
      </c>
      <c r="AC1173" s="14" t="s">
        <v>641</v>
      </c>
      <c r="AD1173">
        <f t="shared" si="22"/>
        <v>57.167000000000002</v>
      </c>
    </row>
    <row r="1174" spans="27:30" x14ac:dyDescent="0.25">
      <c r="AA1174" s="268">
        <v>45922</v>
      </c>
      <c r="AB1174" s="269">
        <v>12650</v>
      </c>
      <c r="AC1174" s="14" t="s">
        <v>642</v>
      </c>
      <c r="AD1174">
        <f t="shared" si="22"/>
        <v>49.954999999999998</v>
      </c>
    </row>
    <row r="1175" spans="27:30" x14ac:dyDescent="0.25">
      <c r="AA1175" s="268">
        <v>45923</v>
      </c>
      <c r="AB1175" s="269">
        <v>12401</v>
      </c>
      <c r="AC1175" s="14" t="s">
        <v>643</v>
      </c>
      <c r="AD1175">
        <f t="shared" si="22"/>
        <v>40.363999999999997</v>
      </c>
    </row>
    <row r="1176" spans="27:30" x14ac:dyDescent="0.25">
      <c r="AA1176" s="268">
        <v>45924</v>
      </c>
      <c r="AB1176" s="269">
        <v>12214</v>
      </c>
      <c r="AC1176" s="14" t="s">
        <v>644</v>
      </c>
      <c r="AD1176">
        <f t="shared" si="22"/>
        <v>16.652000000000001</v>
      </c>
    </row>
    <row r="1177" spans="27:30" x14ac:dyDescent="0.25">
      <c r="AA1177" s="268">
        <v>45925</v>
      </c>
      <c r="AB1177" s="269">
        <v>12141</v>
      </c>
      <c r="AC1177" s="14" t="s">
        <v>645</v>
      </c>
      <c r="AD1177">
        <f t="shared" si="22"/>
        <v>27.254000000000001</v>
      </c>
    </row>
    <row r="1178" spans="27:30" x14ac:dyDescent="0.25">
      <c r="AA1178" s="268">
        <v>45926</v>
      </c>
      <c r="AB1178" s="269">
        <v>12070</v>
      </c>
      <c r="AC1178" s="14" t="s">
        <v>646</v>
      </c>
      <c r="AD1178">
        <f t="shared" si="22"/>
        <v>18.154</v>
      </c>
    </row>
    <row r="1179" spans="27:30" x14ac:dyDescent="0.25">
      <c r="AA1179" s="268">
        <v>45929</v>
      </c>
      <c r="AB1179" s="269">
        <v>12041</v>
      </c>
      <c r="AC1179" s="14" t="s">
        <v>647</v>
      </c>
      <c r="AD1179">
        <f t="shared" si="22"/>
        <v>21.481000000000002</v>
      </c>
    </row>
    <row r="1180" spans="27:30" x14ac:dyDescent="0.25">
      <c r="AA1180" s="268">
        <v>45930</v>
      </c>
      <c r="AB1180" s="269">
        <v>12222</v>
      </c>
      <c r="AC1180" s="14" t="s">
        <v>648</v>
      </c>
      <c r="AD1180">
        <f t="shared" si="22"/>
        <v>27.916</v>
      </c>
    </row>
    <row r="1181" spans="27:30" x14ac:dyDescent="0.25">
      <c r="AA1181" s="268">
        <v>45931</v>
      </c>
      <c r="AB1181" s="269">
        <v>12095</v>
      </c>
      <c r="AC1181" s="14" t="s">
        <v>649</v>
      </c>
      <c r="AD1181">
        <f t="shared" si="22"/>
        <v>12.952999999999999</v>
      </c>
    </row>
    <row r="1182" spans="27:30" x14ac:dyDescent="0.25">
      <c r="AA1182" s="268">
        <v>45933</v>
      </c>
      <c r="AB1182" s="269">
        <v>12019</v>
      </c>
      <c r="AC1182" s="14" t="s">
        <v>650</v>
      </c>
      <c r="AD1182">
        <f t="shared" si="22"/>
        <v>25.841000000000005</v>
      </c>
    </row>
    <row r="1183" spans="27:30" x14ac:dyDescent="0.25">
      <c r="AA1183" s="268">
        <v>45936</v>
      </c>
      <c r="AB1183" s="269">
        <v>12055</v>
      </c>
      <c r="AC1183" s="14" t="s">
        <v>651</v>
      </c>
      <c r="AD1183">
        <f t="shared" si="22"/>
        <v>10.635999999999999</v>
      </c>
    </row>
    <row r="1184" spans="27:30" x14ac:dyDescent="0.25">
      <c r="AA1184" s="268">
        <v>45937</v>
      </c>
      <c r="AB1184" s="269">
        <v>12184</v>
      </c>
      <c r="AC1184" s="14" t="s">
        <v>652</v>
      </c>
      <c r="AD1184">
        <f t="shared" si="22"/>
        <v>22.547000000000001</v>
      </c>
    </row>
    <row r="1185" spans="27:30" x14ac:dyDescent="0.25">
      <c r="AA1185" s="268">
        <v>45938</v>
      </c>
      <c r="AB1185" s="269">
        <v>11991</v>
      </c>
      <c r="AC1185" s="14" t="s">
        <v>653</v>
      </c>
      <c r="AD1185">
        <f t="shared" si="22"/>
        <v>17.396999999999998</v>
      </c>
    </row>
    <row r="1186" spans="27:30" x14ac:dyDescent="0.25">
      <c r="AA1186" s="268">
        <v>45939</v>
      </c>
      <c r="AB1186" s="269">
        <v>12192</v>
      </c>
      <c r="AC1186" s="14" t="s">
        <v>654</v>
      </c>
      <c r="AD1186">
        <f t="shared" si="22"/>
        <v>17.173999999999999</v>
      </c>
    </row>
    <row r="1187" spans="27:30" x14ac:dyDescent="0.25">
      <c r="AA1187" s="268">
        <v>45940</v>
      </c>
      <c r="AB1187" s="269">
        <v>12281</v>
      </c>
      <c r="AC1187" s="14" t="s">
        <v>655</v>
      </c>
      <c r="AD1187">
        <f t="shared" si="22"/>
        <v>19.846</v>
      </c>
    </row>
    <row r="1188" spans="27:30" x14ac:dyDescent="0.25">
      <c r="AA1188" s="268">
        <v>45943</v>
      </c>
      <c r="AB1188" s="269">
        <v>12172</v>
      </c>
      <c r="AC1188" s="14" t="s">
        <v>656</v>
      </c>
      <c r="AD1188">
        <f t="shared" si="22"/>
        <v>8.7750000000000004</v>
      </c>
    </row>
    <row r="1189" spans="27:30" x14ac:dyDescent="0.25">
      <c r="AA1189" s="268">
        <v>45944</v>
      </c>
      <c r="AB1189" s="269">
        <v>12070</v>
      </c>
      <c r="AC1189" s="14" t="s">
        <v>657</v>
      </c>
      <c r="AD1189">
        <f t="shared" si="22"/>
        <v>12.919999999999998</v>
      </c>
    </row>
    <row r="1190" spans="27:30" x14ac:dyDescent="0.25">
      <c r="AA1190" s="268">
        <v>45945</v>
      </c>
      <c r="AB1190" s="269">
        <v>12311</v>
      </c>
      <c r="AC1190" s="14" t="s">
        <v>658</v>
      </c>
      <c r="AD1190">
        <f t="shared" si="22"/>
        <v>14.233000000000001</v>
      </c>
    </row>
    <row r="1191" spans="27:30" x14ac:dyDescent="0.25">
      <c r="AA1191" s="268">
        <v>45946</v>
      </c>
      <c r="AB1191" s="269">
        <v>12358</v>
      </c>
      <c r="AC1191" s="14" t="s">
        <v>659</v>
      </c>
      <c r="AD1191">
        <f t="shared" si="22"/>
        <v>12.936999999999999</v>
      </c>
    </row>
    <row r="1192" spans="27:30" x14ac:dyDescent="0.25">
      <c r="AA1192" s="268">
        <v>45947</v>
      </c>
      <c r="AB1192" s="269">
        <v>12370</v>
      </c>
      <c r="AC1192" s="14" t="s">
        <v>660</v>
      </c>
      <c r="AD1192">
        <f t="shared" si="22"/>
        <v>18.224</v>
      </c>
    </row>
    <row r="1193" spans="27:30" x14ac:dyDescent="0.25">
      <c r="AA1193" s="268">
        <v>45950</v>
      </c>
      <c r="AB1193" s="269">
        <v>12346</v>
      </c>
      <c r="AC1193" s="14" t="s">
        <v>661</v>
      </c>
      <c r="AD1193">
        <f t="shared" si="22"/>
        <v>39.337000000000003</v>
      </c>
    </row>
    <row r="1194" spans="27:30" x14ac:dyDescent="0.25">
      <c r="AA1194" s="268">
        <v>45951</v>
      </c>
      <c r="AB1194" s="269">
        <v>12342</v>
      </c>
      <c r="AC1194" s="14" t="s">
        <v>662</v>
      </c>
      <c r="AD1194">
        <f t="shared" si="22"/>
        <v>1.4470000000000001</v>
      </c>
    </row>
    <row r="1195" spans="27:30" x14ac:dyDescent="0.25">
      <c r="AA1195" s="268">
        <v>45953</v>
      </c>
      <c r="AB1195" s="269">
        <v>12145</v>
      </c>
      <c r="AC1195" s="14" t="s">
        <v>663</v>
      </c>
      <c r="AD1195">
        <f t="shared" si="22"/>
        <v>37.081000000000003</v>
      </c>
    </row>
    <row r="1196" spans="27:30" x14ac:dyDescent="0.25">
      <c r="AA1196" s="268">
        <v>45954</v>
      </c>
      <c r="AB1196" s="269">
        <v>11918</v>
      </c>
      <c r="AC1196" s="14" t="s">
        <v>664</v>
      </c>
      <c r="AD1196">
        <f t="shared" si="22"/>
        <v>31.884</v>
      </c>
    </row>
    <row r="1197" spans="27:30" x14ac:dyDescent="0.25">
      <c r="AA1197" s="268">
        <v>45957</v>
      </c>
      <c r="AB1197" s="269">
        <v>12015</v>
      </c>
      <c r="AC1197" s="14" t="s">
        <v>665</v>
      </c>
      <c r="AD1197">
        <f t="shared" si="22"/>
        <v>40.807000000000002</v>
      </c>
    </row>
    <row r="1198" spans="27:30" x14ac:dyDescent="0.25">
      <c r="AA1198" s="268">
        <v>45958</v>
      </c>
      <c r="AB1198" s="269">
        <v>11931</v>
      </c>
      <c r="AC1198" s="14" t="s">
        <v>666</v>
      </c>
      <c r="AD1198">
        <f t="shared" si="22"/>
        <v>51.31</v>
      </c>
    </row>
    <row r="1199" spans="27:30" x14ac:dyDescent="0.25">
      <c r="AA1199" s="268">
        <v>45959</v>
      </c>
      <c r="AB1199" s="269">
        <v>11999</v>
      </c>
      <c r="AC1199" s="14" t="s">
        <v>667</v>
      </c>
      <c r="AD1199">
        <f t="shared" si="22"/>
        <v>39.427</v>
      </c>
    </row>
    <row r="1200" spans="27:30" x14ac:dyDescent="0.25">
      <c r="AA1200" s="268">
        <v>45960</v>
      </c>
      <c r="AB1200" s="269">
        <v>12053</v>
      </c>
      <c r="AC1200" s="14" t="s">
        <v>668</v>
      </c>
      <c r="AD1200">
        <f t="shared" si="22"/>
        <v>15.994</v>
      </c>
    </row>
    <row r="1201" spans="27:30" x14ac:dyDescent="0.25">
      <c r="AA1201" s="268">
        <v>45961</v>
      </c>
      <c r="AB1201" s="269">
        <v>11947</v>
      </c>
      <c r="AC1201" s="14" t="s">
        <v>669</v>
      </c>
      <c r="AD1201">
        <f t="shared" si="22"/>
        <v>17.518999999999998</v>
      </c>
    </row>
    <row r="1202" spans="27:30" x14ac:dyDescent="0.25">
      <c r="AA1202" s="268">
        <v>45964</v>
      </c>
      <c r="AB1202" s="269">
        <v>11950</v>
      </c>
      <c r="AC1202" s="14" t="s">
        <v>670</v>
      </c>
      <c r="AD1202">
        <f t="shared" si="22"/>
        <v>9.8390000000000004</v>
      </c>
    </row>
    <row r="1203" spans="27:30" x14ac:dyDescent="0.25">
      <c r="AA1203" s="268">
        <v>45965</v>
      </c>
      <c r="AB1203" s="269">
        <v>11819</v>
      </c>
      <c r="AC1203" s="14" t="s">
        <v>671</v>
      </c>
      <c r="AD1203">
        <f t="shared" si="22"/>
        <v>19.936</v>
      </c>
    </row>
    <row r="1204" spans="27:30" x14ac:dyDescent="0.25">
      <c r="AA1204" s="268">
        <v>45967</v>
      </c>
      <c r="AB1204" s="269">
        <v>11910</v>
      </c>
      <c r="AC1204" s="14" t="s">
        <v>672</v>
      </c>
      <c r="AD1204">
        <f t="shared" si="22"/>
        <v>18.965</v>
      </c>
    </row>
    <row r="1205" spans="27:30" x14ac:dyDescent="0.25">
      <c r="AA1205" s="268">
        <v>45968</v>
      </c>
      <c r="AB1205" s="269">
        <v>11849</v>
      </c>
      <c r="AC1205" s="14" t="s">
        <v>673</v>
      </c>
      <c r="AD1205">
        <f t="shared" si="22"/>
        <v>14.816000000000001</v>
      </c>
    </row>
    <row r="1206" spans="27:30" x14ac:dyDescent="0.25">
      <c r="AA1206" s="268">
        <v>45971</v>
      </c>
      <c r="AB1206" s="269">
        <v>11728</v>
      </c>
      <c r="AC1206" s="14" t="s">
        <v>674</v>
      </c>
      <c r="AD1206">
        <f t="shared" si="22"/>
        <v>19.709</v>
      </c>
    </row>
    <row r="1207" spans="27:30" x14ac:dyDescent="0.25">
      <c r="AA1207" s="268">
        <v>45972</v>
      </c>
      <c r="AB1207" s="269">
        <v>11825</v>
      </c>
      <c r="AC1207" s="14" t="s">
        <v>675</v>
      </c>
      <c r="AD1207">
        <f t="shared" si="22"/>
        <v>12.585000000000001</v>
      </c>
    </row>
    <row r="1208" spans="27:30" x14ac:dyDescent="0.25">
      <c r="AA1208" s="268">
        <v>45973</v>
      </c>
      <c r="AB1208" s="269">
        <v>11921</v>
      </c>
      <c r="AC1208" s="14" t="s">
        <v>676</v>
      </c>
      <c r="AD1208">
        <f t="shared" si="22"/>
        <v>18.454000000000001</v>
      </c>
    </row>
    <row r="1209" spans="27:30" x14ac:dyDescent="0.25">
      <c r="AA1209" s="268">
        <v>45974</v>
      </c>
      <c r="AB1209" s="269">
        <v>11934</v>
      </c>
      <c r="AC1209" s="14" t="s">
        <v>677</v>
      </c>
      <c r="AD1209">
        <f t="shared" si="22"/>
        <v>17.442</v>
      </c>
    </row>
    <row r="1210" spans="27:30" x14ac:dyDescent="0.25">
      <c r="AA1210" s="268">
        <v>45975</v>
      </c>
      <c r="AB1210" s="269">
        <v>11874</v>
      </c>
      <c r="AC1210" s="14" t="s">
        <v>678</v>
      </c>
      <c r="AD1210">
        <f t="shared" si="22"/>
        <v>16.132000000000001</v>
      </c>
    </row>
    <row r="1211" spans="27:30" x14ac:dyDescent="0.25">
      <c r="AA1211" s="268">
        <v>45978</v>
      </c>
      <c r="AB1211" s="269">
        <v>11778</v>
      </c>
      <c r="AC1211" s="14" t="s">
        <v>679</v>
      </c>
      <c r="AD1211">
        <f t="shared" si="22"/>
        <v>19.437999999999999</v>
      </c>
    </row>
    <row r="1212" spans="27:30" x14ac:dyDescent="0.25">
      <c r="AA1212" s="268">
        <v>45979</v>
      </c>
      <c r="AB1212" s="269">
        <v>11707</v>
      </c>
      <c r="AC1212" s="14" t="s">
        <v>680</v>
      </c>
      <c r="AD1212">
        <f t="shared" si="22"/>
        <v>31.812000000000001</v>
      </c>
    </row>
    <row r="1213" spans="27:30" x14ac:dyDescent="0.25">
      <c r="AA1213" s="268">
        <v>45980</v>
      </c>
      <c r="AB1213" s="269">
        <v>11666</v>
      </c>
      <c r="AC1213" s="14" t="s">
        <v>681</v>
      </c>
      <c r="AD1213">
        <f t="shared" si="22"/>
        <v>27.14</v>
      </c>
    </row>
    <row r="1214" spans="27:30" x14ac:dyDescent="0.25">
      <c r="AA1214" s="268">
        <v>45981</v>
      </c>
      <c r="AB1214" s="269">
        <v>11753</v>
      </c>
      <c r="AC1214" s="14" t="s">
        <v>682</v>
      </c>
      <c r="AD1214">
        <f t="shared" si="22"/>
        <v>18.54</v>
      </c>
    </row>
    <row r="1215" spans="27:30" x14ac:dyDescent="0.25">
      <c r="AA1215" s="268">
        <v>45982</v>
      </c>
      <c r="AB1215" s="269">
        <v>11729</v>
      </c>
      <c r="AC1215" s="14" t="s">
        <v>683</v>
      </c>
      <c r="AD1215">
        <f t="shared" si="22"/>
        <v>19.204999999999998</v>
      </c>
    </row>
    <row r="1216" spans="27:30" x14ac:dyDescent="0.25">
      <c r="AA1216" s="268">
        <v>45985</v>
      </c>
      <c r="AB1216" s="269">
        <v>11584</v>
      </c>
      <c r="AC1216" s="14" t="s">
        <v>684</v>
      </c>
      <c r="AD1216">
        <f t="shared" si="22"/>
        <v>40.729999999999997</v>
      </c>
    </row>
    <row r="1217" spans="27:30" x14ac:dyDescent="0.25">
      <c r="AA1217" s="268">
        <v>45986</v>
      </c>
      <c r="AB1217" s="269">
        <v>11580</v>
      </c>
      <c r="AC1217" s="14" t="s">
        <v>685</v>
      </c>
      <c r="AD1217">
        <f t="shared" si="22"/>
        <v>20.015000000000001</v>
      </c>
    </row>
    <row r="1218" spans="27:30" x14ac:dyDescent="0.25">
      <c r="AA1218" s="268">
        <v>45987</v>
      </c>
      <c r="AB1218" s="269">
        <v>11759</v>
      </c>
      <c r="AC1218" s="14" t="s">
        <v>686</v>
      </c>
      <c r="AD1218">
        <f t="shared" si="22"/>
        <v>18.748000000000001</v>
      </c>
    </row>
    <row r="1219" spans="27:30" x14ac:dyDescent="0.25">
      <c r="AA1219" s="268">
        <v>45988</v>
      </c>
      <c r="AB1219" s="269">
        <v>11617</v>
      </c>
      <c r="AC1219" s="14" t="s">
        <v>687</v>
      </c>
      <c r="AD1219">
        <f t="shared" si="22"/>
        <v>27.529</v>
      </c>
    </row>
    <row r="1220" spans="27:30" x14ac:dyDescent="0.25">
      <c r="AA1220" s="268">
        <v>45989</v>
      </c>
      <c r="AB1220" s="269">
        <v>11600</v>
      </c>
      <c r="AC1220" s="14" t="s">
        <v>688</v>
      </c>
      <c r="AD1220">
        <f t="shared" ref="AD1220:AD1244" si="23">(IF(RIGHT(AC1220,1)="K",
    VALUE(LEFT(AC1220,LEN(AC1220)-1))*1000,
    IF(RIGHT(AC1220,1)="M",
       VALUE(LEFT(AC1220,LEN(AC1220)-1))*1000000,
       VALUE(AC1220)
    )
))/10000</f>
        <v>15.999000000000001</v>
      </c>
    </row>
    <row r="1221" spans="27:30" x14ac:dyDescent="0.25">
      <c r="AA1221" s="268">
        <v>45992</v>
      </c>
      <c r="AB1221" s="269">
        <v>11662</v>
      </c>
      <c r="AC1221" s="14" t="s">
        <v>689</v>
      </c>
      <c r="AD1221">
        <f t="shared" si="23"/>
        <v>22.873000000000001</v>
      </c>
    </row>
    <row r="1222" spans="27:30" x14ac:dyDescent="0.25">
      <c r="AA1222" s="268">
        <v>45993</v>
      </c>
      <c r="AB1222" s="269">
        <v>11666</v>
      </c>
      <c r="AC1222" s="14" t="s">
        <v>690</v>
      </c>
      <c r="AD1222">
        <f t="shared" si="23"/>
        <v>19.093</v>
      </c>
    </row>
    <row r="1223" spans="27:30" x14ac:dyDescent="0.25">
      <c r="AA1223" s="268">
        <v>45994</v>
      </c>
      <c r="AB1223" s="269">
        <v>11591</v>
      </c>
      <c r="AC1223" s="14" t="s">
        <v>691</v>
      </c>
      <c r="AD1223">
        <f t="shared" si="23"/>
        <v>20.629000000000001</v>
      </c>
    </row>
    <row r="1224" spans="27:30" x14ac:dyDescent="0.25">
      <c r="AA1224" s="268">
        <v>45995</v>
      </c>
      <c r="AB1224" s="269">
        <v>11608</v>
      </c>
      <c r="AC1224" s="14" t="s">
        <v>692</v>
      </c>
      <c r="AD1224">
        <f t="shared" si="23"/>
        <v>15.968999999999999</v>
      </c>
    </row>
    <row r="1225" spans="27:30" x14ac:dyDescent="0.25">
      <c r="AA1225" s="268">
        <v>45996</v>
      </c>
      <c r="AB1225" s="269">
        <v>11597</v>
      </c>
      <c r="AC1225" s="14" t="s">
        <v>693</v>
      </c>
      <c r="AD1225">
        <f t="shared" si="23"/>
        <v>22.657</v>
      </c>
    </row>
    <row r="1226" spans="27:30" x14ac:dyDescent="0.25">
      <c r="AA1226" s="268">
        <v>45999</v>
      </c>
      <c r="AB1226" s="269">
        <v>11540</v>
      </c>
      <c r="AC1226" s="14" t="s">
        <v>694</v>
      </c>
      <c r="AD1226">
        <f t="shared" si="23"/>
        <v>14.819000000000001</v>
      </c>
    </row>
    <row r="1227" spans="27:30" x14ac:dyDescent="0.25">
      <c r="AA1227" s="268">
        <v>46000</v>
      </c>
      <c r="AB1227" s="269">
        <v>11414</v>
      </c>
      <c r="AC1227" s="14" t="s">
        <v>695</v>
      </c>
      <c r="AD1227">
        <f t="shared" si="23"/>
        <v>27.448</v>
      </c>
    </row>
    <row r="1228" spans="27:30" x14ac:dyDescent="0.25">
      <c r="AA1228" s="268">
        <v>46001</v>
      </c>
      <c r="AB1228" s="269">
        <v>11317</v>
      </c>
      <c r="AC1228" s="14" t="s">
        <v>696</v>
      </c>
      <c r="AD1228">
        <f t="shared" si="23"/>
        <v>27.292000000000002</v>
      </c>
    </row>
    <row r="1229" spans="27:30" x14ac:dyDescent="0.25">
      <c r="AA1229" s="268">
        <v>46002</v>
      </c>
      <c r="AB1229" s="269">
        <v>11472</v>
      </c>
      <c r="AC1229" s="14" t="s">
        <v>697</v>
      </c>
      <c r="AD1229">
        <f t="shared" si="23"/>
        <v>19.651</v>
      </c>
    </row>
    <row r="1230" spans="27:30" x14ac:dyDescent="0.25">
      <c r="AA1230" s="268">
        <v>46003</v>
      </c>
      <c r="AB1230" s="269">
        <v>11723</v>
      </c>
      <c r="AC1230" s="14" t="s">
        <v>698</v>
      </c>
      <c r="AD1230">
        <f t="shared" si="23"/>
        <v>38.948</v>
      </c>
    </row>
    <row r="1231" spans="27:30" x14ac:dyDescent="0.25">
      <c r="AA1231" s="268">
        <v>46006</v>
      </c>
      <c r="AB1231" s="269">
        <v>11728</v>
      </c>
      <c r="AC1231" s="14" t="s">
        <v>699</v>
      </c>
      <c r="AD1231">
        <f t="shared" si="23"/>
        <v>17.806999999999999</v>
      </c>
    </row>
    <row r="1232" spans="27:30" x14ac:dyDescent="0.25">
      <c r="AA1232" s="268">
        <v>46007</v>
      </c>
      <c r="AB1232" s="269">
        <v>11528</v>
      </c>
      <c r="AC1232" s="14" t="s">
        <v>700</v>
      </c>
      <c r="AD1232">
        <f t="shared" si="23"/>
        <v>17.969000000000001</v>
      </c>
    </row>
    <row r="1233" spans="27:30" x14ac:dyDescent="0.25">
      <c r="AA1233" s="268">
        <v>46008</v>
      </c>
      <c r="AB1233" s="269">
        <v>11540</v>
      </c>
      <c r="AC1233" s="14" t="s">
        <v>701</v>
      </c>
      <c r="AD1233">
        <f t="shared" si="23"/>
        <v>20.533999999999999</v>
      </c>
    </row>
    <row r="1234" spans="27:30" x14ac:dyDescent="0.25">
      <c r="AA1234" s="268">
        <v>46009</v>
      </c>
      <c r="AB1234" s="269">
        <v>11461</v>
      </c>
      <c r="AC1234" s="14" t="s">
        <v>702</v>
      </c>
      <c r="AD1234">
        <f t="shared" si="23"/>
        <v>10.346</v>
      </c>
    </row>
    <row r="1235" spans="27:30" x14ac:dyDescent="0.25">
      <c r="AA1235" s="268">
        <v>46010</v>
      </c>
      <c r="AB1235" s="269">
        <v>11496</v>
      </c>
      <c r="AC1235" s="14" t="s">
        <v>703</v>
      </c>
      <c r="AD1235">
        <f t="shared" si="23"/>
        <v>15.295999999999999</v>
      </c>
    </row>
    <row r="1236" spans="27:30" x14ac:dyDescent="0.25">
      <c r="AA1236" s="268">
        <v>46013</v>
      </c>
      <c r="AB1236" s="269">
        <v>11532</v>
      </c>
      <c r="AC1236" s="14" t="s">
        <v>704</v>
      </c>
      <c r="AD1236">
        <f t="shared" si="23"/>
        <v>17.081</v>
      </c>
    </row>
    <row r="1237" spans="27:30" x14ac:dyDescent="0.25">
      <c r="AA1237" s="268">
        <v>46014</v>
      </c>
      <c r="AB1237" s="269">
        <v>11678</v>
      </c>
      <c r="AC1237" s="14" t="s">
        <v>705</v>
      </c>
      <c r="AD1237">
        <f t="shared" si="23"/>
        <v>16.183</v>
      </c>
    </row>
    <row r="1238" spans="27:30" x14ac:dyDescent="0.25">
      <c r="AA1238" s="268">
        <v>46015</v>
      </c>
      <c r="AB1238" s="269">
        <v>11764</v>
      </c>
      <c r="AC1238" s="14" t="s">
        <v>706</v>
      </c>
      <c r="AD1238">
        <f t="shared" si="23"/>
        <v>18.204999999999998</v>
      </c>
    </row>
    <row r="1239" spans="27:30" x14ac:dyDescent="0.25">
      <c r="AA1239" s="268">
        <v>46017</v>
      </c>
      <c r="AB1239" s="269">
        <v>11794</v>
      </c>
      <c r="AC1239" s="14" t="s">
        <v>707</v>
      </c>
      <c r="AD1239">
        <f t="shared" si="23"/>
        <v>19.312000000000001</v>
      </c>
    </row>
    <row r="1240" spans="27:30" x14ac:dyDescent="0.25">
      <c r="AA1240" s="268">
        <v>46020</v>
      </c>
      <c r="AB1240" s="269">
        <v>11799</v>
      </c>
      <c r="AC1240" s="14" t="s">
        <v>708</v>
      </c>
      <c r="AD1240">
        <f t="shared" si="23"/>
        <v>19.760000000000002</v>
      </c>
    </row>
    <row r="1241" spans="27:30" x14ac:dyDescent="0.25">
      <c r="AA1241" s="268">
        <v>46021</v>
      </c>
      <c r="AB1241" s="269">
        <v>11705</v>
      </c>
      <c r="AC1241" s="14" t="s">
        <v>709</v>
      </c>
      <c r="AD1241">
        <f t="shared" si="23"/>
        <v>23.632000000000001</v>
      </c>
    </row>
    <row r="1242" spans="27:30" x14ac:dyDescent="0.25">
      <c r="AA1242" s="268">
        <v>46022</v>
      </c>
      <c r="AB1242" s="269">
        <v>11784</v>
      </c>
      <c r="AC1242" s="14" t="s">
        <v>710</v>
      </c>
      <c r="AD1242">
        <f t="shared" si="23"/>
        <v>17.227</v>
      </c>
    </row>
    <row r="1243" spans="27:30" x14ac:dyDescent="0.25">
      <c r="AA1243" s="268">
        <v>46023</v>
      </c>
      <c r="AB1243" s="269">
        <v>11901</v>
      </c>
      <c r="AC1243" s="14" t="s">
        <v>711</v>
      </c>
      <c r="AD1243">
        <f t="shared" si="23"/>
        <v>7.1890000000000001</v>
      </c>
    </row>
    <row r="1244" spans="27:30" x14ac:dyDescent="0.25">
      <c r="AA1244" s="268">
        <v>46024</v>
      </c>
      <c r="AB1244" s="269">
        <v>11899</v>
      </c>
      <c r="AC1244" s="14" t="s">
        <v>712</v>
      </c>
      <c r="AD1244">
        <f t="shared" si="23"/>
        <v>20.623999999999999</v>
      </c>
    </row>
  </sheetData>
  <autoFilter ref="AA3:AC3" xr:uid="{AA422683-C145-40F0-8F0F-9D9CAA2180AF}">
    <sortState ref="AA4:AC1244">
      <sortCondition ref="AA3"/>
    </sortState>
  </autoFilter>
  <mergeCells count="3">
    <mergeCell ref="B8:D8"/>
    <mergeCell ref="F8:G8"/>
    <mergeCell ref="I8:J8"/>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vt:i4>
      </vt:variant>
    </vt:vector>
  </HeadingPairs>
  <TitlesOfParts>
    <vt:vector size="25" baseType="lpstr">
      <vt:lpstr>One-Page</vt:lpstr>
      <vt:lpstr>Historical_FS</vt:lpstr>
      <vt:lpstr>Ratios</vt:lpstr>
      <vt:lpstr>Vertical</vt:lpstr>
      <vt:lpstr>Horizontal</vt:lpstr>
      <vt:lpstr>Forecasting</vt:lpstr>
      <vt:lpstr>WACC</vt:lpstr>
      <vt:lpstr>Intrinsic_Growth</vt:lpstr>
      <vt:lpstr>DCF</vt:lpstr>
      <vt:lpstr>Relative_Val.</vt:lpstr>
      <vt:lpstr>Football_Field</vt:lpstr>
      <vt:lpstr>Monte-Carlo</vt:lpstr>
      <vt:lpstr>DuPont</vt:lpstr>
      <vt:lpstr>Altman Z</vt:lpstr>
      <vt:lpstr>Summary</vt:lpstr>
      <vt:lpstr>Data Sheet</vt:lpstr>
      <vt:lpstr>JKC_Beta</vt:lpstr>
      <vt:lpstr>ShreeC_Beta</vt:lpstr>
      <vt:lpstr>Ambuja_Beta</vt:lpstr>
      <vt:lpstr>Grasim_Beta</vt:lpstr>
      <vt:lpstr>Raw FS</vt:lpstr>
      <vt:lpstr>Comps Rel.</vt:lpstr>
      <vt:lpstr>RM</vt:lpstr>
      <vt:lpstr>UltraTech_Beta</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DELL</cp:lastModifiedBy>
  <cp:lastPrinted>2026-01-10T11:40:25Z</cp:lastPrinted>
  <dcterms:created xsi:type="dcterms:W3CDTF">2012-08-17T09:55:37Z</dcterms:created>
  <dcterms:modified xsi:type="dcterms:W3CDTF">2026-04-26T06:42:12Z</dcterms:modified>
</cp:coreProperties>
</file>